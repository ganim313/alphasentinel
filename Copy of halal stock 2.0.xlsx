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ariah" sheetId="1" r:id="rId5"/>
    <sheet state="hidden" name="Sheet19" sheetId="2" r:id="rId6"/>
    <sheet state="hidden" name="Sheet1" sheetId="3" r:id="rId7"/>
    <sheet state="hidden" name="list" sheetId="4" r:id="rId8"/>
    <sheet state="hidden" name="nse stock"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wipro</t>
      </text>
    </comment>
  </commentList>
</comments>
</file>

<file path=xl/sharedStrings.xml><?xml version="1.0" encoding="utf-8"?>
<sst xmlns="http://schemas.openxmlformats.org/spreadsheetml/2006/main" count="6533" uniqueCount="4380">
  <si>
    <t>Stock list</t>
  </si>
  <si>
    <t>Non-Shariah Business</t>
  </si>
  <si>
    <t>RELIANCE</t>
  </si>
  <si>
    <t>agi</t>
  </si>
  <si>
    <t>wine bottle manufacturer</t>
  </si>
  <si>
    <t>TCS</t>
  </si>
  <si>
    <t>atulauto</t>
  </si>
  <si>
    <t>Finance &amp; banking Income</t>
  </si>
  <si>
    <t>HDFCBANK</t>
  </si>
  <si>
    <t>ritual/religious</t>
  </si>
  <si>
    <t>ashram</t>
  </si>
  <si>
    <t>ICICIBANK</t>
  </si>
  <si>
    <t>prajind</t>
  </si>
  <si>
    <t>wine factory maker</t>
  </si>
  <si>
    <t>HINDUNILVR</t>
  </si>
  <si>
    <t>GULPOLY</t>
  </si>
  <si>
    <t>Wine raw material provider</t>
  </si>
  <si>
    <t>INFY</t>
  </si>
  <si>
    <t>Infy</t>
  </si>
  <si>
    <t>HDFC</t>
  </si>
  <si>
    <t>ITC</t>
  </si>
  <si>
    <t>SBIN</t>
  </si>
  <si>
    <t>//*[@id="top-ratios"]/li[2]/span[2]/span</t>
  </si>
  <si>
    <t>BHARTIARTL</t>
  </si>
  <si>
    <t>KOTAKBANK</t>
  </si>
  <si>
    <t>BAJFINANCE</t>
  </si>
  <si>
    <t>LICI</t>
  </si>
  <si>
    <t>LT</t>
  </si>
  <si>
    <t>//*[@id="top"]/div[1]/div/h1</t>
  </si>
  <si>
    <t>HCLTECH</t>
  </si>
  <si>
    <t>ASIANPAINT</t>
  </si>
  <si>
    <t>AXISBANK</t>
  </si>
  <si>
    <t>MARUTI</t>
  </si>
  <si>
    <t>SUNPHARMA</t>
  </si>
  <si>
    <t>TITAN</t>
  </si>
  <si>
    <t>DMART</t>
  </si>
  <si>
    <t>ULTRACEMCO</t>
  </si>
  <si>
    <t>BAJAJFINSV</t>
  </si>
  <si>
    <t>inventory</t>
  </si>
  <si>
    <t>WIPRO</t>
  </si>
  <si>
    <t>ADANIENT</t>
  </si>
  <si>
    <t>ONGC</t>
  </si>
  <si>
    <t>NTPC</t>
  </si>
  <si>
    <t>JSWSTEEL</t>
  </si>
  <si>
    <t>POWERGRID</t>
  </si>
  <si>
    <t>M&amp;M</t>
  </si>
  <si>
    <t>LTIM</t>
  </si>
  <si>
    <t>TATAMOTORS</t>
  </si>
  <si>
    <t>ADANIGREEN</t>
  </si>
  <si>
    <t>ADANIPORTS</t>
  </si>
  <si>
    <t>cmp</t>
  </si>
  <si>
    <t>COALINDIA</t>
  </si>
  <si>
    <t>TATASTEEL</t>
  </si>
  <si>
    <t>HINDZINC</t>
  </si>
  <si>
    <t>PIDILITIND</t>
  </si>
  <si>
    <t>SIEMENS</t>
  </si>
  <si>
    <t>ADANITRANS</t>
  </si>
  <si>
    <t>SBILIFE</t>
  </si>
  <si>
    <t>IOC</t>
  </si>
  <si>
    <t>BAJAJ-AUTO</t>
  </si>
  <si>
    <t>GRASIM</t>
  </si>
  <si>
    <t>TECHM</t>
  </si>
  <si>
    <t>HDFCLIFE</t>
  </si>
  <si>
    <t>Stock Code</t>
  </si>
  <si>
    <t>BRITANNIA</t>
  </si>
  <si>
    <t>VEDL</t>
  </si>
  <si>
    <t>GODREJCP</t>
  </si>
  <si>
    <t>name</t>
  </si>
  <si>
    <t>DABUR</t>
  </si>
  <si>
    <t>ATGL</t>
  </si>
  <si>
    <t>SHREECEM</t>
  </si>
  <si>
    <t>mindteck</t>
  </si>
  <si>
    <t>HAL</t>
  </si>
  <si>
    <t>HINDALCO</t>
  </si>
  <si>
    <t>VBL</t>
  </si>
  <si>
    <t>DLF</t>
  </si>
  <si>
    <t>BANKBARODA</t>
  </si>
  <si>
    <t>INDUSINDBK</t>
  </si>
  <si>
    <t>EICHERMOT</t>
  </si>
  <si>
    <t>DRREDDY</t>
  </si>
  <si>
    <t>DIVISLAB</t>
  </si>
  <si>
    <t>BPCL</t>
  </si>
  <si>
    <t>HAVELLS</t>
  </si>
  <si>
    <t>ADANIPOWER</t>
  </si>
  <si>
    <t>INDIGO</t>
  </si>
  <si>
    <t>CIPLA</t>
  </si>
  <si>
    <t>Reliance Industries Limited</t>
  </si>
  <si>
    <t>AMBUJACEM</t>
  </si>
  <si>
    <t>SRF</t>
  </si>
  <si>
    <t>ABB</t>
  </si>
  <si>
    <t>date</t>
  </si>
  <si>
    <t>BEL</t>
  </si>
  <si>
    <t>SBICARD</t>
  </si>
  <si>
    <t>GAIL</t>
  </si>
  <si>
    <t>BAJAJHLDNG</t>
  </si>
  <si>
    <t>TATACONSUM</t>
  </si>
  <si>
    <t>ICICIPRULI</t>
  </si>
  <si>
    <t>CHOLAFIN</t>
  </si>
  <si>
    <t>MARICO</t>
  </si>
  <si>
    <t>APOLLOHOSP</t>
  </si>
  <si>
    <t>Tata Consultancy Services Limited</t>
  </si>
  <si>
    <t>TATAPOWER</t>
  </si>
  <si>
    <t>BOSCHLTD</t>
  </si>
  <si>
    <t>BERGEPAINT</t>
  </si>
  <si>
    <t>JINDALSTEL</t>
  </si>
  <si>
    <t>MCDOWELL-N</t>
  </si>
  <si>
    <t>UPL</t>
  </si>
  <si>
    <t>AWL</t>
  </si>
  <si>
    <t>ICICIGI</t>
  </si>
  <si>
    <t>HDFC Bank Limited</t>
  </si>
  <si>
    <t>TORNTPHARM</t>
  </si>
  <si>
    <t>CANBK</t>
  </si>
  <si>
    <t>PNB</t>
  </si>
  <si>
    <t>TVSMOTOR</t>
  </si>
  <si>
    <t>ZYDUSLIFE</t>
  </si>
  <si>
    <t>Final value</t>
  </si>
  <si>
    <t>ICICI Bank Limited</t>
  </si>
  <si>
    <t>TIINDIA</t>
  </si>
  <si>
    <t>Interest or Other</t>
  </si>
  <si>
    <t>Ratio</t>
  </si>
  <si>
    <t>TRENT</t>
  </si>
  <si>
    <t>IDBI</t>
  </si>
  <si>
    <t>NAUKRI</t>
  </si>
  <si>
    <t>SHRIRAMFIN</t>
  </si>
  <si>
    <t>Hindustan Unilever Limited</t>
  </si>
  <si>
    <t>Other Income</t>
  </si>
  <si>
    <t>HEROMOTOCO</t>
  </si>
  <si>
    <t>INDHOTEL</t>
  </si>
  <si>
    <t>PIIND</t>
  </si>
  <si>
    <t>IRCTC</t>
  </si>
  <si>
    <t>CGPOWER</t>
  </si>
  <si>
    <t>Infosys Limited</t>
  </si>
  <si>
    <t>UNIONBANK</t>
  </si>
  <si>
    <t>Market Cap</t>
  </si>
  <si>
    <t>MOTHERSON</t>
  </si>
  <si>
    <t>CUMMINSIND</t>
  </si>
  <si>
    <t>SCHAEFFLER</t>
  </si>
  <si>
    <t>Housing Development Finance Corporation Limited</t>
  </si>
  <si>
    <t>LODHA</t>
  </si>
  <si>
    <t>ZOMATO</t>
  </si>
  <si>
    <t>PGHH</t>
  </si>
  <si>
    <t>YESBANK</t>
  </si>
  <si>
    <t>POLYCAB</t>
  </si>
  <si>
    <t>ITC Limited</t>
  </si>
  <si>
    <t>MAXHEALTH</t>
  </si>
  <si>
    <t>IOB</t>
  </si>
  <si>
    <t>PAGEIND</t>
  </si>
  <si>
    <t>COLPAL</t>
  </si>
  <si>
    <t>State Bank of India</t>
  </si>
  <si>
    <t>ASHOKLEY</t>
  </si>
  <si>
    <t>ALKEM</t>
  </si>
  <si>
    <t>NHPC</t>
  </si>
  <si>
    <t>PAYTM</t>
  </si>
  <si>
    <t>PFC</t>
  </si>
  <si>
    <t>Bharti Airtel Limited</t>
  </si>
  <si>
    <t>JSWENERGY</t>
  </si>
  <si>
    <t>MUTHOOTFIN</t>
  </si>
  <si>
    <t>AUBANK</t>
  </si>
  <si>
    <t>INDUSTOWER</t>
  </si>
  <si>
    <t>Kotak Mahindra Bank Limited</t>
  </si>
  <si>
    <t>BALKRISIND</t>
  </si>
  <si>
    <t>UBL</t>
  </si>
  <si>
    <t>ABCAPITAL</t>
  </si>
  <si>
    <t>TATAELXSI</t>
  </si>
  <si>
    <t>Bajaj Finance Limited</t>
  </si>
  <si>
    <t>DALBHARAT</t>
  </si>
  <si>
    <t>HDFCAMC</t>
  </si>
  <si>
    <t>INDIANB</t>
  </si>
  <si>
    <t>ASTRAL</t>
  </si>
  <si>
    <t>BHARATFORG</t>
  </si>
  <si>
    <t>Life Insurance Corporation Of India</t>
  </si>
  <si>
    <t>LTTS</t>
  </si>
  <si>
    <t>MRF</t>
  </si>
  <si>
    <t>TATACOMM</t>
  </si>
  <si>
    <t>NYKAA</t>
  </si>
  <si>
    <t>CONCOR</t>
  </si>
  <si>
    <t>Larsen &amp; Toubro Limited</t>
  </si>
  <si>
    <t>PERSISTENT</t>
  </si>
  <si>
    <t>PATANJALI</t>
  </si>
  <si>
    <t>IRFC</t>
  </si>
  <si>
    <t>LINDEINDIA</t>
  </si>
  <si>
    <t>IDFCFIRSTB</t>
  </si>
  <si>
    <t>HCL Technologies Limited</t>
  </si>
  <si>
    <t>Interest</t>
  </si>
  <si>
    <t>PETRONET</t>
  </si>
  <si>
    <t>SOLARINDS</t>
  </si>
  <si>
    <t>SAIL</t>
  </si>
  <si>
    <t>MPHASIS</t>
  </si>
  <si>
    <t>Asian Paints Limited</t>
  </si>
  <si>
    <t>HINDPETRO</t>
  </si>
  <si>
    <t>Non-Sharia Income</t>
  </si>
  <si>
    <t>APLAPOLLO</t>
  </si>
  <si>
    <t>FLUOROCHEM</t>
  </si>
  <si>
    <t>Axis Bank Limited</t>
  </si>
  <si>
    <t>NMDC</t>
  </si>
  <si>
    <t>HONAUT</t>
  </si>
  <si>
    <t>SUPREMEIND</t>
  </si>
  <si>
    <t>GUJGASLTD</t>
  </si>
  <si>
    <t>Maruti Suzuki India Limited</t>
  </si>
  <si>
    <t>BANDHANBNK</t>
  </si>
  <si>
    <t>ACC</t>
  </si>
  <si>
    <t>OBEROIRLTY</t>
  </si>
  <si>
    <t>BANKINDIA</t>
  </si>
  <si>
    <t>RECLTD</t>
  </si>
  <si>
    <t>Sun Pharmaceutical Industries Limited</t>
  </si>
  <si>
    <t>AUROPHARMA</t>
  </si>
  <si>
    <t>STARHEALTH</t>
  </si>
  <si>
    <t>IGL</t>
  </si>
  <si>
    <t>LUPIN</t>
  </si>
  <si>
    <t>Titan Company Limited</t>
  </si>
  <si>
    <t>UCOBANK</t>
  </si>
  <si>
    <t>JUBLFOOD</t>
  </si>
  <si>
    <t>Sales</t>
  </si>
  <si>
    <t>POLICYBZR</t>
  </si>
  <si>
    <t>GODREJPROP</t>
  </si>
  <si>
    <t>Avenue Supermarts Limited</t>
  </si>
  <si>
    <t>M&amp;MFIN</t>
  </si>
  <si>
    <t>IDEA</t>
  </si>
  <si>
    <t>OFSS</t>
  </si>
  <si>
    <t>Debt/Total Assets</t>
  </si>
  <si>
    <t>FEDERALBNK</t>
  </si>
  <si>
    <t>MANYAVAR</t>
  </si>
  <si>
    <t>UltraTech Cement Limited</t>
  </si>
  <si>
    <t>UNOMINDA</t>
  </si>
  <si>
    <t>AIAENG</t>
  </si>
  <si>
    <t>THERMAX</t>
  </si>
  <si>
    <t>OIL</t>
  </si>
  <si>
    <t>Bajaj Finserv Limited</t>
  </si>
  <si>
    <t>VOLTAS</t>
  </si>
  <si>
    <t>3MINDIA</t>
  </si>
  <si>
    <t>COROMANDEL</t>
  </si>
  <si>
    <t>SUNDARMFIN</t>
  </si>
  <si>
    <t>KPITTECH</t>
  </si>
  <si>
    <t>Wipro Limited</t>
  </si>
  <si>
    <t>DEEPAKNTR</t>
  </si>
  <si>
    <t>ESCORTS</t>
  </si>
  <si>
    <t>BIOCON</t>
  </si>
  <si>
    <t>row number</t>
  </si>
  <si>
    <t>TATACHEM</t>
  </si>
  <si>
    <t>Adani Enterprises Limited</t>
  </si>
  <si>
    <t>TORNTPOWER</t>
  </si>
  <si>
    <t>GMRINFRA</t>
  </si>
  <si>
    <t>BHEL</t>
  </si>
  <si>
    <t>SONACOMS</t>
  </si>
  <si>
    <t>DELHIVERY</t>
  </si>
  <si>
    <t>SYNGENE</t>
  </si>
  <si>
    <t>CRISIL</t>
  </si>
  <si>
    <t>Oil &amp; Natural Gas Corporation Limited</t>
  </si>
  <si>
    <t>GICRE</t>
  </si>
  <si>
    <t>COFORGE</t>
  </si>
  <si>
    <t>Illiquidit Assets</t>
  </si>
  <si>
    <t>PHOENIXLTD</t>
  </si>
  <si>
    <t>JKCEMENT</t>
  </si>
  <si>
    <t>POONAWALLA</t>
  </si>
  <si>
    <t>GLAXO</t>
  </si>
  <si>
    <t>MFSL</t>
  </si>
  <si>
    <t>NTPC Limited</t>
  </si>
  <si>
    <t>METROBRAND</t>
  </si>
  <si>
    <t>MSUMI</t>
  </si>
  <si>
    <t>SUMICHEM</t>
  </si>
  <si>
    <t>RELAXO</t>
  </si>
  <si>
    <t>NAVINFLUOR</t>
  </si>
  <si>
    <t>SKFINDIA</t>
  </si>
  <si>
    <t>JSW Steel Limited</t>
  </si>
  <si>
    <t>CENTRALBK</t>
  </si>
  <si>
    <t>GLAND</t>
  </si>
  <si>
    <t>KANSAINER</t>
  </si>
  <si>
    <t>GRINDWELL</t>
  </si>
  <si>
    <t>TIMKEN</t>
  </si>
  <si>
    <t>IPCALAB</t>
  </si>
  <si>
    <t>SUNDRMFAST</t>
  </si>
  <si>
    <t>Power Grid Corporation of India Limited</t>
  </si>
  <si>
    <t>ATUL</t>
  </si>
  <si>
    <t>ZEEL</t>
  </si>
  <si>
    <t>L&amp;TFH</t>
  </si>
  <si>
    <t>Mahindra &amp; Mahindra Limited</t>
  </si>
  <si>
    <t>Liquid Assets</t>
  </si>
  <si>
    <t>LTIMindtree Limited</t>
  </si>
  <si>
    <t>ABFRL</t>
  </si>
  <si>
    <t>APOLLOTYRE</t>
  </si>
  <si>
    <t>KPRMILL</t>
  </si>
  <si>
    <t>ZFCVINDIA</t>
  </si>
  <si>
    <t>Tata Motors Limited</t>
  </si>
  <si>
    <t>FORTIS</t>
  </si>
  <si>
    <t>AARTIIND</t>
  </si>
  <si>
    <t>HATSUN</t>
  </si>
  <si>
    <t>CARBORUNIV</t>
  </si>
  <si>
    <t>Adani Green Energy Limited</t>
  </si>
  <si>
    <t>CROMPTON</t>
  </si>
  <si>
    <t>VINATIORGA</t>
  </si>
  <si>
    <t>IIFL</t>
  </si>
  <si>
    <t>BATAINDIA</t>
  </si>
  <si>
    <t>Adani Ports and Special Economic Zone Limited</t>
  </si>
  <si>
    <t>BDL</t>
  </si>
  <si>
    <t>LICHSGFIN</t>
  </si>
  <si>
    <t>Coal India Limited</t>
  </si>
  <si>
    <t>RAJESHEXPO</t>
  </si>
  <si>
    <t>RAMCOCEM</t>
  </si>
  <si>
    <t>ENDURANCE</t>
  </si>
  <si>
    <t>Tata Steel Limited</t>
  </si>
  <si>
    <t>DEVYANI</t>
  </si>
  <si>
    <t>Inventories</t>
  </si>
  <si>
    <t>PSB</t>
  </si>
  <si>
    <t>DIXON</t>
  </si>
  <si>
    <t>Hindustan Zinc Limited</t>
  </si>
  <si>
    <t>KAJARIACER</t>
  </si>
  <si>
    <t>WHIRLPOOL</t>
  </si>
  <si>
    <t>MAHABANK</t>
  </si>
  <si>
    <t>SUNTV</t>
  </si>
  <si>
    <t>Pidilite Industries Limited</t>
  </si>
  <si>
    <t>PEL</t>
  </si>
  <si>
    <t>PRESTIGE</t>
  </si>
  <si>
    <t>NIACL</t>
  </si>
  <si>
    <t>RADICO</t>
  </si>
  <si>
    <t>Siemens Limited</t>
  </si>
  <si>
    <t>PFIZER</t>
  </si>
  <si>
    <t>NH</t>
  </si>
  <si>
    <t>EMAMILTD</t>
  </si>
  <si>
    <t>LAURUSLABS</t>
  </si>
  <si>
    <t>Adani Transmission Limited</t>
  </si>
  <si>
    <t>FIVESTAR</t>
  </si>
  <si>
    <t>AJANTPHARM</t>
  </si>
  <si>
    <t>INDIAMART</t>
  </si>
  <si>
    <t>360ONE</t>
  </si>
  <si>
    <t>SBI Life Insurance Company Limited</t>
  </si>
  <si>
    <t>KEI</t>
  </si>
  <si>
    <t>JBCHEPHARM</t>
  </si>
  <si>
    <t>LALPATHLAB</t>
  </si>
  <si>
    <t>JSL</t>
  </si>
  <si>
    <t>Indian Oil Corporation Limited</t>
  </si>
  <si>
    <t>IRB</t>
  </si>
  <si>
    <t>EXIDEIND</t>
  </si>
  <si>
    <t>PVR</t>
  </si>
  <si>
    <t>GSPL</t>
  </si>
  <si>
    <t>Bajaj Auto Limited</t>
  </si>
  <si>
    <t>BLUEDART</t>
  </si>
  <si>
    <t>NATIONALUM</t>
  </si>
  <si>
    <t>RVNL</t>
  </si>
  <si>
    <t>Grasim Industries Limited</t>
  </si>
  <si>
    <t>CREDITACC</t>
  </si>
  <si>
    <t>TRIDENT</t>
  </si>
  <si>
    <t>POWERINDIA</t>
  </si>
  <si>
    <t>Tech Mahindra Limited</t>
  </si>
  <si>
    <t>MEDANTA</t>
  </si>
  <si>
    <t>GILLETTE</t>
  </si>
  <si>
    <t>RATNAMANI</t>
  </si>
  <si>
    <t>HDFC Life Insurance Company Limited</t>
  </si>
  <si>
    <t>ELGIEQUIP</t>
  </si>
  <si>
    <t>ISEC</t>
  </si>
  <si>
    <t>Britannia Industries Limited</t>
  </si>
  <si>
    <t>CGCL</t>
  </si>
  <si>
    <t>GODREJIND</t>
  </si>
  <si>
    <t>CLEAN</t>
  </si>
  <si>
    <t>Vedanta Limited</t>
  </si>
  <si>
    <t>MAZDOCK</t>
  </si>
  <si>
    <t>MAHINDCIE</t>
  </si>
  <si>
    <t>Godrej Consumer Products Limited</t>
  </si>
  <si>
    <t>AEGISCHEM</t>
  </si>
  <si>
    <t>FACT</t>
  </si>
  <si>
    <t>BLUESTARCO</t>
  </si>
  <si>
    <t>Manual Shariah Calculator:</t>
  </si>
  <si>
    <t>Dabur India Limited</t>
  </si>
  <si>
    <t>SANOFI</t>
  </si>
  <si>
    <t>FINEORG</t>
  </si>
  <si>
    <t>AFFLE</t>
  </si>
  <si>
    <t>Adani Total Gas Limited</t>
  </si>
  <si>
    <t>GLENMARK</t>
  </si>
  <si>
    <t>NAM-INDIA</t>
  </si>
  <si>
    <t>SJVN</t>
  </si>
  <si>
    <t>SHREE CEMENT LIMITED</t>
  </si>
  <si>
    <t>REDINGTON</t>
  </si>
  <si>
    <t>AAVAS</t>
  </si>
  <si>
    <t>IDFC</t>
  </si>
  <si>
    <t>Hindustan Aeronautics Limited</t>
  </si>
  <si>
    <t>FINCABLES</t>
  </si>
  <si>
    <t>NUVOCO</t>
  </si>
  <si>
    <t>BAJAJELEC</t>
  </si>
  <si>
    <t>Hindalco Industries Limited</t>
  </si>
  <si>
    <t>APTUS</t>
  </si>
  <si>
    <t>SUVENPHAR</t>
  </si>
  <si>
    <t>ASTERDM</t>
  </si>
  <si>
    <t>Varun Beverages Limited</t>
  </si>
  <si>
    <t>RHIM</t>
  </si>
  <si>
    <t>KEC</t>
  </si>
  <si>
    <t>DLF Limited</t>
  </si>
  <si>
    <t>SONATSOFTW</t>
  </si>
  <si>
    <t>AETHER</t>
  </si>
  <si>
    <t>DCMSHRIRAM</t>
  </si>
  <si>
    <t>Bank of Baroda</t>
  </si>
  <si>
    <t>IEX</t>
  </si>
  <si>
    <t>HAPPSTMNDS</t>
  </si>
  <si>
    <t>Illiquid Asset Ratio</t>
  </si>
  <si>
    <t>KIMS</t>
  </si>
  <si>
    <t>IndusInd Bank Limited</t>
  </si>
  <si>
    <t>ALKYLAMINE</t>
  </si>
  <si>
    <t>CYIENT</t>
  </si>
  <si>
    <t>CHAMBLFERT</t>
  </si>
  <si>
    <t>ASAHIINDIA</t>
  </si>
  <si>
    <t>Eicher Motors Limited</t>
  </si>
  <si>
    <t>CASTROLIND</t>
  </si>
  <si>
    <t>BRIGADE</t>
  </si>
  <si>
    <t>KALYANKJIL</t>
  </si>
  <si>
    <t>TTML</t>
  </si>
  <si>
    <t>Dr. Reddy's Laboratories Limited</t>
  </si>
  <si>
    <t>VGUARD</t>
  </si>
  <si>
    <t>NLCINDIA</t>
  </si>
  <si>
    <t>LAXMIMACH</t>
  </si>
  <si>
    <t>TRITURBINE</t>
  </si>
  <si>
    <t>FINPIPE</t>
  </si>
  <si>
    <t>Liquid Asset to Mcap</t>
  </si>
  <si>
    <t>AKZOINDIA</t>
  </si>
  <si>
    <t>Divi's Laboratories Limited</t>
  </si>
  <si>
    <t>MANAPPURAM</t>
  </si>
  <si>
    <t>EIHOTEL</t>
  </si>
  <si>
    <t>CENTURYPLY</t>
  </si>
  <si>
    <t>NATCOPHARM</t>
  </si>
  <si>
    <t>KIOCL</t>
  </si>
  <si>
    <t>CHOLAHLDNG</t>
  </si>
  <si>
    <t>Bharat Petroleum Corporation Limited</t>
  </si>
  <si>
    <t>CAMPUS</t>
  </si>
  <si>
    <t>CAMS</t>
  </si>
  <si>
    <t>AMARAJABAT</t>
  </si>
  <si>
    <t>ZYDUSWELL</t>
  </si>
  <si>
    <t>BASF</t>
  </si>
  <si>
    <t>Havells India Limited</t>
  </si>
  <si>
    <t>TEJASNET</t>
  </si>
  <si>
    <t>APLLTD</t>
  </si>
  <si>
    <t>Profit/Divident</t>
  </si>
  <si>
    <t>MGL</t>
  </si>
  <si>
    <t>GRINFRA</t>
  </si>
  <si>
    <t>ANGELONE</t>
  </si>
  <si>
    <t>SFL</t>
  </si>
  <si>
    <t>Adani Power Limited</t>
  </si>
  <si>
    <t>TTKPRESTIG</t>
  </si>
  <si>
    <t>APARINDS</t>
  </si>
  <si>
    <t>HINDCOPPER</t>
  </si>
  <si>
    <t>CDSL</t>
  </si>
  <si>
    <t>GODFRYPHLP</t>
  </si>
  <si>
    <t>RENUKA</t>
  </si>
  <si>
    <t>InterGlobe Aviation Limited</t>
  </si>
  <si>
    <t>CUB</t>
  </si>
  <si>
    <t>JKLAKSHMI</t>
  </si>
  <si>
    <t>ANURAS</t>
  </si>
  <si>
    <t>MRPL</t>
  </si>
  <si>
    <t>GESHIP</t>
  </si>
  <si>
    <t>POLYMED</t>
  </si>
  <si>
    <t>Cipla Limited</t>
  </si>
  <si>
    <t>NSLNISP</t>
  </si>
  <si>
    <t>from Non-sharia Sales</t>
  </si>
  <si>
    <t>BIKAJI</t>
  </si>
  <si>
    <t>MOTILALOFS</t>
  </si>
  <si>
    <t>ABSLAMC</t>
  </si>
  <si>
    <t>CESC</t>
  </si>
  <si>
    <t>Non-current borrowing</t>
  </si>
  <si>
    <t>TATAINVEST</t>
  </si>
  <si>
    <t>Ambuja Cements Limited</t>
  </si>
  <si>
    <t>ALLCARGO</t>
  </si>
  <si>
    <t>KALPATPOWR</t>
  </si>
  <si>
    <t>Property, Plant &amp; Equipment</t>
  </si>
  <si>
    <t>PNBHOUSING</t>
  </si>
  <si>
    <t>HUDCO</t>
  </si>
  <si>
    <t>ITI</t>
  </si>
  <si>
    <t>Total Liabilities</t>
  </si>
  <si>
    <t>ROUTE</t>
  </si>
  <si>
    <t>SRF Limited</t>
  </si>
  <si>
    <t>RITES</t>
  </si>
  <si>
    <t>VTL</t>
  </si>
  <si>
    <t>RBLBANK</t>
  </si>
  <si>
    <t>HFCL</t>
  </si>
  <si>
    <t>KARURVYSYA</t>
  </si>
  <si>
    <t>CERA</t>
  </si>
  <si>
    <t>ABB India Limited</t>
  </si>
  <si>
    <t>EIDPARRY</t>
  </si>
  <si>
    <t>INGERRAND</t>
  </si>
  <si>
    <t>GALAXYSURF</t>
  </si>
  <si>
    <t>PPLPHARMA</t>
  </si>
  <si>
    <t>UTIAMC</t>
  </si>
  <si>
    <t>Bharat Electronics Limited</t>
  </si>
  <si>
    <t>KRBL</t>
  </si>
  <si>
    <t>RAYMOND</t>
  </si>
  <si>
    <t>ASTRAZEN</t>
  </si>
  <si>
    <t>VIPIND</t>
  </si>
  <si>
    <t>ACI</t>
  </si>
  <si>
    <t>BALRAMCHIN</t>
  </si>
  <si>
    <t>SBI Cards and Payment Services Limited</t>
  </si>
  <si>
    <t>SUZLON</t>
  </si>
  <si>
    <t>GODREJAGRO</t>
  </si>
  <si>
    <t>GNFC</t>
  </si>
  <si>
    <t>ERIS</t>
  </si>
  <si>
    <t>PGHL</t>
  </si>
  <si>
    <t>MEDPLUS</t>
  </si>
  <si>
    <t>GAIL (India) Limited</t>
  </si>
  <si>
    <t>SAPPHIRE</t>
  </si>
  <si>
    <t>DATAPATTNS</t>
  </si>
  <si>
    <t>SUNCLAYLTD</t>
  </si>
  <si>
    <t>JBMA</t>
  </si>
  <si>
    <t>Interest Income</t>
  </si>
  <si>
    <t>Bajaj Holdings &amp; Investment Limited</t>
  </si>
  <si>
    <t>Current  borrowing</t>
  </si>
  <si>
    <t>CWIP</t>
  </si>
  <si>
    <t>EASEMYTRIP</t>
  </si>
  <si>
    <t>CCL</t>
  </si>
  <si>
    <t>EQUITASBNK</t>
  </si>
  <si>
    <t>TATA CONSUMER PRODUCTS LIMITED</t>
  </si>
  <si>
    <t>CHALET</t>
  </si>
  <si>
    <t>RAINBOW</t>
  </si>
  <si>
    <t>PNCINFRA</t>
  </si>
  <si>
    <t>FSL</t>
  </si>
  <si>
    <t>KSB</t>
  </si>
  <si>
    <t>BSOFT</t>
  </si>
  <si>
    <t>ICICI Prudential Life Insurance Company Limited</t>
  </si>
  <si>
    <t>KNRCON</t>
  </si>
  <si>
    <t>SHOPERSTOP</t>
  </si>
  <si>
    <t>SYMPHONY</t>
  </si>
  <si>
    <t>CENTURYTEX</t>
  </si>
  <si>
    <t>CANFINHOME</t>
  </si>
  <si>
    <t>Cholamandalam Investment and Finance Company Limited</t>
  </si>
  <si>
    <t>GRANULES</t>
  </si>
  <si>
    <t>TANLA</t>
  </si>
  <si>
    <t>JYOTHYLAB</t>
  </si>
  <si>
    <t>SPLPETRO</t>
  </si>
  <si>
    <t>DEEPAKFERT</t>
  </si>
  <si>
    <t>CRAFTSMAN</t>
  </si>
  <si>
    <t>Marico Limited</t>
  </si>
  <si>
    <t>Any other Investment</t>
  </si>
  <si>
    <t>BIRLACORPN</t>
  </si>
  <si>
    <t>BLS</t>
  </si>
  <si>
    <t>Non-Interest loan</t>
  </si>
  <si>
    <t>SHYAMMETL</t>
  </si>
  <si>
    <t>`</t>
  </si>
  <si>
    <t>NCC</t>
  </si>
  <si>
    <t>Apollo Hospitals Enterprise Limited</t>
  </si>
  <si>
    <t>GMMPFAUDLR</t>
  </si>
  <si>
    <t>LATENTVIEW</t>
  </si>
  <si>
    <t>*Calculations are based on the Fatwa of Mufti Taqi Usmani. 
**Please perform your own calculations in the part below before making any decisions as the findings from the above section's auto calculation may not be accurate. 
Donate as much as you can to the needy!</t>
  </si>
  <si>
    <t>USHAMART</t>
  </si>
  <si>
    <t>HOMEFIRST</t>
  </si>
  <si>
    <t>JKPAPER</t>
  </si>
  <si>
    <t>Tata Power Company Limited</t>
  </si>
  <si>
    <t>TMB</t>
  </si>
  <si>
    <t>JINDWORLD</t>
  </si>
  <si>
    <t>METROPOLIS</t>
  </si>
  <si>
    <t>SAREGAMA</t>
  </si>
  <si>
    <t>NBCC</t>
  </si>
  <si>
    <t>Any  Non-Sharia Income</t>
  </si>
  <si>
    <t>Bosch Limited</t>
  </si>
  <si>
    <t>ECLERX</t>
  </si>
  <si>
    <t>BALAMINES</t>
  </si>
  <si>
    <t>Total Assets</t>
  </si>
  <si>
    <t>WELSPUNIND</t>
  </si>
  <si>
    <t>PRAJIND</t>
  </si>
  <si>
    <t>Intangible Assets</t>
  </si>
  <si>
    <t>COCHINSHIP</t>
  </si>
  <si>
    <t>ZENSARTECH</t>
  </si>
  <si>
    <t>Berger Paints (I) Limited</t>
  </si>
  <si>
    <t>AMBER</t>
  </si>
  <si>
    <t>LEMONTREE</t>
  </si>
  <si>
    <t>PRINCEPIPE</t>
  </si>
  <si>
    <t>TRIVENI</t>
  </si>
  <si>
    <t>GARFIBRES</t>
  </si>
  <si>
    <t>LXCHEM</t>
  </si>
  <si>
    <t>Total Sales/Revenue</t>
  </si>
  <si>
    <t>Jindal Steel &amp; Power Limited</t>
  </si>
  <si>
    <t>STLTECH</t>
  </si>
  <si>
    <t>CEATLTD</t>
  </si>
  <si>
    <t>BSE</t>
  </si>
  <si>
    <t>SPARC</t>
  </si>
  <si>
    <t>Right of use/goodwill</t>
  </si>
  <si>
    <t>ALOKINDS</t>
  </si>
  <si>
    <t>ORIENTELEC</t>
  </si>
  <si>
    <t>United Spirits Limited</t>
  </si>
  <si>
    <t>INDIACEM</t>
  </si>
  <si>
    <t>JUBLINGREA</t>
  </si>
  <si>
    <t>KIRLOSENG</t>
  </si>
  <si>
    <t>TCIEXP</t>
  </si>
  <si>
    <t>JMFINANCIL</t>
  </si>
  <si>
    <t>NETWORK18</t>
  </si>
  <si>
    <t>UPL Limited</t>
  </si>
  <si>
    <t>BBTC</t>
  </si>
  <si>
    <t>SWANENERGY</t>
  </si>
  <si>
    <t>GPPL</t>
  </si>
  <si>
    <t>KAYNES</t>
  </si>
  <si>
    <t>VRLLOG</t>
  </si>
  <si>
    <t>INTELLECT</t>
  </si>
  <si>
    <t>Adani Wilmar Limited</t>
  </si>
  <si>
    <t>SWSOLAR</t>
  </si>
  <si>
    <t>CHEMPLASTS</t>
  </si>
  <si>
    <t>QUESS</t>
  </si>
  <si>
    <t>ROLEXRINGS</t>
  </si>
  <si>
    <t>MAHLIFE</t>
  </si>
  <si>
    <t>ESABINDIA</t>
  </si>
  <si>
    <t>ICICI Lombard General Insurance Company Limited</t>
  </si>
  <si>
    <t>MHRIL</t>
  </si>
  <si>
    <t>GOCOLORS</t>
  </si>
  <si>
    <t>HGS</t>
  </si>
  <si>
    <t>BORORENEW</t>
  </si>
  <si>
    <t>GAEL</t>
  </si>
  <si>
    <t>MAPMYINDIA</t>
  </si>
  <si>
    <t>Torrent Pharmaceuticals Limited</t>
  </si>
  <si>
    <t>PRSMJOHNSN</t>
  </si>
  <si>
    <t>RUSTOMJEE</t>
  </si>
  <si>
    <t>IRCON</t>
  </si>
  <si>
    <t>RCF</t>
  </si>
  <si>
    <t>WELCORP</t>
  </si>
  <si>
    <t>BEML</t>
  </si>
  <si>
    <t>Canara Bank</t>
  </si>
  <si>
    <t>GRSE</t>
  </si>
  <si>
    <t>EPL</t>
  </si>
  <si>
    <t>MINDACORP</t>
  </si>
  <si>
    <t>GRAPHITE</t>
  </si>
  <si>
    <t>HGINFRA</t>
  </si>
  <si>
    <t>OLECTRA</t>
  </si>
  <si>
    <t>Punjab National Bank</t>
  </si>
  <si>
    <t>RELINFRA</t>
  </si>
  <si>
    <t>JUSTDIAL</t>
  </si>
  <si>
    <t>RAIN</t>
  </si>
  <si>
    <t>IONEXCHANG</t>
  </si>
  <si>
    <t>EDELWEISS</t>
  </si>
  <si>
    <t>UJJIVANSFB</t>
  </si>
  <si>
    <t>TVS Motor Company Limited</t>
  </si>
  <si>
    <t>TV18BRDCST</t>
  </si>
  <si>
    <t>GPIL</t>
  </si>
  <si>
    <t>MTARTECH</t>
  </si>
  <si>
    <t>TCI</t>
  </si>
  <si>
    <t>RTNINDIA</t>
  </si>
  <si>
    <t>Zydus Lifesciences Limited</t>
  </si>
  <si>
    <t>VSTIND</t>
  </si>
  <si>
    <t>SAFARI</t>
  </si>
  <si>
    <t>ACE</t>
  </si>
  <si>
    <t>MAHSCOOTER</t>
  </si>
  <si>
    <t>DELTACORP</t>
  </si>
  <si>
    <t>GLS</t>
  </si>
  <si>
    <t>GHCL</t>
  </si>
  <si>
    <t>Tube Investments of India Limited</t>
  </si>
  <si>
    <t>INDIGOPNTS</t>
  </si>
  <si>
    <t>MAHSEAMLES</t>
  </si>
  <si>
    <t>SUPRAJIT</t>
  </si>
  <si>
    <t>KFINTECH</t>
  </si>
  <si>
    <t>GSFC</t>
  </si>
  <si>
    <t>J&amp;KBANK</t>
  </si>
  <si>
    <t>Trent Limited</t>
  </si>
  <si>
    <t>RELIGARE</t>
  </si>
  <si>
    <t>MASTEK</t>
  </si>
  <si>
    <t>SIS</t>
  </si>
  <si>
    <t>JINDALSAW</t>
  </si>
  <si>
    <t>TEGA</t>
  </si>
  <si>
    <t>SYRMA</t>
  </si>
  <si>
    <t>AVANTIFEED</t>
  </si>
  <si>
    <t>IDBI Bank Limited</t>
  </si>
  <si>
    <t>STARCEMENT</t>
  </si>
  <si>
    <t>IBULHSGFIN</t>
  </si>
  <si>
    <t>RKFORGE</t>
  </si>
  <si>
    <t>CAPLIPOINT</t>
  </si>
  <si>
    <t>VAIBHAVGBL</t>
  </si>
  <si>
    <t>RBA</t>
  </si>
  <si>
    <t>Info Edge (India) Limited</t>
  </si>
  <si>
    <t>JUBLPHARMA</t>
  </si>
  <si>
    <t>SHARDACROP</t>
  </si>
  <si>
    <t>NIITLTD</t>
  </si>
  <si>
    <t>PCBL</t>
  </si>
  <si>
    <t>MASFIN</t>
  </si>
  <si>
    <t>SCI</t>
  </si>
  <si>
    <t>PDSL</t>
  </si>
  <si>
    <t>Shriram Finance Limited</t>
  </si>
  <si>
    <t>GUJALKALI</t>
  </si>
  <si>
    <t>ELECON</t>
  </si>
  <si>
    <t>CMSINFO</t>
  </si>
  <si>
    <t>VMART</t>
  </si>
  <si>
    <t>ICRA</t>
  </si>
  <si>
    <t>JSWHL</t>
  </si>
  <si>
    <t>FDC</t>
  </si>
  <si>
    <t>Hero MotoCorp Limited</t>
  </si>
  <si>
    <t>CSBBANK</t>
  </si>
  <si>
    <t>KTKBANK</t>
  </si>
  <si>
    <t>MMTC</t>
  </si>
  <si>
    <t>ENGINERSIN</t>
  </si>
  <si>
    <t>SUNTECK</t>
  </si>
  <si>
    <t>PRIVISCL</t>
  </si>
  <si>
    <t>PARADEEP</t>
  </si>
  <si>
    <t>The Indian Hotels Company Limited</t>
  </si>
  <si>
    <t>SOBHA</t>
  </si>
  <si>
    <t>FUSION</t>
  </si>
  <si>
    <t>GMDCLTD</t>
  </si>
  <si>
    <t>VIJAYA</t>
  </si>
  <si>
    <t>JAMNAAUTO</t>
  </si>
  <si>
    <t>ANANTRAJ</t>
  </si>
  <si>
    <t>PI Industries Limited</t>
  </si>
  <si>
    <t>SANSERA</t>
  </si>
  <si>
    <t>MFL</t>
  </si>
  <si>
    <t>AHLUCONT</t>
  </si>
  <si>
    <t>BSHSL</t>
  </si>
  <si>
    <t>TATACOFFEE</t>
  </si>
  <si>
    <t>Indian Railway Catering And Tourism Corporation Limited</t>
  </si>
  <si>
    <t>TEAMLEASE</t>
  </si>
  <si>
    <t>JKTYRE</t>
  </si>
  <si>
    <t>VARROC</t>
  </si>
  <si>
    <t>GREENLAM</t>
  </si>
  <si>
    <t>JPPOWER</t>
  </si>
  <si>
    <t>CG Power and Industrial Solutions Limited</t>
  </si>
  <si>
    <t>INFIBEAM</t>
  </si>
  <si>
    <t>SPANDANA</t>
  </si>
  <si>
    <t>HSCL</t>
  </si>
  <si>
    <t>BHARATRAS</t>
  </si>
  <si>
    <t>Union Bank of India</t>
  </si>
  <si>
    <t>RAJRATAN</t>
  </si>
  <si>
    <t>LAOPALA</t>
  </si>
  <si>
    <t>SARDAEN</t>
  </si>
  <si>
    <t>RALLIS</t>
  </si>
  <si>
    <t>BOROLTD</t>
  </si>
  <si>
    <t>Samvardhana Motherson International Limited</t>
  </si>
  <si>
    <t>RATEGAIN</t>
  </si>
  <si>
    <t>SCHNEIDER</t>
  </si>
  <si>
    <t>RPOWER</t>
  </si>
  <si>
    <t>ARVINDFASN</t>
  </si>
  <si>
    <t>TATVA</t>
  </si>
  <si>
    <t>POWERMECH</t>
  </si>
  <si>
    <t>Cummins India Limited</t>
  </si>
  <si>
    <t>HCG</t>
  </si>
  <si>
    <t>NESCO</t>
  </si>
  <si>
    <t>HEIDELBERG</t>
  </si>
  <si>
    <t>TECHNOE</t>
  </si>
  <si>
    <t>POLYPLEX</t>
  </si>
  <si>
    <t>SURYAROSNI</t>
  </si>
  <si>
    <t>AUTOAXLES</t>
  </si>
  <si>
    <t>JWL</t>
  </si>
  <si>
    <t>NFL</t>
  </si>
  <si>
    <t>HEG</t>
  </si>
  <si>
    <t>RAJRILTD</t>
  </si>
  <si>
    <t>Schaeffler India Limited</t>
  </si>
  <si>
    <t>CHENNPETRO</t>
  </si>
  <si>
    <t>WSTCSTPAPR</t>
  </si>
  <si>
    <t>LUXIND</t>
  </si>
  <si>
    <t>HIKAL</t>
  </si>
  <si>
    <t>MIDHANI</t>
  </si>
  <si>
    <t>HLEGLAS</t>
  </si>
  <si>
    <t>Macrotech Developers Limited</t>
  </si>
  <si>
    <t>SHAREINDIA</t>
  </si>
  <si>
    <t>NOCIL</t>
  </si>
  <si>
    <t>NAZARA</t>
  </si>
  <si>
    <t>BANARISUG</t>
  </si>
  <si>
    <t>ANANDRATHI</t>
  </si>
  <si>
    <t>PRUDENT</t>
  </si>
  <si>
    <t>GRAVITA</t>
  </si>
  <si>
    <t>Zomato Limited</t>
  </si>
  <si>
    <t>GREENPANEL</t>
  </si>
  <si>
    <t>VESUVIUS</t>
  </si>
  <si>
    <t>DCBBANK</t>
  </si>
  <si>
    <t>ROSSARI</t>
  </si>
  <si>
    <t>RESPONIND</t>
  </si>
  <si>
    <t>TINPLATE</t>
  </si>
  <si>
    <t>KIRLOSBROS</t>
  </si>
  <si>
    <t>Procter &amp; Gamble Hygiene and Health Care Limited</t>
  </si>
  <si>
    <t>RAILTEL</t>
  </si>
  <si>
    <t>AMIORG</t>
  </si>
  <si>
    <t>ISGEC</t>
  </si>
  <si>
    <t>NEOGEN</t>
  </si>
  <si>
    <t>MARKSANS</t>
  </si>
  <si>
    <t>NAVA</t>
  </si>
  <si>
    <t>Yes Bank Limited</t>
  </si>
  <si>
    <t>NEWGEN</t>
  </si>
  <si>
    <t>BECTORFOOD</t>
  </si>
  <si>
    <t>TWL</t>
  </si>
  <si>
    <t>AARTIDRUGS</t>
  </si>
  <si>
    <t>UJJIVAN</t>
  </si>
  <si>
    <t>GATEWAY</t>
  </si>
  <si>
    <t>Polycab India Limited</t>
  </si>
  <si>
    <t>SULA</t>
  </si>
  <si>
    <t>DAAWAT</t>
  </si>
  <si>
    <t>SOUTHBANK</t>
  </si>
  <si>
    <t>Max Healthcare Institute Limited</t>
  </si>
  <si>
    <t>GET&amp;D</t>
  </si>
  <si>
    <t>HARSHA</t>
  </si>
  <si>
    <t>PGEL</t>
  </si>
  <si>
    <t>RSYSTEMS</t>
  </si>
  <si>
    <t>INDOCO</t>
  </si>
  <si>
    <t>MOLDTKPAC</t>
  </si>
  <si>
    <t>Indian Overseas Bank</t>
  </si>
  <si>
    <t>IFBIND</t>
  </si>
  <si>
    <t>SBCL</t>
  </si>
  <si>
    <t>BCG</t>
  </si>
  <si>
    <t>GREAVESCOT</t>
  </si>
  <si>
    <t>MOIL</t>
  </si>
  <si>
    <t>TATASTLLP</t>
  </si>
  <si>
    <t>TARSONS</t>
  </si>
  <si>
    <t>Page Industries Limited</t>
  </si>
  <si>
    <t>SHANTIGEAR</t>
  </si>
  <si>
    <t>CHOICEIN</t>
  </si>
  <si>
    <t>TIIL</t>
  </si>
  <si>
    <t>DHANUKA</t>
  </si>
  <si>
    <t>JCHAC</t>
  </si>
  <si>
    <t>DODLA</t>
  </si>
  <si>
    <t>Colgate Palmolive (India) Limited</t>
  </si>
  <si>
    <t>DALMIASUG</t>
  </si>
  <si>
    <t>VOLTAMP</t>
  </si>
  <si>
    <t>ASTEC</t>
  </si>
  <si>
    <t>SUDARSCHEM</t>
  </si>
  <si>
    <t>KSCL</t>
  </si>
  <si>
    <t>SUNFLAG</t>
  </si>
  <si>
    <t>IBREALEST</t>
  </si>
  <si>
    <t>Ashok Leyland Limited</t>
  </si>
  <si>
    <t>THOMASCOOK</t>
  </si>
  <si>
    <t>HBLPOWER</t>
  </si>
  <si>
    <t>INOXWIND</t>
  </si>
  <si>
    <t>NILKAMAL</t>
  </si>
  <si>
    <t>ZENTEC</t>
  </si>
  <si>
    <t>TCNSBRANDS</t>
  </si>
  <si>
    <t>Alkem Laboratories Limited</t>
  </si>
  <si>
    <t>ADVENZYMES</t>
  </si>
  <si>
    <t>STAR</t>
  </si>
  <si>
    <t>FCL</t>
  </si>
  <si>
    <t>KKCL</t>
  </si>
  <si>
    <t>HINDWAREAP</t>
  </si>
  <si>
    <t>MAHLOG</t>
  </si>
  <si>
    <t>NHPC Limited</t>
  </si>
  <si>
    <t>EMIL</t>
  </si>
  <si>
    <t>JTEKTINDIA</t>
  </si>
  <si>
    <t>MANINFRA</t>
  </si>
  <si>
    <t>ITDC</t>
  </si>
  <si>
    <t>APCOTEXIND</t>
  </si>
  <si>
    <t>One 97 Communications Limited</t>
  </si>
  <si>
    <t>PRICOLLTD</t>
  </si>
  <si>
    <t>PTC</t>
  </si>
  <si>
    <t>AARTIPHARM</t>
  </si>
  <si>
    <t>MBAPL</t>
  </si>
  <si>
    <t>Power Finance Corporation Limited</t>
  </si>
  <si>
    <t>SAGCEM</t>
  </si>
  <si>
    <t>TDPOWERSYS</t>
  </si>
  <si>
    <t>JAICORPLTD</t>
  </si>
  <si>
    <t>DBL</t>
  </si>
  <si>
    <t>BARBEQUE</t>
  </si>
  <si>
    <t>JSW Energy Limited</t>
  </si>
  <si>
    <t>UNIPARTS</t>
  </si>
  <si>
    <t>UFLEX</t>
  </si>
  <si>
    <t>WONDERLA</t>
  </si>
  <si>
    <t>PSPPROJECT</t>
  </si>
  <si>
    <t>KIRLOSIND</t>
  </si>
  <si>
    <t>Muthoot Finance Limited</t>
  </si>
  <si>
    <t>IPL</t>
  </si>
  <si>
    <t>DISHTV</t>
  </si>
  <si>
    <t>TATAMETALI</t>
  </si>
  <si>
    <t>PAISALO</t>
  </si>
  <si>
    <t>PFOCUS</t>
  </si>
  <si>
    <t>AU Small Finance Bank Limited</t>
  </si>
  <si>
    <t>HEMIPROP</t>
  </si>
  <si>
    <t>LGBBROSLTD</t>
  </si>
  <si>
    <t>MAITHANALL</t>
  </si>
  <si>
    <t>SSWL</t>
  </si>
  <si>
    <t>Indus Towers Limited</t>
  </si>
  <si>
    <t>NEULANDLAB</t>
  </si>
  <si>
    <t>HATHWAY</t>
  </si>
  <si>
    <t>THYROCARE</t>
  </si>
  <si>
    <t>ORIENTCEM</t>
  </si>
  <si>
    <t>DREAMFOLKS</t>
  </si>
  <si>
    <t>Balkrishna Industries Limited</t>
  </si>
  <si>
    <t>ETHOSLTD</t>
  </si>
  <si>
    <t>United Breweries Limited</t>
  </si>
  <si>
    <t>GLOBUSSPR</t>
  </si>
  <si>
    <t>GANESHHOUC</t>
  </si>
  <si>
    <t>ARVIND</t>
  </si>
  <si>
    <t>ICIL</t>
  </si>
  <si>
    <t>SHRIPISTON</t>
  </si>
  <si>
    <t>Aditya Birla Capital Limited</t>
  </si>
  <si>
    <t>WOCKPHARMA</t>
  </si>
  <si>
    <t>DBREALTY</t>
  </si>
  <si>
    <t>ISMTLTD</t>
  </si>
  <si>
    <t>JINDALPOLY</t>
  </si>
  <si>
    <t>Tata Elxsi Limited</t>
  </si>
  <si>
    <t>WABAG</t>
  </si>
  <si>
    <t>BAJAJCON</t>
  </si>
  <si>
    <t>GENUSPOWER</t>
  </si>
  <si>
    <t>BUTTERFLY</t>
  </si>
  <si>
    <t>NAVNETEDUL</t>
  </si>
  <si>
    <t>GOKEX</t>
  </si>
  <si>
    <t>APOLLOPIPE</t>
  </si>
  <si>
    <t>Dalmia Bharat Limited</t>
  </si>
  <si>
    <t>LANDMARK</t>
  </si>
  <si>
    <t>IFCI</t>
  </si>
  <si>
    <t>ATFL</t>
  </si>
  <si>
    <t>EVEREADY</t>
  </si>
  <si>
    <t>AGI</t>
  </si>
  <si>
    <t>TI</t>
  </si>
  <si>
    <t>HDFC Asset Management Company Limited</t>
  </si>
  <si>
    <t>ASHOKA</t>
  </si>
  <si>
    <t>SOMANYCERA</t>
  </si>
  <si>
    <t>HCC</t>
  </si>
  <si>
    <t>JISLJALEQS</t>
  </si>
  <si>
    <t>VINDHYATEL</t>
  </si>
  <si>
    <t>FIEMIND</t>
  </si>
  <si>
    <t>TASTYBITE</t>
  </si>
  <si>
    <t>Indian Bank</t>
  </si>
  <si>
    <t>JAYNECOIND</t>
  </si>
  <si>
    <t>HONDAPOWER</t>
  </si>
  <si>
    <t>UNICHEMLAB</t>
  </si>
  <si>
    <t>MUKANDLTD</t>
  </si>
  <si>
    <t>CIGNITITEC</t>
  </si>
  <si>
    <t>MMFL</t>
  </si>
  <si>
    <t>VENKEYS</t>
  </si>
  <si>
    <t>Astral Limited</t>
  </si>
  <si>
    <t>RAMKY</t>
  </si>
  <si>
    <t>DIVGIITTS</t>
  </si>
  <si>
    <t>CAMLINFINE</t>
  </si>
  <si>
    <t>SHILPAMED</t>
  </si>
  <si>
    <t>GULFOILLUB</t>
  </si>
  <si>
    <t>MOL</t>
  </si>
  <si>
    <t>Bharat Forge Limited</t>
  </si>
  <si>
    <t>DOLLAR</t>
  </si>
  <si>
    <t>VSTTILLERS</t>
  </si>
  <si>
    <t>SUBROS</t>
  </si>
  <si>
    <t>DCAL</t>
  </si>
  <si>
    <t>GABRIEL</t>
  </si>
  <si>
    <t>MAXVIL</t>
  </si>
  <si>
    <t>SIYSIL</t>
  </si>
  <si>
    <t>L&amp;T Technology Services Limited</t>
  </si>
  <si>
    <t>TVSSRICHAK</t>
  </si>
  <si>
    <t>ASTRAMICRO</t>
  </si>
  <si>
    <t>JKIL</t>
  </si>
  <si>
    <t>JAGRAN</t>
  </si>
  <si>
    <t>ELECTCAST</t>
  </si>
  <si>
    <t>CARERATING</t>
  </si>
  <si>
    <t>INDIAGLYCO</t>
  </si>
  <si>
    <t>BALMLAWRIE</t>
  </si>
  <si>
    <t>MRF Limited</t>
  </si>
  <si>
    <t>KOLTEPATIL</t>
  </si>
  <si>
    <t>IMAGICAA</t>
  </si>
  <si>
    <t>WELENT</t>
  </si>
  <si>
    <t>TIPSINDLTD</t>
  </si>
  <si>
    <t>SWARAJENG</t>
  </si>
  <si>
    <t>MAYURUNIQ</t>
  </si>
  <si>
    <t>GANECOS</t>
  </si>
  <si>
    <t>Tata Communications Limited</t>
  </si>
  <si>
    <t>PARAS</t>
  </si>
  <si>
    <t>LUMAXTECH</t>
  </si>
  <si>
    <t>ACCELYA</t>
  </si>
  <si>
    <t>FSN E-Commerce Ventures Limited</t>
  </si>
  <si>
    <t>KESORAMIND</t>
  </si>
  <si>
    <t>CARTRADE</t>
  </si>
  <si>
    <t>MPSLTD</t>
  </si>
  <si>
    <t>SEQUENT</t>
  </si>
  <si>
    <t>HIL</t>
  </si>
  <si>
    <t>Container Corporation of India Limited</t>
  </si>
  <si>
    <t>GUFICBIO</t>
  </si>
  <si>
    <t>ITDCEM</t>
  </si>
  <si>
    <t>PILANIINVS</t>
  </si>
  <si>
    <t>MSTCLTD</t>
  </si>
  <si>
    <t>LSIL</t>
  </si>
  <si>
    <t>Persistent Systems Limited</t>
  </si>
  <si>
    <t>PANAMAPET</t>
  </si>
  <si>
    <t>OPTIEMUS</t>
  </si>
  <si>
    <t>SIRCA</t>
  </si>
  <si>
    <t>TIRUMALCHM</t>
  </si>
  <si>
    <t>DYNAMATECH</t>
  </si>
  <si>
    <t>Patanjali Foods Limited</t>
  </si>
  <si>
    <t>SUNDARMHLD</t>
  </si>
  <si>
    <t>TIMETECHNO</t>
  </si>
  <si>
    <t>DBCORP</t>
  </si>
  <si>
    <t>ASHIANA</t>
  </si>
  <si>
    <t>CONFIPET</t>
  </si>
  <si>
    <t>DIAMONDYD</t>
  </si>
  <si>
    <t>Indian Railway Finance Corporation Limited</t>
  </si>
  <si>
    <t>NUCLEUS</t>
  </si>
  <si>
    <t>GREENPLY</t>
  </si>
  <si>
    <t>JPASSOCIAT</t>
  </si>
  <si>
    <t>WENDT</t>
  </si>
  <si>
    <t>Linde India Limited</t>
  </si>
  <si>
    <t>FINOPB</t>
  </si>
  <si>
    <t>FMGOETZE</t>
  </si>
  <si>
    <t>SANGHIIND</t>
  </si>
  <si>
    <t>VAKRANGEE</t>
  </si>
  <si>
    <t>GNA</t>
  </si>
  <si>
    <t>IDFC First Bank Limited</t>
  </si>
  <si>
    <t>AMRUTANJAN</t>
  </si>
  <si>
    <t>EMUDHRA</t>
  </si>
  <si>
    <t>DATAMATICS</t>
  </si>
  <si>
    <t>SHARDAMOTR</t>
  </si>
  <si>
    <t>IOLCP</t>
  </si>
  <si>
    <t>LUMAXIND</t>
  </si>
  <si>
    <t>Petronet LNG Limited</t>
  </si>
  <si>
    <t>BAJAJHIND</t>
  </si>
  <si>
    <t>STYLAMIND</t>
  </si>
  <si>
    <t>ANDHRAPAP</t>
  </si>
  <si>
    <t>SOTL</t>
  </si>
  <si>
    <t>ADFFOODS</t>
  </si>
  <si>
    <t>Solar Industries India Limited</t>
  </si>
  <si>
    <t>VIDHIING</t>
  </si>
  <si>
    <t>KABRAEXTRU</t>
  </si>
  <si>
    <t>BEPL</t>
  </si>
  <si>
    <t>RUPA</t>
  </si>
  <si>
    <t>NACLIND</t>
  </si>
  <si>
    <t>VSSL</t>
  </si>
  <si>
    <t>VISHNU</t>
  </si>
  <si>
    <t>Steel Authority of India Limited</t>
  </si>
  <si>
    <t>DWARKESH</t>
  </si>
  <si>
    <t>DHANI</t>
  </si>
  <si>
    <t>BANCOINDIA</t>
  </si>
  <si>
    <t>KINGFA</t>
  </si>
  <si>
    <t>SUBEXLTD</t>
  </si>
  <si>
    <t>HINDOILEXP</t>
  </si>
  <si>
    <t>MphasiS Limited</t>
  </si>
  <si>
    <t>RTNPOWER</t>
  </si>
  <si>
    <t>VADILALIND</t>
  </si>
  <si>
    <t>BBOX</t>
  </si>
  <si>
    <t>ORCHPHARMA</t>
  </si>
  <si>
    <t>PURVA</t>
  </si>
  <si>
    <t>COSMOFIRST</t>
  </si>
  <si>
    <t>IMFA</t>
  </si>
  <si>
    <t>Hindustan Petroleum Corporation Limited</t>
  </si>
  <si>
    <t>SUPRIYA</t>
  </si>
  <si>
    <t>SAKSOFT</t>
  </si>
  <si>
    <t>IIFLSEC</t>
  </si>
  <si>
    <t>SANGHVIMOV</t>
  </si>
  <si>
    <t>GOKULAGRO</t>
  </si>
  <si>
    <t>APL Apollo Tubes Limited</t>
  </si>
  <si>
    <t>ALEMBICLTD</t>
  </si>
  <si>
    <t>VENUSPIPES</t>
  </si>
  <si>
    <t>SEAMECLTD</t>
  </si>
  <si>
    <t>TNPL</t>
  </si>
  <si>
    <t>KPIGREEN</t>
  </si>
  <si>
    <t>BFINVEST</t>
  </si>
  <si>
    <t>SESHAPAPER</t>
  </si>
  <si>
    <t>Gujarat Fluorochemicals Limited</t>
  </si>
  <si>
    <t>DHAMPURSUG</t>
  </si>
  <si>
    <t>ANDHRSUGAR</t>
  </si>
  <si>
    <t>KIRIINDUS</t>
  </si>
  <si>
    <t>TTKHLTCARE</t>
  </si>
  <si>
    <t>CARYSIL</t>
  </si>
  <si>
    <t>GOCLCORP</t>
  </si>
  <si>
    <t>JSWISPL</t>
  </si>
  <si>
    <t>NMDC Limited</t>
  </si>
  <si>
    <t>STERTOOLS</t>
  </si>
  <si>
    <t>SHALBY</t>
  </si>
  <si>
    <t>TIDEWATER</t>
  </si>
  <si>
    <t>KRSNAA</t>
  </si>
  <si>
    <t>KRISHANA</t>
  </si>
  <si>
    <t>HUHTAMAKI</t>
  </si>
  <si>
    <t>BBL</t>
  </si>
  <si>
    <t>SEPC</t>
  </si>
  <si>
    <t>Honeywell Automation India Limited</t>
  </si>
  <si>
    <t>ORISSAMINE</t>
  </si>
  <si>
    <t>FILATEX</t>
  </si>
  <si>
    <t>THEJO</t>
  </si>
  <si>
    <t>APTECHT</t>
  </si>
  <si>
    <t>ORIENTHOT</t>
  </si>
  <si>
    <t>DCXINDIA</t>
  </si>
  <si>
    <t>FOSECOIND</t>
  </si>
  <si>
    <t>Supreme Industries Limited</t>
  </si>
  <si>
    <t>GOLDIAM</t>
  </si>
  <si>
    <t>SHANKARA</t>
  </si>
  <si>
    <t>INSECTICID</t>
  </si>
  <si>
    <t>THANGAMAYL</t>
  </si>
  <si>
    <t>SHK</t>
  </si>
  <si>
    <t>TEXRAIL</t>
  </si>
  <si>
    <t>Gujarat Gas Limited</t>
  </si>
  <si>
    <t>CANTABIL</t>
  </si>
  <si>
    <t>GALLANTT</t>
  </si>
  <si>
    <t>HERITGFOOD</t>
  </si>
  <si>
    <t>KCP</t>
  </si>
  <si>
    <t>MOREPENLAB</t>
  </si>
  <si>
    <t>GATI</t>
  </si>
  <si>
    <t>RAMASTEEL</t>
  </si>
  <si>
    <t>Bandhan Bank Limited</t>
  </si>
  <si>
    <t>HESTERBIO</t>
  </si>
  <si>
    <t>NRBBEARING</t>
  </si>
  <si>
    <t>INDOSTAR</t>
  </si>
  <si>
    <t>MONTECARLO</t>
  </si>
  <si>
    <t>KSL</t>
  </si>
  <si>
    <t>KDDL</t>
  </si>
  <si>
    <t>TCPLPACK</t>
  </si>
  <si>
    <t>MARATHON</t>
  </si>
  <si>
    <t>ACC Limited</t>
  </si>
  <si>
    <t>ARVSMART</t>
  </si>
  <si>
    <t>DCW</t>
  </si>
  <si>
    <t>DEN</t>
  </si>
  <si>
    <t>STEELXIND</t>
  </si>
  <si>
    <t>EIHAHOTELS</t>
  </si>
  <si>
    <t>IGPL</t>
  </si>
  <si>
    <t>NITINSPIN</t>
  </si>
  <si>
    <t>EXPLEOSOL</t>
  </si>
  <si>
    <t>Oberoi Realty Limited</t>
  </si>
  <si>
    <t>VERANDA</t>
  </si>
  <si>
    <t>SALASAR</t>
  </si>
  <si>
    <t>STYRENIX</t>
  </si>
  <si>
    <t>ADORWELD</t>
  </si>
  <si>
    <t>BHAGCHEM</t>
  </si>
  <si>
    <t>PCJEWELLER</t>
  </si>
  <si>
    <t>GENESYS</t>
  </si>
  <si>
    <t>Bank of India</t>
  </si>
  <si>
    <t>STOVEKRAFT</t>
  </si>
  <si>
    <t>RANEHOLDIN</t>
  </si>
  <si>
    <t>NDTV</t>
  </si>
  <si>
    <t>XPROINDIA</t>
  </si>
  <si>
    <t>MANORAMA</t>
  </si>
  <si>
    <t>GRWRHITECH</t>
  </si>
  <si>
    <t>HARIOMPIPE</t>
  </si>
  <si>
    <t>SANDHAR</t>
  </si>
  <si>
    <t>REC Limited</t>
  </si>
  <si>
    <t>AVTNPL</t>
  </si>
  <si>
    <t>IWEL</t>
  </si>
  <si>
    <t>SJS</t>
  </si>
  <si>
    <t>EVERESTIND</t>
  </si>
  <si>
    <t>FAIRCHEMOR</t>
  </si>
  <si>
    <t>SASKEN</t>
  </si>
  <si>
    <t>OAL</t>
  </si>
  <si>
    <t>Aurobindo Pharma Limited</t>
  </si>
  <si>
    <t>NELCO</t>
  </si>
  <si>
    <t>RIIL</t>
  </si>
  <si>
    <t>SOLARA</t>
  </si>
  <si>
    <t>TAJGVK</t>
  </si>
  <si>
    <t>BOMDYEING</t>
  </si>
  <si>
    <t>MANGCHEFER</t>
  </si>
  <si>
    <t>GOODLUCK</t>
  </si>
  <si>
    <t>RPGLIFE</t>
  </si>
  <si>
    <t>Star Health and Allied Insurance Company Limited</t>
  </si>
  <si>
    <t>PATELENG</t>
  </si>
  <si>
    <t>SPIC</t>
  </si>
  <si>
    <t>INOXGREEN</t>
  </si>
  <si>
    <t>GIPCL</t>
  </si>
  <si>
    <t>UNIVCABLES</t>
  </si>
  <si>
    <t>NSIL</t>
  </si>
  <si>
    <t>HMT</t>
  </si>
  <si>
    <t>Indraprastha Gas Limited</t>
  </si>
  <si>
    <t>MATRIMONY</t>
  </si>
  <si>
    <t>MTNL</t>
  </si>
  <si>
    <t>SDBL</t>
  </si>
  <si>
    <t>VALIANTORG</t>
  </si>
  <si>
    <t>ARMANFIN</t>
  </si>
  <si>
    <t>REPCOHOME</t>
  </si>
  <si>
    <t>HERANBA</t>
  </si>
  <si>
    <t>BFUTILITIE</t>
  </si>
  <si>
    <t>Lupin Limited</t>
  </si>
  <si>
    <t>PRECWIRE</t>
  </si>
  <si>
    <t>AXITA</t>
  </si>
  <si>
    <t>GRMOVER</t>
  </si>
  <si>
    <t>GTPL</t>
  </si>
  <si>
    <t>IGARASHI</t>
  </si>
  <si>
    <t>INFOBEAN</t>
  </si>
  <si>
    <t>ALICON</t>
  </si>
  <si>
    <t>UCO Bank</t>
  </si>
  <si>
    <t>THEMISMED</t>
  </si>
  <si>
    <t>TVTODAY</t>
  </si>
  <si>
    <t>WHEELS</t>
  </si>
  <si>
    <t>RPSGVENT</t>
  </si>
  <si>
    <t>RAMCOIND</t>
  </si>
  <si>
    <t>SMLISUZU</t>
  </si>
  <si>
    <t>AHL</t>
  </si>
  <si>
    <t>Jubilant Foodworks Limited</t>
  </si>
  <si>
    <t>UNIENTER</t>
  </si>
  <si>
    <t>SATIN</t>
  </si>
  <si>
    <t>KUANTUM</t>
  </si>
  <si>
    <t>GANESHBE</t>
  </si>
  <si>
    <t>SUVEN</t>
  </si>
  <si>
    <t>SATIA</t>
  </si>
  <si>
    <t>PB Fintech Limited</t>
  </si>
  <si>
    <t>UGARSUGAR</t>
  </si>
  <si>
    <t>MANALIPETC</t>
  </si>
  <si>
    <t>PIXTRANS</t>
  </si>
  <si>
    <t>SHRIRAMPPS</t>
  </si>
  <si>
    <t>RADIANTCMS</t>
  </si>
  <si>
    <t>PNBGILTS</t>
  </si>
  <si>
    <t>Godrej Properties Limited</t>
  </si>
  <si>
    <t>INDORAMA</t>
  </si>
  <si>
    <t>ASHAPURMIN</t>
  </si>
  <si>
    <t>UGROCAP</t>
  </si>
  <si>
    <t>AXISCADES</t>
  </si>
  <si>
    <t>HITECH</t>
  </si>
  <si>
    <t>PUNJABCHEM</t>
  </si>
  <si>
    <t>SURYODAY</t>
  </si>
  <si>
    <t>EKC</t>
  </si>
  <si>
    <t>Mahindra &amp; Mahindra Financial Services Limited</t>
  </si>
  <si>
    <t>JASH</t>
  </si>
  <si>
    <t>DPSCLTD</t>
  </si>
  <si>
    <t>TARC</t>
  </si>
  <si>
    <t>BHARATWIRE</t>
  </si>
  <si>
    <t>EXCELINDUS</t>
  </si>
  <si>
    <t>SPECIALITY</t>
  </si>
  <si>
    <t>ANUP</t>
  </si>
  <si>
    <t>Vodafone Idea Limited</t>
  </si>
  <si>
    <t>SKIPPER</t>
  </si>
  <si>
    <t>AJMERA</t>
  </si>
  <si>
    <t>SHALPAINTS</t>
  </si>
  <si>
    <t>GMBREW</t>
  </si>
  <si>
    <t>SANGAMIND</t>
  </si>
  <si>
    <t>SHIVALIK</t>
  </si>
  <si>
    <t>GMRP&amp;UI</t>
  </si>
  <si>
    <t>Oracle Financial Services Software Limited</t>
  </si>
  <si>
    <t>PENIND</t>
  </si>
  <si>
    <t>GEOJITFSL</t>
  </si>
  <si>
    <t>BCLIND</t>
  </si>
  <si>
    <t>DBOL</t>
  </si>
  <si>
    <t>SHAILY</t>
  </si>
  <si>
    <t>LIKHITHA</t>
  </si>
  <si>
    <t>MADRASFERT</t>
  </si>
  <si>
    <t>The Federal Bank Limited</t>
  </si>
  <si>
    <t>STEELCAS</t>
  </si>
  <si>
    <t>MKPL</t>
  </si>
  <si>
    <t>ROSSELLIND</t>
  </si>
  <si>
    <t>KITEX</t>
  </si>
  <si>
    <t>PRAKASH</t>
  </si>
  <si>
    <t>ARTEMISMED</t>
  </si>
  <si>
    <t>RICOAUTO</t>
  </si>
  <si>
    <t>OMAXE</t>
  </si>
  <si>
    <t>Vedant Fashions Limited</t>
  </si>
  <si>
    <t>CENTUM</t>
  </si>
  <si>
    <t>ROTO</t>
  </si>
  <si>
    <t>PRECAM</t>
  </si>
  <si>
    <t>BIGBLOC</t>
  </si>
  <si>
    <t>SHREDIGCEM</t>
  </si>
  <si>
    <t>CLSEL</t>
  </si>
  <si>
    <t>GTLINFRA</t>
  </si>
  <si>
    <t>UNO Minda Limited</t>
  </si>
  <si>
    <t>PGIL</t>
  </si>
  <si>
    <t>UTTAMSUGAR</t>
  </si>
  <si>
    <t>AVADHSUGAR</t>
  </si>
  <si>
    <t>PITTIENG</t>
  </si>
  <si>
    <t>5PAISA</t>
  </si>
  <si>
    <t>NAHARSPING</t>
  </si>
  <si>
    <t>SPCENET</t>
  </si>
  <si>
    <t>AIA Engineering Limited</t>
  </si>
  <si>
    <t>SPORTKING</t>
  </si>
  <si>
    <t>DEEPINDS</t>
  </si>
  <si>
    <t>PARAGMILK</t>
  </si>
  <si>
    <t>AGARIND</t>
  </si>
  <si>
    <t>CONTROLPR</t>
  </si>
  <si>
    <t>BAJAJHCARE</t>
  </si>
  <si>
    <t>Thermax Limited</t>
  </si>
  <si>
    <t>KAMDHENU</t>
  </si>
  <si>
    <t>CHEMCON</t>
  </si>
  <si>
    <t>GICHSGFIN</t>
  </si>
  <si>
    <t>MEDICAMEQ</t>
  </si>
  <si>
    <t>DLINKINDIA</t>
  </si>
  <si>
    <t>ARIHANTSUP</t>
  </si>
  <si>
    <t>VHL</t>
  </si>
  <si>
    <t>PFS</t>
  </si>
  <si>
    <t>Oil India Limited</t>
  </si>
  <si>
    <t>HEXATRADEX</t>
  </si>
  <si>
    <t>RILINFRA</t>
  </si>
  <si>
    <t>CAPACITE</t>
  </si>
  <si>
    <t>SPAL</t>
  </si>
  <si>
    <t>NCLIND</t>
  </si>
  <si>
    <t>63MOONS</t>
  </si>
  <si>
    <t>NAVKARCORP</t>
  </si>
  <si>
    <t>Voltas Limited</t>
  </si>
  <si>
    <t>ORIENTPPR</t>
  </si>
  <si>
    <t>DREDGECORP</t>
  </si>
  <si>
    <t>AMBIKCO</t>
  </si>
  <si>
    <t>CENTRUM</t>
  </si>
  <si>
    <t>LINC</t>
  </si>
  <si>
    <t>RGL</t>
  </si>
  <si>
    <t>SCHAND</t>
  </si>
  <si>
    <t>3M India Limited</t>
  </si>
  <si>
    <t>NELCAST</t>
  </si>
  <si>
    <t>FAZE3Q</t>
  </si>
  <si>
    <t>KICL</t>
  </si>
  <si>
    <t>DVL</t>
  </si>
  <si>
    <t>JAGSNPHARM</t>
  </si>
  <si>
    <t>POKARNA</t>
  </si>
  <si>
    <t>IFGLEXPOR</t>
  </si>
  <si>
    <t>TRIL</t>
  </si>
  <si>
    <t>CENTENKA</t>
  </si>
  <si>
    <t>SMCGLOBAL</t>
  </si>
  <si>
    <t>Coromandel International Limited</t>
  </si>
  <si>
    <t>ROHLTD</t>
  </si>
  <si>
    <t>INDNIPPON</t>
  </si>
  <si>
    <t>SHAKTIPUMP</t>
  </si>
  <si>
    <t>NGLFINE</t>
  </si>
  <si>
    <t>IMPAL</t>
  </si>
  <si>
    <t>BLISSGVS</t>
  </si>
  <si>
    <t>Sundaram Finance Limited</t>
  </si>
  <si>
    <t>ALLSEC</t>
  </si>
  <si>
    <t>ORIENTBELL</t>
  </si>
  <si>
    <t>MANGLMCEM</t>
  </si>
  <si>
    <t>SANDESH</t>
  </si>
  <si>
    <t>BODALCHEM</t>
  </si>
  <si>
    <t>ESTER</t>
  </si>
  <si>
    <t>ZOTA</t>
  </si>
  <si>
    <t>KPIT Technologies Limited</t>
  </si>
  <si>
    <t>RSWM</t>
  </si>
  <si>
    <t>INDRAMEDCO</t>
  </si>
  <si>
    <t>QUICKHEAL</t>
  </si>
  <si>
    <t>SRHHYPOLTD</t>
  </si>
  <si>
    <t>AURIONPRO</t>
  </si>
  <si>
    <t>GSLSU</t>
  </si>
  <si>
    <t>SASTASUNDR</t>
  </si>
  <si>
    <t>MANAKSIA</t>
  </si>
  <si>
    <t>Deepak Nitrite Limited</t>
  </si>
  <si>
    <t>AWHCL</t>
  </si>
  <si>
    <t>BLKASHYAP</t>
  </si>
  <si>
    <t>RAMRAT</t>
  </si>
  <si>
    <t>JINDRILL</t>
  </si>
  <si>
    <t>VIMTALABS</t>
  </si>
  <si>
    <t>CLOUD</t>
  </si>
  <si>
    <t>DPABHUSHAN</t>
  </si>
  <si>
    <t>Escorts Kubota Limited</t>
  </si>
  <si>
    <t>MOLDTECH</t>
  </si>
  <si>
    <t>ATULAUTO</t>
  </si>
  <si>
    <t>KOKUYOCMLN</t>
  </si>
  <si>
    <t>SIGACHI</t>
  </si>
  <si>
    <t>HIMATSEIDE</t>
  </si>
  <si>
    <t>LINCOLN</t>
  </si>
  <si>
    <t>GREENPOWER</t>
  </si>
  <si>
    <t>EMAMIPAP</t>
  </si>
  <si>
    <t>Biocon Limited</t>
  </si>
  <si>
    <t>SATINDLTD</t>
  </si>
  <si>
    <t>RAMCOSYS</t>
  </si>
  <si>
    <t>HPAL</t>
  </si>
  <si>
    <t>OCCL</t>
  </si>
  <si>
    <t>FOCUS</t>
  </si>
  <si>
    <t>GEPIL</t>
  </si>
  <si>
    <t>SUTLEJTEX</t>
  </si>
  <si>
    <t>Tata Chemicals Limited</t>
  </si>
  <si>
    <t>PANACEABIO</t>
  </si>
  <si>
    <t>JAIBALAJI</t>
  </si>
  <si>
    <t>RML</t>
  </si>
  <si>
    <t>JETAIRWAYS</t>
  </si>
  <si>
    <t>TRACXN</t>
  </si>
  <si>
    <t>KHAICHEM</t>
  </si>
  <si>
    <t>TNPETRO</t>
  </si>
  <si>
    <t>Torrent Power Limited</t>
  </si>
  <si>
    <t>ONWARDTEC</t>
  </si>
  <si>
    <t>TFCILTD</t>
  </si>
  <si>
    <t>ONMOBILE</t>
  </si>
  <si>
    <t>INNOVANA</t>
  </si>
  <si>
    <t>GANDHITUBE</t>
  </si>
  <si>
    <t>TEXINFRA</t>
  </si>
  <si>
    <t>MEDICO</t>
  </si>
  <si>
    <t>TVSELECT</t>
  </si>
  <si>
    <t>GMR Airports Infrastructure Limited</t>
  </si>
  <si>
    <t>HEUBACHIND</t>
  </si>
  <si>
    <t>VINYLINDIA</t>
  </si>
  <si>
    <t>PARACABLES</t>
  </si>
  <si>
    <t>FOODSIN</t>
  </si>
  <si>
    <t>HLVLTD</t>
  </si>
  <si>
    <t>COFFEEDAY</t>
  </si>
  <si>
    <t>BETA</t>
  </si>
  <si>
    <t>Bharat Heavy Electricals Limited</t>
  </si>
  <si>
    <t>APEX</t>
  </si>
  <si>
    <t>YUKEN</t>
  </si>
  <si>
    <t>ELIN</t>
  </si>
  <si>
    <t>MONARCH</t>
  </si>
  <si>
    <t>DMCC</t>
  </si>
  <si>
    <t>CHEVIOT</t>
  </si>
  <si>
    <t>XCHANGING</t>
  </si>
  <si>
    <t>Sona BLW Precision Forgings Limited</t>
  </si>
  <si>
    <t>VISAKAIND</t>
  </si>
  <si>
    <t>SUMMITSEC</t>
  </si>
  <si>
    <t>SUKHJITS</t>
  </si>
  <si>
    <t>INDIANHUME</t>
  </si>
  <si>
    <t>JUBLINDS</t>
  </si>
  <si>
    <t>ASALCBR</t>
  </si>
  <si>
    <t>DECCANCE</t>
  </si>
  <si>
    <t>JAYBARMARU</t>
  </si>
  <si>
    <t>Delhivery Limited</t>
  </si>
  <si>
    <t>COOLCAPS</t>
  </si>
  <si>
    <t>APOLLO</t>
  </si>
  <si>
    <t>ELDEHSG</t>
  </si>
  <si>
    <t>HERCULES</t>
  </si>
  <si>
    <t>4THDIM</t>
  </si>
  <si>
    <t>KRITI</t>
  </si>
  <si>
    <t>Syngene International Limited</t>
  </si>
  <si>
    <t>AGSTRA</t>
  </si>
  <si>
    <t>NAHARPOLY</t>
  </si>
  <si>
    <t>CRISIL Limited</t>
  </si>
  <si>
    <t>MANINDS</t>
  </si>
  <si>
    <t>ENIL</t>
  </si>
  <si>
    <t>SYNCOMF</t>
  </si>
  <si>
    <t>KAMOPAINTS</t>
  </si>
  <si>
    <t>General Insurance Corporation of India</t>
  </si>
  <si>
    <t>NAGAFERT</t>
  </si>
  <si>
    <t>SCPL</t>
  </si>
  <si>
    <t>HPL</t>
  </si>
  <si>
    <t>INDOAMIN</t>
  </si>
  <si>
    <t>DCMSRIND</t>
  </si>
  <si>
    <t>MENONBE</t>
  </si>
  <si>
    <t>Coforge Limited</t>
  </si>
  <si>
    <t>VASCONEQ</t>
  </si>
  <si>
    <t>VLSFINANCE</t>
  </si>
  <si>
    <t>BALAXI</t>
  </si>
  <si>
    <t>ZEEMEDIA</t>
  </si>
  <si>
    <t>CREATIVE</t>
  </si>
  <si>
    <t>KRISHIVAL</t>
  </si>
  <si>
    <t>SNOWMAN</t>
  </si>
  <si>
    <t>KOPRAN</t>
  </si>
  <si>
    <t>The Phoenix Mills Limited</t>
  </si>
  <si>
    <t>SHREYAS</t>
  </si>
  <si>
    <t>REFEX</t>
  </si>
  <si>
    <t>KSOLVES</t>
  </si>
  <si>
    <t>GFLLIMITED</t>
  </si>
  <si>
    <t>SPECTRUM</t>
  </si>
  <si>
    <t>RUSHIL</t>
  </si>
  <si>
    <t>IRISDOREME</t>
  </si>
  <si>
    <t>JK Cement Limited</t>
  </si>
  <si>
    <t>BINDALAGRO</t>
  </si>
  <si>
    <t>SELMC</t>
  </si>
  <si>
    <t>BHAGERIA</t>
  </si>
  <si>
    <t>ZUARI</t>
  </si>
  <si>
    <t>TALBROAUTO</t>
  </si>
  <si>
    <t>RUBYMILLS</t>
  </si>
  <si>
    <t>OSWALSEEDS</t>
  </si>
  <si>
    <t>DPWIRES</t>
  </si>
  <si>
    <t>Poonawalla Fincorp Limited</t>
  </si>
  <si>
    <t>SMSPHARMA</t>
  </si>
  <si>
    <t>DHARMAJ</t>
  </si>
  <si>
    <t>RBL</t>
  </si>
  <si>
    <t>GOYALALUM</t>
  </si>
  <si>
    <t>NRL</t>
  </si>
  <si>
    <t>MIRZAINT</t>
  </si>
  <si>
    <t>VIKASLIFE</t>
  </si>
  <si>
    <t>GlaxoSmithKline Pharmaceuticals Limited</t>
  </si>
  <si>
    <t>WINDLAS</t>
  </si>
  <si>
    <t>HITECHGEAR</t>
  </si>
  <si>
    <t>SHREEPUSHK</t>
  </si>
  <si>
    <t>SPENCERS</t>
  </si>
  <si>
    <t>KANORICHEM</t>
  </si>
  <si>
    <t>JPOLYINVST</t>
  </si>
  <si>
    <t>ASAL</t>
  </si>
  <si>
    <t>SILVERTUC</t>
  </si>
  <si>
    <t>Max Financial Services Limited</t>
  </si>
  <si>
    <t>3IINFOLTD</t>
  </si>
  <si>
    <t>MALLCOM</t>
  </si>
  <si>
    <t>CREST</t>
  </si>
  <si>
    <t>REPRO</t>
  </si>
  <si>
    <t>MARINE</t>
  </si>
  <si>
    <t>Metro Brands Limited</t>
  </si>
  <si>
    <t>KECL</t>
  </si>
  <si>
    <t>DENORA</t>
  </si>
  <si>
    <t>EXXARO</t>
  </si>
  <si>
    <t>MAGADSUGAR</t>
  </si>
  <si>
    <t>ASIANTILES</t>
  </si>
  <si>
    <t>Motherson Sumi Wiring India Limited</t>
  </si>
  <si>
    <t>JAYAGROGN</t>
  </si>
  <si>
    <t>DIGISPICE</t>
  </si>
  <si>
    <t>BBTCL</t>
  </si>
  <si>
    <t>PREMEXPLN</t>
  </si>
  <si>
    <t>SWELECTES</t>
  </si>
  <si>
    <t>KELLTONTEC</t>
  </si>
  <si>
    <t>MUTHOOTCAP</t>
  </si>
  <si>
    <t>Sumitomo Chemical India Limited</t>
  </si>
  <si>
    <t>APCL</t>
  </si>
  <si>
    <t>ASIANENE</t>
  </si>
  <si>
    <t>DONEAR</t>
  </si>
  <si>
    <t>ADSL</t>
  </si>
  <si>
    <t>BANSWRAS</t>
  </si>
  <si>
    <t>NAHARCAP</t>
  </si>
  <si>
    <t>ICEMAKE</t>
  </si>
  <si>
    <t>BAIDFIN</t>
  </si>
  <si>
    <t>Relaxo Footwears Limited</t>
  </si>
  <si>
    <t>STCINDIA</t>
  </si>
  <si>
    <t>TBZ</t>
  </si>
  <si>
    <t>SALZERELEC</t>
  </si>
  <si>
    <t>IFBAGRO</t>
  </si>
  <si>
    <t>PTL</t>
  </si>
  <si>
    <t>ARIHANTCAP</t>
  </si>
  <si>
    <t>CSLFINANCE</t>
  </si>
  <si>
    <t>Navin Fluorine International Limited</t>
  </si>
  <si>
    <t>JSLL</t>
  </si>
  <si>
    <t>UNIVPHOTO</t>
  </si>
  <si>
    <t>HARDWYN</t>
  </si>
  <si>
    <t>DSSL</t>
  </si>
  <si>
    <t>REVATHI</t>
  </si>
  <si>
    <t>HCL-INSYS</t>
  </si>
  <si>
    <t>SKF India Limited</t>
  </si>
  <si>
    <t>PLASTIBLEN</t>
  </si>
  <si>
    <t>UNIDT</t>
  </si>
  <si>
    <t>CAREERP</t>
  </si>
  <si>
    <t>ARROWGREEN</t>
  </si>
  <si>
    <t>Central Bank of India</t>
  </si>
  <si>
    <t>SREEL</t>
  </si>
  <si>
    <t>SBC</t>
  </si>
  <si>
    <t>ratio&gt;</t>
  </si>
  <si>
    <t>RADIOCITY</t>
  </si>
  <si>
    <t>SERVOTECH</t>
  </si>
  <si>
    <t>SAKAR</t>
  </si>
  <si>
    <t>Gland Pharma Limited</t>
  </si>
  <si>
    <t>BALAJITELE</t>
  </si>
  <si>
    <t>NXTDIGITAL</t>
  </si>
  <si>
    <t>GOACARBON</t>
  </si>
  <si>
    <t>BIRLACABLE</t>
  </si>
  <si>
    <t>RITCO</t>
  </si>
  <si>
    <t>Kansai Nerolac Paints Limited</t>
  </si>
  <si>
    <t>SELAN</t>
  </si>
  <si>
    <t>ASCOM</t>
  </si>
  <si>
    <t>OSIAHYPER</t>
  </si>
  <si>
    <t>HINDCOMPOS</t>
  </si>
  <si>
    <t>Grindwell Norton Limited</t>
  </si>
  <si>
    <t>DHANBANK</t>
  </si>
  <si>
    <t>DYCL</t>
  </si>
  <si>
    <t>DHUNINV</t>
  </si>
  <si>
    <t>EIFFL</t>
  </si>
  <si>
    <t>Borrowing</t>
  </si>
  <si>
    <t>MUNJALAU</t>
  </si>
  <si>
    <t>Timken India Limited</t>
  </si>
  <si>
    <t>NAHARINDUS</t>
  </si>
  <si>
    <t>DELPHIFX</t>
  </si>
  <si>
    <t>URJA</t>
  </si>
  <si>
    <t>PRIMESECU</t>
  </si>
  <si>
    <t>IPCA Laboratories Limited</t>
  </si>
  <si>
    <t>NECLIFE</t>
  </si>
  <si>
    <t>NBIFIN</t>
  </si>
  <si>
    <t>GRPLTD</t>
  </si>
  <si>
    <t>MAWANASUG</t>
  </si>
  <si>
    <t>ZIMLAB</t>
  </si>
  <si>
    <t>Sundram Fasteners Limited</t>
  </si>
  <si>
    <t>PDMJEPAPER</t>
  </si>
  <si>
    <t>ONEPOINT</t>
  </si>
  <si>
    <t>MAXIND</t>
  </si>
  <si>
    <t>SHYAMCENT</t>
  </si>
  <si>
    <t>VARDHACRLC</t>
  </si>
  <si>
    <t>Atul Limited</t>
  </si>
  <si>
    <t>RADHIKAJWE</t>
  </si>
  <si>
    <t>NPST</t>
  </si>
  <si>
    <t>THEINVEST</t>
  </si>
  <si>
    <t>HTMEDIA</t>
  </si>
  <si>
    <t>Zee Entertainment Enterprises Limited</t>
  </si>
  <si>
    <t>Total Asset</t>
  </si>
  <si>
    <t>NRAIL</t>
  </si>
  <si>
    <t>RCOM</t>
  </si>
  <si>
    <t>DICIND</t>
  </si>
  <si>
    <t>OSWALAGRO</t>
  </si>
  <si>
    <t>POCL</t>
  </si>
  <si>
    <t>AARTISURF</t>
  </si>
  <si>
    <t>L&amp;T Finance Holdings Limited</t>
  </si>
  <si>
    <t>SKMEGGPROD</t>
  </si>
  <si>
    <t>SOLEX</t>
  </si>
  <si>
    <t>DEEPENR</t>
  </si>
  <si>
    <t>FCSSOFT</t>
  </si>
  <si>
    <t>MUNJALSHOW</t>
  </si>
  <si>
    <t>Aditya Birla Fashion and Retail Limited</t>
  </si>
  <si>
    <t>KOTHARIPRO</t>
  </si>
  <si>
    <t>PONNIERODE</t>
  </si>
  <si>
    <t>CHEMBOND</t>
  </si>
  <si>
    <t>USASEEDS</t>
  </si>
  <si>
    <t>Apollo Tyres Limited</t>
  </si>
  <si>
    <t>KERNEX</t>
  </si>
  <si>
    <t>RANASUG</t>
  </si>
  <si>
    <t>CUPID</t>
  </si>
  <si>
    <t>BGRENERGY</t>
  </si>
  <si>
    <t>GENUSPAPER</t>
  </si>
  <si>
    <t>K.P.R. Mill Limited</t>
  </si>
  <si>
    <t>Illiquid Ratio</t>
  </si>
  <si>
    <t>GSS</t>
  </si>
  <si>
    <t>ZF Commercial Vehicle Control Systems India Limited</t>
  </si>
  <si>
    <t>PENINLAND</t>
  </si>
  <si>
    <t>JYOTISTRUC</t>
  </si>
  <si>
    <t>ADVANIHOTR</t>
  </si>
  <si>
    <t>Fortis Healthcare Limited</t>
  </si>
  <si>
    <t>KAYA</t>
  </si>
  <si>
    <t>KOTHARIPET</t>
  </si>
  <si>
    <t>LIBERTSHOE</t>
  </si>
  <si>
    <t>KHADIM</t>
  </si>
  <si>
    <t>Aarti Industries Limited</t>
  </si>
  <si>
    <t>PPL</t>
  </si>
  <si>
    <t>VIPCLOTHNG</t>
  </si>
  <si>
    <t>NDRAUTO</t>
  </si>
  <si>
    <t>PROZONINTU</t>
  </si>
  <si>
    <t>INDOBORAX</t>
  </si>
  <si>
    <t>Hatsun Agro Product Limited</t>
  </si>
  <si>
    <t>CONSOFINVT</t>
  </si>
  <si>
    <t>INDSWFTLAB</t>
  </si>
  <si>
    <t>ZUARIIND</t>
  </si>
  <si>
    <t>Carborundum Universal Limited</t>
  </si>
  <si>
    <t>GVKPIL</t>
  </si>
  <si>
    <t>SBGLP</t>
  </si>
  <si>
    <t>HIRECT</t>
  </si>
  <si>
    <t>Illiquid Asset</t>
  </si>
  <si>
    <t>CHEMFAB</t>
  </si>
  <si>
    <t>GLOBAL</t>
  </si>
  <si>
    <t>Crompton Greaves Consumer Electricals Limited</t>
  </si>
  <si>
    <t>ANNAPURNA</t>
  </si>
  <si>
    <t>INTLCONV</t>
  </si>
  <si>
    <t>EMKAYTOOLS</t>
  </si>
  <si>
    <t>ORBTEXP</t>
  </si>
  <si>
    <t>SOUTHWEST</t>
  </si>
  <si>
    <t>Vinati Organics Limited</t>
  </si>
  <si>
    <t>KAMATHOTEL</t>
  </si>
  <si>
    <t>Fixed Asset</t>
  </si>
  <si>
    <t>RAJMET</t>
  </si>
  <si>
    <t>RAMAPHO</t>
  </si>
  <si>
    <t>OMINFRAL</t>
  </si>
  <si>
    <t>HMVL</t>
  </si>
  <si>
    <t>AYMSYNTEX</t>
  </si>
  <si>
    <t>IIFL Finance Limited</t>
  </si>
  <si>
    <t>MSPL</t>
  </si>
  <si>
    <t>WEALTH</t>
  </si>
  <si>
    <t>UNITECH</t>
  </si>
  <si>
    <t>WEBELSOLAR</t>
  </si>
  <si>
    <t>Bata India Limited</t>
  </si>
  <si>
    <t>NURECA</t>
  </si>
  <si>
    <t>LYKALABS</t>
  </si>
  <si>
    <t>GKWLIMITED</t>
  </si>
  <si>
    <t>MHLXMIRU</t>
  </si>
  <si>
    <t>Bharat Dynamics Limited</t>
  </si>
  <si>
    <t>AURUM</t>
  </si>
  <si>
    <t>SKYGOLD</t>
  </si>
  <si>
    <t>ALBERTDAVD</t>
  </si>
  <si>
    <t>LIC Housing Finance Limited</t>
  </si>
  <si>
    <t>SHIVAUM</t>
  </si>
  <si>
    <t>PAVNAIND</t>
  </si>
  <si>
    <t>CINELINE</t>
  </si>
  <si>
    <t>Rajesh Exports Limited</t>
  </si>
  <si>
    <t>KOTARISUG</t>
  </si>
  <si>
    <t>SHEMAROO</t>
  </si>
  <si>
    <t>SILINV</t>
  </si>
  <si>
    <t>The Ramco Cements Limited</t>
  </si>
  <si>
    <t>SKP</t>
  </si>
  <si>
    <t>MMP</t>
  </si>
  <si>
    <t>EQUIPPP</t>
  </si>
  <si>
    <t>Endurance Technologies Limited</t>
  </si>
  <si>
    <t>MANORG</t>
  </si>
  <si>
    <t>CYBERTECH</t>
  </si>
  <si>
    <t>TRIGYN</t>
  </si>
  <si>
    <t>Devyani International Limited</t>
  </si>
  <si>
    <t>SINTERCOM</t>
  </si>
  <si>
    <t>JINDALPHOT</t>
  </si>
  <si>
    <t>SARLAPOLY</t>
  </si>
  <si>
    <t>Punjab &amp; Sind Bank</t>
  </si>
  <si>
    <t>RUCHIRA</t>
  </si>
  <si>
    <t>ESSENTIA</t>
  </si>
  <si>
    <t>MACPOWER</t>
  </si>
  <si>
    <t>Dixon Technologies (India) Limited</t>
  </si>
  <si>
    <t>AUTOIND</t>
  </si>
  <si>
    <t>ORIENTABRA</t>
  </si>
  <si>
    <t>APOLSINHOT</t>
  </si>
  <si>
    <t>Kajaria Ceramics Limited</t>
  </si>
  <si>
    <t>DYNPRO</t>
  </si>
  <si>
    <t>CLEDUCATE</t>
  </si>
  <si>
    <t>//*[@id="ratios"]/div[2]/table/tbody/tr[2]/td[13]</t>
  </si>
  <si>
    <t>PARSVNATH</t>
  </si>
  <si>
    <t>Whirlpool of India Limited</t>
  </si>
  <si>
    <t>GSCLCEMENT</t>
  </si>
  <si>
    <t>MIRCELECTR</t>
  </si>
  <si>
    <t>VISHWARAJ</t>
  </si>
  <si>
    <t>HINDMOTORS</t>
  </si>
  <si>
    <t>Bank of Maharashtra</t>
  </si>
  <si>
    <t>NINSYS</t>
  </si>
  <si>
    <t>NATHBIOGEN</t>
  </si>
  <si>
    <t>KNAGRI</t>
  </si>
  <si>
    <t>GEECEE</t>
  </si>
  <si>
    <t>KCPSUGIND</t>
  </si>
  <si>
    <t>Sun TV Network Limited</t>
  </si>
  <si>
    <t>STEL</t>
  </si>
  <si>
    <t>PODDARMENT</t>
  </si>
  <si>
    <t>KOTYARK</t>
  </si>
  <si>
    <t>HITECHCORP</t>
  </si>
  <si>
    <t>Piramal Enterprises Limited</t>
  </si>
  <si>
    <t>EUROBOND</t>
  </si>
  <si>
    <t>MICEL</t>
  </si>
  <si>
    <t>ORICONENT</t>
  </si>
  <si>
    <t>20MICRONS</t>
  </si>
  <si>
    <t>MWL</t>
  </si>
  <si>
    <t>Prestige Estates Projects Limited</t>
  </si>
  <si>
    <t>MINDTECK</t>
  </si>
  <si>
    <t>BMETRICS</t>
  </si>
  <si>
    <t>GOKUL</t>
  </si>
  <si>
    <t>SECL</t>
  </si>
  <si>
    <t>DUGLOBAL</t>
  </si>
  <si>
    <t>The New India Assurance Company Limited</t>
  </si>
  <si>
    <t>WEL</t>
  </si>
  <si>
    <t>SUPERHOUSE</t>
  </si>
  <si>
    <t>LOYALTEX</t>
  </si>
  <si>
    <t>BPL</t>
  </si>
  <si>
    <t>BIRLAMONEY</t>
  </si>
  <si>
    <t>Radico Khaitan Limited</t>
  </si>
  <si>
    <t>GPTINFRA</t>
  </si>
  <si>
    <t>E2E</t>
  </si>
  <si>
    <t>SHIVAMAUTO</t>
  </si>
  <si>
    <t>DCMNVL</t>
  </si>
  <si>
    <t>MAZDA</t>
  </si>
  <si>
    <t>Pfizer Limited</t>
  </si>
  <si>
    <t>MADHAVBAUG</t>
  </si>
  <si>
    <t>WINDMACHIN</t>
  </si>
  <si>
    <t>BASML</t>
  </si>
  <si>
    <t>WALCHANNAG</t>
  </si>
  <si>
    <t>Narayana Hrudayalaya Ltd.</t>
  </si>
  <si>
    <t>SEJALLTD</t>
  </si>
  <si>
    <t>UCALFUEL</t>
  </si>
  <si>
    <t>MAHEPC</t>
  </si>
  <si>
    <t>Emami Limited</t>
  </si>
  <si>
    <t>V2RETAIL</t>
  </si>
  <si>
    <t>SAKUMA</t>
  </si>
  <si>
    <t>VERTOZ</t>
  </si>
  <si>
    <t>KMSUGAR</t>
  </si>
  <si>
    <t>Laurus Labs Limited</t>
  </si>
  <si>
    <t>ASHIMASYN</t>
  </si>
  <si>
    <t>UFO</t>
  </si>
  <si>
    <t>VIKASECO</t>
  </si>
  <si>
    <t>SAKHTISUG</t>
  </si>
  <si>
    <t>Five-Star Business Finance Limited</t>
  </si>
  <si>
    <t>MAHESHWARI</t>
  </si>
  <si>
    <t>MAANALU</t>
  </si>
  <si>
    <t>HUBTOWN</t>
  </si>
  <si>
    <t>REPL</t>
  </si>
  <si>
    <t>QMSMEDI</t>
  </si>
  <si>
    <t>MANAKSTEEL</t>
  </si>
  <si>
    <t>Ajanta Pharma Limited</t>
  </si>
  <si>
    <t>EMAMIREAL</t>
  </si>
  <si>
    <t>GENCON</t>
  </si>
  <si>
    <t>STARPAPER</t>
  </si>
  <si>
    <t>Indiamart Intermesh Limited</t>
  </si>
  <si>
    <t>GUJAPOLLO</t>
  </si>
  <si>
    <t>JAYSREETEA</t>
  </si>
  <si>
    <t>liquidity</t>
  </si>
  <si>
    <t>NDL</t>
  </si>
  <si>
    <t>BCONCEPTS</t>
  </si>
  <si>
    <t>360 ONE WAM LIMITED</t>
  </si>
  <si>
    <t>GIRRESORTS</t>
  </si>
  <si>
    <t>SMLT</t>
  </si>
  <si>
    <t>TPLPLASTEH</t>
  </si>
  <si>
    <t>TEMBO</t>
  </si>
  <si>
    <t>DANGEE</t>
  </si>
  <si>
    <t>KEI Industries Limited</t>
  </si>
  <si>
    <t>NIPPOBATRY</t>
  </si>
  <si>
    <t>ASIANHOTNR</t>
  </si>
  <si>
    <t>BRNL</t>
  </si>
  <si>
    <t>PPAP</t>
  </si>
  <si>
    <t>PASUPTAC</t>
  </si>
  <si>
    <t>JB Chemicals &amp; Pharmaceuticals Limited</t>
  </si>
  <si>
    <t>FROG</t>
  </si>
  <si>
    <t>ASAHISONG</t>
  </si>
  <si>
    <t>PRECOT</t>
  </si>
  <si>
    <t>Dr. Lal Path Labs Ltd.</t>
  </si>
  <si>
    <t>MEP</t>
  </si>
  <si>
    <t>VENUSREM</t>
  </si>
  <si>
    <t>KILITCH</t>
  </si>
  <si>
    <t>BTML</t>
  </si>
  <si>
    <t>Jindal Stainless Limited</t>
  </si>
  <si>
    <t>MEGASTAR</t>
  </si>
  <si>
    <t>Liquid Asset</t>
  </si>
  <si>
    <t>DRCSYSTEMS</t>
  </si>
  <si>
    <t>ZODIACLOTH</t>
  </si>
  <si>
    <t>HILTON</t>
  </si>
  <si>
    <t>IRB Infrastructure Developers Limited</t>
  </si>
  <si>
    <t>INDOTHAI</t>
  </si>
  <si>
    <t>JITFINFRA</t>
  </si>
  <si>
    <t>mcap</t>
  </si>
  <si>
    <t>EROSMEDIA</t>
  </si>
  <si>
    <t>DEVIT</t>
  </si>
  <si>
    <t>BIL</t>
  </si>
  <si>
    <t>Exide Industries Limited</t>
  </si>
  <si>
    <t>EIMCOELECO</t>
  </si>
  <si>
    <t>ANMOL</t>
  </si>
  <si>
    <t>COASTCORP</t>
  </si>
  <si>
    <t>RAJTV</t>
  </si>
  <si>
    <t>PVR Limited</t>
  </si>
  <si>
    <t>KORE</t>
  </si>
  <si>
    <t>RELCAPITAL</t>
  </si>
  <si>
    <t>MGEL</t>
  </si>
  <si>
    <t>FOCE</t>
  </si>
  <si>
    <t>INDTERRAIN</t>
  </si>
  <si>
    <t>Gujarat State Petronet Limited</t>
  </si>
  <si>
    <t>TAKE</t>
  </si>
  <si>
    <t>TOTAL</t>
  </si>
  <si>
    <t>//*[@id="top-ratios"]/li[1]/span[2]/span</t>
  </si>
  <si>
    <t>ACCURACY</t>
  </si>
  <si>
    <t>AVG</t>
  </si>
  <si>
    <t>Blue Dart Express Limited</t>
  </si>
  <si>
    <t>HARRMALAYA</t>
  </si>
  <si>
    <t>SHREYANIND</t>
  </si>
  <si>
    <t>LOKESHMACH</t>
  </si>
  <si>
    <t>LGBFORGE</t>
  </si>
  <si>
    <t>SYSTANGO</t>
  </si>
  <si>
    <t>National Aluminium Company Limited</t>
  </si>
  <si>
    <t>SIGMA</t>
  </si>
  <si>
    <t>MARALOVER</t>
  </si>
  <si>
    <t>Marketcap</t>
  </si>
  <si>
    <t>ABAN</t>
  </si>
  <si>
    <t>BAFNAPH</t>
  </si>
  <si>
    <t>Rail Vikas Nigam Limited</t>
  </si>
  <si>
    <t>BEDMUTHA</t>
  </si>
  <si>
    <t>SIMPLEXINF</t>
  </si>
  <si>
    <t>ARIES</t>
  </si>
  <si>
    <t>DTIL</t>
  </si>
  <si>
    <t>CREDITACCESS GRAMEEN LIMITED</t>
  </si>
  <si>
    <t>KRITINUT</t>
  </si>
  <si>
    <t>IVC</t>
  </si>
  <si>
    <t>IITL</t>
  </si>
  <si>
    <t>Trident Limited</t>
  </si>
  <si>
    <t>SWASTIK</t>
  </si>
  <si>
    <t>AARON</t>
  </si>
  <si>
    <t>VITAL</t>
  </si>
  <si>
    <t>BEWLTD</t>
  </si>
  <si>
    <t xml:space="preserve">beer </t>
  </si>
  <si>
    <t>NILAINFRA</t>
  </si>
  <si>
    <t>Hitachi Energy India Limited</t>
  </si>
  <si>
    <t>industry</t>
  </si>
  <si>
    <t>INDOTECH</t>
  </si>
  <si>
    <t>//div[@class='flex flex-space-between']/div[1]/p/a[1]</t>
  </si>
  <si>
    <t>PVP</t>
  </si>
  <si>
    <t>AHLEAST</t>
  </si>
  <si>
    <t>SAH</t>
  </si>
  <si>
    <t>Global Health Limited</t>
  </si>
  <si>
    <t>TIPSFILMS</t>
  </si>
  <si>
    <t>PHANTOMFX</t>
  </si>
  <si>
    <t>DUCOL</t>
  </si>
  <si>
    <t xml:space="preserve">liquor </t>
  </si>
  <si>
    <t>KANPRPLA</t>
  </si>
  <si>
    <t>sector</t>
  </si>
  <si>
    <t>//div[@class='flex flex-space-between']/div[1]/p/a[2]</t>
  </si>
  <si>
    <t>VINNY</t>
  </si>
  <si>
    <t>Gillette India Limited</t>
  </si>
  <si>
    <t>MCLEODRUSS</t>
  </si>
  <si>
    <t>TRF</t>
  </si>
  <si>
    <t>ALLETEC</t>
  </si>
  <si>
    <t>MANOMAY</t>
  </si>
  <si>
    <t xml:space="preserve"> pork</t>
  </si>
  <si>
    <t>INSPIRISYS</t>
  </si>
  <si>
    <t>business</t>
  </si>
  <si>
    <t>AIRAN</t>
  </si>
  <si>
    <t>Ratnamani Metals &amp; Tubes Limited</t>
  </si>
  <si>
    <t>/html/body/main/div[3]/div[3]/div[1]/div[1]/div[2]/p/text()</t>
  </si>
  <si>
    <t>MODISONLTD</t>
  </si>
  <si>
    <t>MURUDCERA</t>
  </si>
  <si>
    <t>TIRUPATI</t>
  </si>
  <si>
    <t>PAR</t>
  </si>
  <si>
    <t>Elgi Equipments Limited</t>
  </si>
  <si>
    <t>SGIL</t>
  </si>
  <si>
    <t>SPLIL</t>
  </si>
  <si>
    <t>GEEKAYWIRE</t>
  </si>
  <si>
    <t>ICICI Securities Limited</t>
  </si>
  <si>
    <t>PALREDTEC</t>
  </si>
  <si>
    <t>ESSARSHPNG</t>
  </si>
  <si>
    <t>SIL</t>
  </si>
  <si>
    <t>Capri Global Capital Limited</t>
  </si>
  <si>
    <t>alcohol</t>
  </si>
  <si>
    <t>PRITI</t>
  </si>
  <si>
    <t>AKSHARCHEM</t>
  </si>
  <si>
    <t>RAMANEWS</t>
  </si>
  <si>
    <t>RUCHINFRA</t>
  </si>
  <si>
    <t>ALANKIT</t>
  </si>
  <si>
    <t>Godrej Industries Limited</t>
  </si>
  <si>
    <t>MEGASOFT</t>
  </si>
  <si>
    <t>gambling</t>
  </si>
  <si>
    <t>IZMO</t>
  </si>
  <si>
    <t>GULFPETRO</t>
  </si>
  <si>
    <t>Clean Science and Technology Limited</t>
  </si>
  <si>
    <t>TOUCHWOOD</t>
  </si>
  <si>
    <t>SARVESHWAR</t>
  </si>
  <si>
    <t>TARMAT</t>
  </si>
  <si>
    <t>betting</t>
  </si>
  <si>
    <t>RPPL</t>
  </si>
  <si>
    <t>Summary</t>
  </si>
  <si>
    <t>Mazagon Dock Shipbuilders Limited</t>
  </si>
  <si>
    <t>IEL</t>
  </si>
  <si>
    <t>BHARATGEAR</t>
  </si>
  <si>
    <t>GOLDTECH</t>
  </si>
  <si>
    <t>MBLINFRA</t>
  </si>
  <si>
    <t>Mahindra CIE Automotive Limited</t>
  </si>
  <si>
    <t>PROPEQUITY</t>
  </si>
  <si>
    <t>EMKAY</t>
  </si>
  <si>
    <t>IL&amp;FSENGG</t>
  </si>
  <si>
    <t>Aegis Logistics Limited</t>
  </si>
  <si>
    <t>BSL</t>
  </si>
  <si>
    <t>UNITEDPOLY</t>
  </si>
  <si>
    <t>PASHUPATI</t>
  </si>
  <si>
    <t>SHIVATEX</t>
  </si>
  <si>
    <t>Fertilizers and Chemicals Travancore Limited</t>
  </si>
  <si>
    <t>MANGALAM</t>
  </si>
  <si>
    <t>KRISHNADEF</t>
  </si>
  <si>
    <t>PREMIERPOL</t>
  </si>
  <si>
    <t>Blue Star Limited</t>
  </si>
  <si>
    <t>SMSLIFE</t>
  </si>
  <si>
    <t>tobacco</t>
  </si>
  <si>
    <t>GOLDSTAR</t>
  </si>
  <si>
    <t>Industry</t>
  </si>
  <si>
    <t>BROOKS</t>
  </si>
  <si>
    <t>VAISHALI</t>
  </si>
  <si>
    <t>Sanofi India Limited</t>
  </si>
  <si>
    <t>ALMONDZ</t>
  </si>
  <si>
    <t>3RDROCK</t>
  </si>
  <si>
    <t>PRESSMN</t>
  </si>
  <si>
    <t>Fine Organic Industries Limited</t>
  </si>
  <si>
    <t>AARVI</t>
  </si>
  <si>
    <t>AKSHAR</t>
  </si>
  <si>
    <t>Affle (India) Limited</t>
  </si>
  <si>
    <t>LATTEYS</t>
  </si>
  <si>
    <t>VISESHINFO</t>
  </si>
  <si>
    <t xml:space="preserve"> cigar</t>
  </si>
  <si>
    <t>BHAGYANGR</t>
  </si>
  <si>
    <t>Sector</t>
  </si>
  <si>
    <t>TTL</t>
  </si>
  <si>
    <t>Glenmark Pharmaceuticals Limited</t>
  </si>
  <si>
    <t>SADBHAV</t>
  </si>
  <si>
    <t>COMPUSOFT</t>
  </si>
  <si>
    <t>KAKATCEM</t>
  </si>
  <si>
    <t>Nippon Life India Asset Management Limited</t>
  </si>
  <si>
    <t>cloning</t>
  </si>
  <si>
    <t>RPPINFRA</t>
  </si>
  <si>
    <t>Business</t>
  </si>
  <si>
    <t>SVLL</t>
  </si>
  <si>
    <t>SMARTLINK</t>
  </si>
  <si>
    <t>ASPINWALL</t>
  </si>
  <si>
    <t>SJVN Limited</t>
  </si>
  <si>
    <t>LAMBODHARA</t>
  </si>
  <si>
    <t>DJML</t>
  </si>
  <si>
    <t>TIL</t>
  </si>
  <si>
    <t>Redington Limited</t>
  </si>
  <si>
    <t>ELGIRUBCO</t>
  </si>
  <si>
    <t>JAINAM</t>
  </si>
  <si>
    <t>WORTH</t>
  </si>
  <si>
    <t>ISFT</t>
  </si>
  <si>
    <t>television</t>
  </si>
  <si>
    <t>GINNIFILA</t>
  </si>
  <si>
    <t>Aavas Financiers Limited</t>
  </si>
  <si>
    <t>Status</t>
  </si>
  <si>
    <t>PILITA</t>
  </si>
  <si>
    <t>SOFTTECH</t>
  </si>
  <si>
    <t>DUCON</t>
  </si>
  <si>
    <t>VETO</t>
  </si>
  <si>
    <t>IDFC Limited</t>
  </si>
  <si>
    <t>RANEENGINE</t>
  </si>
  <si>
    <t>AVONMORE</t>
  </si>
  <si>
    <t>KBCGLOBAL</t>
  </si>
  <si>
    <t>PANSARI</t>
  </si>
  <si>
    <t>Finolex Cables Limited</t>
  </si>
  <si>
    <t>MODIRUBBER</t>
  </si>
  <si>
    <t>INVENTURE</t>
  </si>
  <si>
    <t>KAPSTON</t>
  </si>
  <si>
    <t>AKSHOPTFBR</t>
  </si>
  <si>
    <t>JMA</t>
  </si>
  <si>
    <t>advertising</t>
  </si>
  <si>
    <t>Nuvoco Vistas Corporation Limited</t>
  </si>
  <si>
    <t>EMMBI</t>
  </si>
  <si>
    <t>NITCO</t>
  </si>
  <si>
    <t>IRIS</t>
  </si>
  <si>
    <t>SHERA</t>
  </si>
  <si>
    <t xml:space="preserve"> media</t>
  </si>
  <si>
    <t>Bajaj Electricals Limited</t>
  </si>
  <si>
    <t>DRSDILIP</t>
  </si>
  <si>
    <t>UNITEDTEA</t>
  </si>
  <si>
    <t>JOCIL</t>
  </si>
  <si>
    <t>MANAKALUCO</t>
  </si>
  <si>
    <t>VIPULLTD</t>
  </si>
  <si>
    <t>Aptus Value Housing Finance India Limited</t>
  </si>
  <si>
    <t xml:space="preserve"> bank</t>
  </si>
  <si>
    <t>SIKKO</t>
  </si>
  <si>
    <t>GILLANDERS</t>
  </si>
  <si>
    <t>SVPGLOB</t>
  </si>
  <si>
    <t>VISASTEEL</t>
  </si>
  <si>
    <t>Suven Pharmaceuticals Limited</t>
  </si>
  <si>
    <t>DCM</t>
  </si>
  <si>
    <t>INTENTECH</t>
  </si>
  <si>
    <t>insurance</t>
  </si>
  <si>
    <t>TEXMOPIPES</t>
  </si>
  <si>
    <t>WEIZMANIND</t>
  </si>
  <si>
    <t>BYKE</t>
  </si>
  <si>
    <t>Aster DM Healthcare Limited</t>
  </si>
  <si>
    <t>RAJSREESUG</t>
  </si>
  <si>
    <t>ZODIAC</t>
  </si>
  <si>
    <t xml:space="preserve"> porn</t>
  </si>
  <si>
    <t>ARSHIYA</t>
  </si>
  <si>
    <t>UMANGDAIRY</t>
  </si>
  <si>
    <t>LOVABLE</t>
  </si>
  <si>
    <t>HOMESFY</t>
  </si>
  <si>
    <t>ALPHAGEO</t>
  </si>
  <si>
    <t>advertisment</t>
  </si>
  <si>
    <t>NDGL</t>
  </si>
  <si>
    <t>PRAXIS</t>
  </si>
  <si>
    <t>ARTNIRMAN</t>
  </si>
  <si>
    <t>RHI MAGNESITA INDIA LIMITED</t>
  </si>
  <si>
    <t>SHIGAN</t>
  </si>
  <si>
    <t>Breweries</t>
  </si>
  <si>
    <t>NOIDATOLL</t>
  </si>
  <si>
    <t>UMAEXPORTS</t>
  </si>
  <si>
    <t>VELS</t>
  </si>
  <si>
    <t>KEC International Limited</t>
  </si>
  <si>
    <t>ATLANTA</t>
  </si>
  <si>
    <t>MOTOGENFIN</t>
  </si>
  <si>
    <t>Distilleries</t>
  </si>
  <si>
    <t>AVROIND</t>
  </si>
  <si>
    <t>Sonata Software Limited</t>
  </si>
  <si>
    <t>SALONA</t>
  </si>
  <si>
    <t>INDIANCARD</t>
  </si>
  <si>
    <t>SPTL</t>
  </si>
  <si>
    <t xml:space="preserve"> club</t>
  </si>
  <si>
    <t>Aether Industries Limited</t>
  </si>
  <si>
    <t>PRITIKAUTO</t>
  </si>
  <si>
    <t>URAVI</t>
  </si>
  <si>
    <t>IVP</t>
  </si>
  <si>
    <t>DCM Shriram Limited</t>
  </si>
  <si>
    <t>MAHAPEXLTD</t>
  </si>
  <si>
    <t>SOMATEX</t>
  </si>
  <si>
    <t>photo</t>
  </si>
  <si>
    <t>LEXUS</t>
  </si>
  <si>
    <t>Indian Energy Exchange Limited</t>
  </si>
  <si>
    <t>WANBURY</t>
  </si>
  <si>
    <t>LOTUSEYE</t>
  </si>
  <si>
    <t>KREBSBIO</t>
  </si>
  <si>
    <t>video</t>
  </si>
  <si>
    <t>Happiest Minds Technologies Limited</t>
  </si>
  <si>
    <t>RNAVAL</t>
  </si>
  <si>
    <t>WSI</t>
  </si>
  <si>
    <t>RHFL</t>
  </si>
  <si>
    <t>Krishna Institute of Medical Sciences Limited</t>
  </si>
  <si>
    <t>HDIL</t>
  </si>
  <si>
    <t>broker</t>
  </si>
  <si>
    <t>DCI</t>
  </si>
  <si>
    <t>RVHL</t>
  </si>
  <si>
    <t>Alkyl Amines Chemicals Limited</t>
  </si>
  <si>
    <t>XELPMOC</t>
  </si>
  <si>
    <t>RKEC</t>
  </si>
  <si>
    <t>RELCHEMQ</t>
  </si>
  <si>
    <t>Cyient Limited</t>
  </si>
  <si>
    <t>hotel</t>
  </si>
  <si>
    <t>DIL</t>
  </si>
  <si>
    <t>ATALREAL</t>
  </si>
  <si>
    <t>KOHINOOR</t>
  </si>
  <si>
    <t>SALSTEEL</t>
  </si>
  <si>
    <t>Chambal Fertilizers &amp; Chemicals Limited</t>
  </si>
  <si>
    <t>A2ZINFRA</t>
  </si>
  <si>
    <t>TARACHAND</t>
  </si>
  <si>
    <t>INDOWIND</t>
  </si>
  <si>
    <t>BLBLIMITED</t>
  </si>
  <si>
    <t>music</t>
  </si>
  <si>
    <t>FRETAIL</t>
  </si>
  <si>
    <t>Asahi India Glass Limited</t>
  </si>
  <si>
    <t>ROML</t>
  </si>
  <si>
    <t>SURANAT&amp;P</t>
  </si>
  <si>
    <t>ALPA</t>
  </si>
  <si>
    <t>SUNDRMBRAK</t>
  </si>
  <si>
    <t>PARIN</t>
  </si>
  <si>
    <t>Castrol India Limited</t>
  </si>
  <si>
    <t>NILASPACES</t>
  </si>
  <si>
    <t>AHLADA</t>
  </si>
  <si>
    <t xml:space="preserve">disco </t>
  </si>
  <si>
    <t>MAGNUM</t>
  </si>
  <si>
    <t>REMSONSIND</t>
  </si>
  <si>
    <t>Brigade Enterprises Limited</t>
  </si>
  <si>
    <t>STARTECK</t>
  </si>
  <si>
    <t>BOHRAIND</t>
  </si>
  <si>
    <t>COMPINFO</t>
  </si>
  <si>
    <t>CORALFINAC</t>
  </si>
  <si>
    <t>MRO-TEK</t>
  </si>
  <si>
    <t>Kalyan Jewellers India Limited</t>
  </si>
  <si>
    <t>SECURKLOUD</t>
  </si>
  <si>
    <t>wine</t>
  </si>
  <si>
    <t>ZEELEARN</t>
  </si>
  <si>
    <t>SADBHIN</t>
  </si>
  <si>
    <t>BALPHARMA</t>
  </si>
  <si>
    <t>NIRAJ</t>
  </si>
  <si>
    <t>Tata Teleservices (Maharashtra) Limited</t>
  </si>
  <si>
    <t>GSTL</t>
  </si>
  <si>
    <t>OBCL</t>
  </si>
  <si>
    <t>TAINWALCHM</t>
  </si>
  <si>
    <t>ARCHIDPLY</t>
  </si>
  <si>
    <t>tattoo</t>
  </si>
  <si>
    <t>JHS</t>
  </si>
  <si>
    <t>V-Guard Industries Limited</t>
  </si>
  <si>
    <t>SITINET</t>
  </si>
  <si>
    <t>MUKTAARTS</t>
  </si>
  <si>
    <t>CMNL</t>
  </si>
  <si>
    <t>GAYAPROJ</t>
  </si>
  <si>
    <t>NLC India Limited</t>
  </si>
  <si>
    <t>AKG</t>
  </si>
  <si>
    <t>FCONSUMER</t>
  </si>
  <si>
    <t>BFSI</t>
  </si>
  <si>
    <t>PALASHSECU</t>
  </si>
  <si>
    <t>CCHHL</t>
  </si>
  <si>
    <t>Lakshmi Machine Works Limited</t>
  </si>
  <si>
    <t>SIGIND</t>
  </si>
  <si>
    <t xml:space="preserve"> finance</t>
  </si>
  <si>
    <t>Triveni Turbine Limited</t>
  </si>
  <si>
    <t>AIROLAM</t>
  </si>
  <si>
    <t>WELINV</t>
  </si>
  <si>
    <t>LEMERITE</t>
  </si>
  <si>
    <t>Finolex Industries Limited</t>
  </si>
  <si>
    <t>CTE</t>
  </si>
  <si>
    <t>entertainment</t>
  </si>
  <si>
    <t>UNIVASTU</t>
  </si>
  <si>
    <t>SUNDARAM</t>
  </si>
  <si>
    <t>Akzo Nobel India Limited</t>
  </si>
  <si>
    <t>MANAKCOAT</t>
  </si>
  <si>
    <t>ARVEE</t>
  </si>
  <si>
    <t>Manappuram Finance Limited</t>
  </si>
  <si>
    <t>SECURCRED</t>
  </si>
  <si>
    <t>EIH Limited</t>
  </si>
  <si>
    <t>ASTRON</t>
  </si>
  <si>
    <t>FLFL</t>
  </si>
  <si>
    <t>STEELCITY</t>
  </si>
  <si>
    <t>Century Plyboards (India) Limited</t>
  </si>
  <si>
    <t>LLOYDS</t>
  </si>
  <si>
    <t>GANGESSECU</t>
  </si>
  <si>
    <t>INDBANK</t>
  </si>
  <si>
    <t>SUMIT</t>
  </si>
  <si>
    <t>Natco Pharma Limited</t>
  </si>
  <si>
    <t>FIBERWEB</t>
  </si>
  <si>
    <t>ALKALI</t>
  </si>
  <si>
    <t>LASA</t>
  </si>
  <si>
    <t>KIOCL Limited</t>
  </si>
  <si>
    <t>JAIPURKURT</t>
  </si>
  <si>
    <t>MHHL</t>
  </si>
  <si>
    <t>BAHETI</t>
  </si>
  <si>
    <t>Cholamandalam Financial Holdings Limited</t>
  </si>
  <si>
    <t>DGCONTENT</t>
  </si>
  <si>
    <t>VMARCIND</t>
  </si>
  <si>
    <t>PKTEA</t>
  </si>
  <si>
    <t>DAMODARIND</t>
  </si>
  <si>
    <t>Campus Activewear Limited</t>
  </si>
  <si>
    <t>NECCLTD</t>
  </si>
  <si>
    <t>CAPTRUST</t>
  </si>
  <si>
    <t>MITCON</t>
  </si>
  <si>
    <t>TIRUPATIFL</t>
  </si>
  <si>
    <t>Computer Age Management Services Limited</t>
  </si>
  <si>
    <t>IL&amp;FSTRANS</t>
  </si>
  <si>
    <t>SRPL</t>
  </si>
  <si>
    <t>SURYALAXMI</t>
  </si>
  <si>
    <t>CEREBRAINT</t>
  </si>
  <si>
    <t>Amara Raja Batteries Limited</t>
  </si>
  <si>
    <t>KSHITIJPOL</t>
  </si>
  <si>
    <t>LAGNAM</t>
  </si>
  <si>
    <t>ANLON</t>
  </si>
  <si>
    <t>AMJLAND</t>
  </si>
  <si>
    <t>Zydus Wellness Limited</t>
  </si>
  <si>
    <t>BINANIIND</t>
  </si>
  <si>
    <t>PROLIFE</t>
  </si>
  <si>
    <t>INCREDIBLE</t>
  </si>
  <si>
    <t>SHAHALLOYS</t>
  </si>
  <si>
    <t>BASF India Limited</t>
  </si>
  <si>
    <t>AMDIND</t>
  </si>
  <si>
    <t>OMAXAUTO</t>
  </si>
  <si>
    <t>TOKYOPLAST</t>
  </si>
  <si>
    <t>GROBTEA</t>
  </si>
  <si>
    <t>Tejas Networks Limited</t>
  </si>
  <si>
    <t>ANIKINDS</t>
  </si>
  <si>
    <t>SURANASOL</t>
  </si>
  <si>
    <t>FIDEL</t>
  </si>
  <si>
    <t>MAHASTEEL</t>
  </si>
  <si>
    <t>Alembic Pharmaceuticals Limited</t>
  </si>
  <si>
    <t>AURDIS</t>
  </si>
  <si>
    <t>SIMBHALS</t>
  </si>
  <si>
    <t>GAL</t>
  </si>
  <si>
    <t>GICL</t>
  </si>
  <si>
    <t>Mahanagar Gas Limited</t>
  </si>
  <si>
    <t>KALYANIFRG</t>
  </si>
  <si>
    <t>HINDCON</t>
  </si>
  <si>
    <t>CORDSCABLE</t>
  </si>
  <si>
    <t>YAARI</t>
  </si>
  <si>
    <t>SONAMCLOCK</t>
  </si>
  <si>
    <t>G R Infraprojects Limited</t>
  </si>
  <si>
    <t>MAHICKRA</t>
  </si>
  <si>
    <t>HPIL</t>
  </si>
  <si>
    <t>LPDC</t>
  </si>
  <si>
    <t>DBSTOCKBRO</t>
  </si>
  <si>
    <t>Angel One Limited</t>
  </si>
  <si>
    <t>AUSOMENT</t>
  </si>
  <si>
    <t>BALLARPUR</t>
  </si>
  <si>
    <t>AVSL</t>
  </si>
  <si>
    <t>SPMLINFRA</t>
  </si>
  <si>
    <t>BANKA</t>
  </si>
  <si>
    <t>Sheela Foam Limited</t>
  </si>
  <si>
    <t>GOLDENTOBC</t>
  </si>
  <si>
    <t>GTL</t>
  </si>
  <si>
    <t>ENERGYDEV</t>
  </si>
  <si>
    <t>PANACHE</t>
  </si>
  <si>
    <t>PIGL</t>
  </si>
  <si>
    <t>TTK Prestige Limited</t>
  </si>
  <si>
    <t>DELTAMAGNT</t>
  </si>
  <si>
    <t>SHRADHA</t>
  </si>
  <si>
    <t>PIONEEREMB</t>
  </si>
  <si>
    <t>GLOBALVECT</t>
  </si>
  <si>
    <t>BAGFILMS</t>
  </si>
  <si>
    <t>Apar Industries Limited</t>
  </si>
  <si>
    <t>WIPL</t>
  </si>
  <si>
    <t>NITIRAJ</t>
  </si>
  <si>
    <t>BEARDSELL</t>
  </si>
  <si>
    <t>KRITIKA</t>
  </si>
  <si>
    <t>Hindustan Copper Limited</t>
  </si>
  <si>
    <t>PATINTLOG</t>
  </si>
  <si>
    <t>SETCO</t>
  </si>
  <si>
    <t>PRAENG</t>
  </si>
  <si>
    <t>ELECTHERM</t>
  </si>
  <si>
    <t>UCL</t>
  </si>
  <si>
    <t>Central Depository Services (India) Limited</t>
  </si>
  <si>
    <t>PRAKASHSTL</t>
  </si>
  <si>
    <t>CINEVISTA</t>
  </si>
  <si>
    <t>SUULD</t>
  </si>
  <si>
    <t>FLEXITUFF</t>
  </si>
  <si>
    <t>MDL</t>
  </si>
  <si>
    <t>Godfrey Phillips India Limited</t>
  </si>
  <si>
    <t>HISARMETAL</t>
  </si>
  <si>
    <t>SUVIDHAA</t>
  </si>
  <si>
    <t>BIOFILCHEM</t>
  </si>
  <si>
    <t>MARSHALL</t>
  </si>
  <si>
    <t>Shree Renuka Sugars Limited</t>
  </si>
  <si>
    <t>ARIHANTACA</t>
  </si>
  <si>
    <t>CELEBRITY</t>
  </si>
  <si>
    <t>VIAZ</t>
  </si>
  <si>
    <t>DHRUV</t>
  </si>
  <si>
    <t>City Union Bank Limited</t>
  </si>
  <si>
    <t>CENTEXT</t>
  </si>
  <si>
    <t>DOLLEX</t>
  </si>
  <si>
    <t>BHANDARI</t>
  </si>
  <si>
    <t>TREJHARA</t>
  </si>
  <si>
    <t>JK Lakshmi Cement Limited</t>
  </si>
  <si>
    <t>FELIX</t>
  </si>
  <si>
    <t>NGIL</t>
  </si>
  <si>
    <t>SUPREMEINF</t>
  </si>
  <si>
    <t>Anupam Rasayan India Limited</t>
  </si>
  <si>
    <t>AGROPHOS</t>
  </si>
  <si>
    <t>MCL</t>
  </si>
  <si>
    <t>OILCOUNTUB</t>
  </si>
  <si>
    <t>UMA</t>
  </si>
  <si>
    <t>MORARJEE</t>
  </si>
  <si>
    <t>Mangalore Refinery and Petrochemicals Limited</t>
  </si>
  <si>
    <t>SRIVASAVI</t>
  </si>
  <si>
    <t>AAREYDRUGS</t>
  </si>
  <si>
    <t>AAKASH</t>
  </si>
  <si>
    <t>VASWANI</t>
  </si>
  <si>
    <t>The Great Eastern Shipping Company Limited</t>
  </si>
  <si>
    <t>KANANIIND</t>
  </si>
  <si>
    <t>ARCHIES</t>
  </si>
  <si>
    <t>SHIVAMILLS</t>
  </si>
  <si>
    <t>IPSL</t>
  </si>
  <si>
    <t>Poly Medicure Limited</t>
  </si>
  <si>
    <t>TREEHOUSE</t>
  </si>
  <si>
    <t>BDR</t>
  </si>
  <si>
    <t>VERTEXPLUS</t>
  </si>
  <si>
    <t>KEYFINSERV</t>
  </si>
  <si>
    <t>KHFM</t>
  </si>
  <si>
    <t>AROGRANITE</t>
  </si>
  <si>
    <t>SEYAIND</t>
  </si>
  <si>
    <t>NMDC Steel Limited</t>
  </si>
  <si>
    <t>GIRIRAJ</t>
  </si>
  <si>
    <t>RSSOFTWARE</t>
  </si>
  <si>
    <t>ORIENTLTD</t>
  </si>
  <si>
    <t>EXCEL</t>
  </si>
  <si>
    <t>RELIABLE</t>
  </si>
  <si>
    <t>AAATECH</t>
  </si>
  <si>
    <t>Bikaji Foods International Limited</t>
  </si>
  <si>
    <t>AGRITECH</t>
  </si>
  <si>
    <t>LGHL</t>
  </si>
  <si>
    <t>SHRENIK</t>
  </si>
  <si>
    <t>ANKITMETAL</t>
  </si>
  <si>
    <t>JETFREIGHT</t>
  </si>
  <si>
    <t>VARDMNPOLY</t>
  </si>
  <si>
    <t>Motilal Oswal Financial Services Limited</t>
  </si>
  <si>
    <t>NIRMAN</t>
  </si>
  <si>
    <t>SHREERAMA</t>
  </si>
  <si>
    <t>SIDDHIKA</t>
  </si>
  <si>
    <t>BVCL</t>
  </si>
  <si>
    <t>KKVAPOW</t>
  </si>
  <si>
    <t>HOVS</t>
  </si>
  <si>
    <t>Aditya Birla Sun Life AMC Limited</t>
  </si>
  <si>
    <t>AMBANIORG</t>
  </si>
  <si>
    <t>FSC</t>
  </si>
  <si>
    <t>ABMINTLLTD</t>
  </si>
  <si>
    <t>SEPOWER</t>
  </si>
  <si>
    <t>CESC Limited</t>
  </si>
  <si>
    <t>BANARBEADS</t>
  </si>
  <si>
    <t>REGENCERAM</t>
  </si>
  <si>
    <t>PODDARHOUS</t>
  </si>
  <si>
    <t>PENTAGOLD</t>
  </si>
  <si>
    <t>PARTYCRUS</t>
  </si>
  <si>
    <t>Tata Investment Corporation Limited</t>
  </si>
  <si>
    <t>SONAHISONA</t>
  </si>
  <si>
    <t>MALUPAPER</t>
  </si>
  <si>
    <t>MOKSH</t>
  </si>
  <si>
    <t>PULZ</t>
  </si>
  <si>
    <t>Allcargo Logistics Limited</t>
  </si>
  <si>
    <t>RBMINFRA</t>
  </si>
  <si>
    <t>ZENITHSTL</t>
  </si>
  <si>
    <t>NIDAN</t>
  </si>
  <si>
    <t>SAMBHAAV</t>
  </si>
  <si>
    <t>UWCSL</t>
  </si>
  <si>
    <t>Kalpataru Power Transmission Limited</t>
  </si>
  <si>
    <t>BANG</t>
  </si>
  <si>
    <t>MRO</t>
  </si>
  <si>
    <t>MINDPOOL</t>
  </si>
  <si>
    <t>TAPIFRUIT</t>
  </si>
  <si>
    <t>ABCOTS</t>
  </si>
  <si>
    <t>PNB Housing Finance Limited</t>
  </si>
  <si>
    <t>PNC</t>
  </si>
  <si>
    <t>SURANI</t>
  </si>
  <si>
    <t>PRECISION</t>
  </si>
  <si>
    <t>TIMESGTY</t>
  </si>
  <si>
    <t>MANUGRAPH</t>
  </si>
  <si>
    <t>Housing &amp; Urban Development Corporation Limited</t>
  </si>
  <si>
    <t>ZENITHEXPO</t>
  </si>
  <si>
    <t>AARVEEDEN</t>
  </si>
  <si>
    <t>SOMICONVEY</t>
  </si>
  <si>
    <t>DKEGL</t>
  </si>
  <si>
    <t>ARHAM</t>
  </si>
  <si>
    <t>ITI Limited</t>
  </si>
  <si>
    <t>TIMESCAN</t>
  </si>
  <si>
    <t>SGL</t>
  </si>
  <si>
    <t>WEWIN</t>
  </si>
  <si>
    <t>CMRSL</t>
  </si>
  <si>
    <t>SONUINFRA</t>
  </si>
  <si>
    <t>ROUTE MOBILE LIMITED</t>
  </si>
  <si>
    <t>VIVIANA</t>
  </si>
  <si>
    <t>AKASH</t>
  </si>
  <si>
    <t>INDSWFTLTD</t>
  </si>
  <si>
    <t>KARMAENG</t>
  </si>
  <si>
    <t>RITES Limited</t>
  </si>
  <si>
    <t>NAGREEKEXP</t>
  </si>
  <si>
    <t>BURNPUR</t>
  </si>
  <si>
    <t>NIBL</t>
  </si>
  <si>
    <t>CUBEXTUB</t>
  </si>
  <si>
    <t>AISL</t>
  </si>
  <si>
    <t>Vardhman Textiles Limited</t>
  </si>
  <si>
    <t>SHAIVAL</t>
  </si>
  <si>
    <t>VINEETLAB</t>
  </si>
  <si>
    <t>ARISTO</t>
  </si>
  <si>
    <t>TERASOFT</t>
  </si>
  <si>
    <t>RBL Bank Limited</t>
  </si>
  <si>
    <t>CROWN</t>
  </si>
  <si>
    <t>JFLLIFE</t>
  </si>
  <si>
    <t>GLOBE</t>
  </si>
  <si>
    <t>3PLAND</t>
  </si>
  <si>
    <t>VERA</t>
  </si>
  <si>
    <t>HFCL Limited</t>
  </si>
  <si>
    <t>MILTON</t>
  </si>
  <si>
    <t>ADROITINFO</t>
  </si>
  <si>
    <t>SHUBHLAXMI</t>
  </si>
  <si>
    <t>AGNI</t>
  </si>
  <si>
    <t>Karur Vysya Bank Limited</t>
  </si>
  <si>
    <t>LFIC</t>
  </si>
  <si>
    <t>VSCL</t>
  </si>
  <si>
    <t>MADHAV</t>
  </si>
  <si>
    <t>UJAAS</t>
  </si>
  <si>
    <t>SUPERSPIN</t>
  </si>
  <si>
    <t>Cera Sanitaryware Limited</t>
  </si>
  <si>
    <t>RKDL</t>
  </si>
  <si>
    <t>AMBICAAGAR</t>
  </si>
  <si>
    <t>ACEINTEG</t>
  </si>
  <si>
    <t>OMFURN</t>
  </si>
  <si>
    <t>SWARAJ</t>
  </si>
  <si>
    <t>EID Parry India Limited</t>
  </si>
  <si>
    <t>AJOONI</t>
  </si>
  <si>
    <t>KHANDSE</t>
  </si>
  <si>
    <t>SAGARDEEP</t>
  </si>
  <si>
    <t>REXPIPES</t>
  </si>
  <si>
    <t>ADL</t>
  </si>
  <si>
    <t>Ingersoll Rand (India) Limited</t>
  </si>
  <si>
    <t>MCON</t>
  </si>
  <si>
    <t>CADSYS</t>
  </si>
  <si>
    <t>HBSL</t>
  </si>
  <si>
    <t>SANGINITA</t>
  </si>
  <si>
    <t>GANGAFORGE</t>
  </si>
  <si>
    <t>Galaxy Surfactants Limited</t>
  </si>
  <si>
    <t>ABINFRA</t>
  </si>
  <si>
    <t>PERFECT</t>
  </si>
  <si>
    <t>NARMADA</t>
  </si>
  <si>
    <t>RMDRIP</t>
  </si>
  <si>
    <t>NAGREEKCAP</t>
  </si>
  <si>
    <t>Piramal Pharma Limited</t>
  </si>
  <si>
    <t>LAXMICOT</t>
  </si>
  <si>
    <t>PEARLPOLY</t>
  </si>
  <si>
    <t>HECPROJECT</t>
  </si>
  <si>
    <t>SANWARIA</t>
  </si>
  <si>
    <t>MEGAFLEX</t>
  </si>
  <si>
    <t>UTI Asset Management Company Limited</t>
  </si>
  <si>
    <t>GISOLUTION</t>
  </si>
  <si>
    <t>PARASPETRO</t>
  </si>
  <si>
    <t>RITEZONE</t>
  </si>
  <si>
    <t>HEADSUP</t>
  </si>
  <si>
    <t>VCL</t>
  </si>
  <si>
    <t>PRITIKA</t>
  </si>
  <si>
    <t>KRBL Limited</t>
  </si>
  <si>
    <t>KEEPLEARN</t>
  </si>
  <si>
    <t>COUNCODOS</t>
  </si>
  <si>
    <t>ROLTA</t>
  </si>
  <si>
    <t>DHARSUGAR</t>
  </si>
  <si>
    <t>ASLIND</t>
  </si>
  <si>
    <t>Raymond Limited</t>
  </si>
  <si>
    <t>AGARWALFT</t>
  </si>
  <si>
    <t>NEXTMEDIA</t>
  </si>
  <si>
    <t>RICHA</t>
  </si>
  <si>
    <t>DNAMEDIA</t>
  </si>
  <si>
    <t>AMEYA</t>
  </si>
  <si>
    <t>AstraZeneca Pharma India Limited</t>
  </si>
  <si>
    <t>DYNAMIC</t>
  </si>
  <si>
    <t>LIBAS</t>
  </si>
  <si>
    <t>JETKNIT</t>
  </si>
  <si>
    <t>BALKRISHNA</t>
  </si>
  <si>
    <t>VIP Industries Limited</t>
  </si>
  <si>
    <t>MTEDUCARE</t>
  </si>
  <si>
    <t>GODHA</t>
  </si>
  <si>
    <t>GOENKA</t>
  </si>
  <si>
    <t>HAVISHA</t>
  </si>
  <si>
    <t>QUADPRO</t>
  </si>
  <si>
    <t>Archean Chemical Industries Limited</t>
  </si>
  <si>
    <t>QFIL</t>
  </si>
  <si>
    <t>MADHUCON</t>
  </si>
  <si>
    <t>ROLLT</t>
  </si>
  <si>
    <t>Balrampur Chini Mills Limited</t>
  </si>
  <si>
    <t>CYBERMEDIA</t>
  </si>
  <si>
    <t>JAKHARIA</t>
  </si>
  <si>
    <t>VEEKAYEM</t>
  </si>
  <si>
    <t>TGBHOTELS</t>
  </si>
  <si>
    <t>VIVIDHA</t>
  </si>
  <si>
    <t>Suzlon Energy Limited</t>
  </si>
  <si>
    <t>FMNL</t>
  </si>
  <si>
    <t>WALPAR</t>
  </si>
  <si>
    <t>DESTINY</t>
  </si>
  <si>
    <t>SUMEETINDS</t>
  </si>
  <si>
    <t>Godrej Agrovet Limited</t>
  </si>
  <si>
    <t>ICDSLTD</t>
  </si>
  <si>
    <t>LRRPL</t>
  </si>
  <si>
    <t>MPTODAY</t>
  </si>
  <si>
    <t>21STCENMGM</t>
  </si>
  <si>
    <t>Gujarat Narmada Valley Fertilizers and Chemicals Limited</t>
  </si>
  <si>
    <t>HYBRIDFIN</t>
  </si>
  <si>
    <t>SABAR</t>
  </si>
  <si>
    <t>TFL</t>
  </si>
  <si>
    <t>IMPEXFERRO</t>
  </si>
  <si>
    <t>Eris Lifesciences Limited</t>
  </si>
  <si>
    <t>INFOMEDIA</t>
  </si>
  <si>
    <t>NKIND</t>
  </si>
  <si>
    <t>SHANTI</t>
  </si>
  <si>
    <t>Procter &amp; Gamble Health Limited</t>
  </si>
  <si>
    <t>GRCL</t>
  </si>
  <si>
    <t>FEL</t>
  </si>
  <si>
    <t>THOMASCOTT</t>
  </si>
  <si>
    <t>KHAITANLTD</t>
  </si>
  <si>
    <t>Medplus Health Services Limited</t>
  </si>
  <si>
    <t>WILLAMAGOR</t>
  </si>
  <si>
    <t>LCCINFOTEC</t>
  </si>
  <si>
    <t>UNIINFO</t>
  </si>
  <si>
    <t>ASMS</t>
  </si>
  <si>
    <t>Sapphire Foods India Limited</t>
  </si>
  <si>
    <t>VIVO</t>
  </si>
  <si>
    <t>Data Patterns (India) Limited</t>
  </si>
  <si>
    <t>GAYAHWS</t>
  </si>
  <si>
    <t>CALSOFT</t>
  </si>
  <si>
    <t>MOXSH</t>
  </si>
  <si>
    <t>Sundaram Clayton Limited</t>
  </si>
  <si>
    <t>ORIENTALTL</t>
  </si>
  <si>
    <t>ONELIFECAP</t>
  </si>
  <si>
    <t>VIJIFIN</t>
  </si>
  <si>
    <t>DIGJAMLMTD</t>
  </si>
  <si>
    <t>KRIDHANINF</t>
  </si>
  <si>
    <t>JBM Auto Limited</t>
  </si>
  <si>
    <t>SILLYMONKS</t>
  </si>
  <si>
    <t>MAKS</t>
  </si>
  <si>
    <t>TANTIACONS</t>
  </si>
  <si>
    <t>SUPREMEENG</t>
  </si>
  <si>
    <t>SILGO</t>
  </si>
  <si>
    <t>Easy Trip Planners Limited</t>
  </si>
  <si>
    <t>MOHITIND</t>
  </si>
  <si>
    <t>EDUCOMP</t>
  </si>
  <si>
    <t>EASTSILK</t>
  </si>
  <si>
    <t>KANDARP</t>
  </si>
  <si>
    <t>CCL Products (India) Limited</t>
  </si>
  <si>
    <t>CMICABLES</t>
  </si>
  <si>
    <t>NATNLSTEEL</t>
  </si>
  <si>
    <t>MITTAL</t>
  </si>
  <si>
    <t>SPRL</t>
  </si>
  <si>
    <t>Equitas Small Finance Bank Limited</t>
  </si>
  <si>
    <t>ORTINLAB</t>
  </si>
  <si>
    <t>BRIGHT</t>
  </si>
  <si>
    <t>Chalet Hotels Limited</t>
  </si>
  <si>
    <t>KAUSHALYA</t>
  </si>
  <si>
    <t>GUJRAFFIA</t>
  </si>
  <si>
    <t>Rainbow Childrens Medicare Limited</t>
  </si>
  <si>
    <t>MASKINVEST</t>
  </si>
  <si>
    <t>ISHAN</t>
  </si>
  <si>
    <t>CONTI</t>
  </si>
  <si>
    <t>PNC Infratech Limited</t>
  </si>
  <si>
    <t>AMIABLE</t>
  </si>
  <si>
    <t>AILIMITED</t>
  </si>
  <si>
    <t>EUROTEXIND</t>
  </si>
  <si>
    <t>TIJARIA</t>
  </si>
  <si>
    <t>Firstsource Solutions Limited</t>
  </si>
  <si>
    <t>TNTELE</t>
  </si>
  <si>
    <t>KALYANI</t>
  </si>
  <si>
    <t>SETUINFRA</t>
  </si>
  <si>
    <t>GRETEX</t>
  </si>
  <si>
    <t>LYPSAGEMS</t>
  </si>
  <si>
    <t>Ksb Limited</t>
  </si>
  <si>
    <t>METALFORGE</t>
  </si>
  <si>
    <t>SSINFRA</t>
  </si>
  <si>
    <t>SMVD</t>
  </si>
  <si>
    <t>RMCL</t>
  </si>
  <si>
    <t>BIRLASOFT LIMITED</t>
  </si>
  <si>
    <t>JALAN</t>
  </si>
  <si>
    <t>SANCO</t>
  </si>
  <si>
    <t>VASA</t>
  </si>
  <si>
    <t>KAVVERITEL</t>
  </si>
  <si>
    <t>TECHIN</t>
  </si>
  <si>
    <t>NORBTEAEXP</t>
  </si>
  <si>
    <t>KCK</t>
  </si>
  <si>
    <t>KNR Constructions Limited</t>
  </si>
  <si>
    <t>SPENTEX</t>
  </si>
  <si>
    <t>CREATIVEYE</t>
  </si>
  <si>
    <t>ANTGRAPHIC</t>
  </si>
  <si>
    <t>TVVISION</t>
  </si>
  <si>
    <t>Shoppers Stop Limited</t>
  </si>
  <si>
    <t>ABNINT</t>
  </si>
  <si>
    <t>ARENTERP</t>
  </si>
  <si>
    <t>UMESLTD</t>
  </si>
  <si>
    <t>SHYAMTEL</t>
  </si>
  <si>
    <t>MANAV</t>
  </si>
  <si>
    <t>ACCORD</t>
  </si>
  <si>
    <t>DRL</t>
  </si>
  <si>
    <t>Symphony Limited</t>
  </si>
  <si>
    <t>GLFL</t>
  </si>
  <si>
    <t>CMMIPL</t>
  </si>
  <si>
    <t>NIRAJISPAT</t>
  </si>
  <si>
    <t>DCMFINSERV</t>
  </si>
  <si>
    <t>SRIRAM</t>
  </si>
  <si>
    <t>PREMIER</t>
  </si>
  <si>
    <t>SKSTEXTILE</t>
  </si>
  <si>
    <t>Century Textiles &amp; Industries Limited</t>
  </si>
  <si>
    <t>SABTN</t>
  </si>
  <si>
    <t>TARAPUR</t>
  </si>
  <si>
    <t>BKMINDST</t>
  </si>
  <si>
    <t>ALPSINDUS</t>
  </si>
  <si>
    <t>AHIMSA</t>
  </si>
  <si>
    <t>BHALCHANDR</t>
  </si>
  <si>
    <t>Can Fin Homes Limited</t>
  </si>
  <si>
    <t>INNOVATIVE</t>
  </si>
  <si>
    <t>LAKPRE</t>
  </si>
  <si>
    <t>TRANSWIND</t>
  </si>
  <si>
    <t>MELSTAR</t>
  </si>
  <si>
    <t>SABEVENTS</t>
  </si>
  <si>
    <t>Granules India Limited</t>
  </si>
  <si>
    <t>INDLMETER</t>
  </si>
  <si>
    <t>TECILCHEM</t>
  </si>
  <si>
    <t>ABHISHEK</t>
  </si>
  <si>
    <t>AHLWEST</t>
  </si>
  <si>
    <t>Tanla Platforms Limited</t>
  </si>
  <si>
    <t>AIFL</t>
  </si>
  <si>
    <t>AJRINFRA</t>
  </si>
  <si>
    <t>ALCHEM</t>
  </si>
  <si>
    <t>AMJUMBO</t>
  </si>
  <si>
    <t>ANDHRACEMT</t>
  </si>
  <si>
    <t>ANSALAPI</t>
  </si>
  <si>
    <t>ARCOTECH</t>
  </si>
  <si>
    <t>ARSSINFRA</t>
  </si>
  <si>
    <t>ARTEDZ</t>
  </si>
  <si>
    <t>Jyothy Labs Limited</t>
  </si>
  <si>
    <t>ASIL</t>
  </si>
  <si>
    <t>ATCOM</t>
  </si>
  <si>
    <t>ATLASCYCLE</t>
  </si>
  <si>
    <t>ATNINTER</t>
  </si>
  <si>
    <t>AUTOLITIND</t>
  </si>
  <si>
    <t>AUTORIDFIN</t>
  </si>
  <si>
    <t>Supreme Petrochem Limited</t>
  </si>
  <si>
    <t>BANSAL</t>
  </si>
  <si>
    <t>BGLOBAL</t>
  </si>
  <si>
    <t>BHARATIDIL</t>
  </si>
  <si>
    <t>BILENERGY</t>
  </si>
  <si>
    <t>BIRLATYRE</t>
  </si>
  <si>
    <t>BLUEBLENDS</t>
  </si>
  <si>
    <t>BLUECHIP</t>
  </si>
  <si>
    <t>BLUECOAST</t>
  </si>
  <si>
    <t>Deepak Fertilizers and Petrochemicals Corporation Limited</t>
  </si>
  <si>
    <t>BRFL</t>
  </si>
  <si>
    <t>CANDC</t>
  </si>
  <si>
    <t>CCCL</t>
  </si>
  <si>
    <t>CELESTIAL</t>
  </si>
  <si>
    <t>CKFSL</t>
  </si>
  <si>
    <t>DFMFOODS</t>
  </si>
  <si>
    <t>DIAPOWER</t>
  </si>
  <si>
    <t>DOLPHINOFF</t>
  </si>
  <si>
    <t>Craftsman Automation Limited</t>
  </si>
  <si>
    <t>DQE</t>
  </si>
  <si>
    <t>DSKULKARNI</t>
  </si>
  <si>
    <t>EASTSUGIND</t>
  </si>
  <si>
    <t>EASUNREYRL</t>
  </si>
  <si>
    <t>EMCO</t>
  </si>
  <si>
    <t>EON</t>
  </si>
  <si>
    <t>EUROCERA</t>
  </si>
  <si>
    <t>Birla Corporation Limited</t>
  </si>
  <si>
    <t>EUROMULTI</t>
  </si>
  <si>
    <t>FEDDERELEC</t>
  </si>
  <si>
    <t>FIVECORE</t>
  </si>
  <si>
    <t>GAMMONIND</t>
  </si>
  <si>
    <t>GANGOTRI</t>
  </si>
  <si>
    <t>GBGLOBAL</t>
  </si>
  <si>
    <t>GFSTEELS</t>
  </si>
  <si>
    <t>GITANJALI</t>
  </si>
  <si>
    <t>BLS International Services Limited</t>
  </si>
  <si>
    <t>HINDNATGLS</t>
  </si>
  <si>
    <t>ICSA</t>
  </si>
  <si>
    <t>INDOSOLAR</t>
  </si>
  <si>
    <t>IVRCLINFRA</t>
  </si>
  <si>
    <t>JAINSTUDIO</t>
  </si>
  <si>
    <t>JBFIND</t>
  </si>
  <si>
    <t>JIKIND</t>
  </si>
  <si>
    <t>Shyam Metalics and Energy Limited</t>
  </si>
  <si>
    <t>JINDCOT</t>
  </si>
  <si>
    <t>JMTAUTOLTD</t>
  </si>
  <si>
    <t>JPINFRATEC</t>
  </si>
  <si>
    <t>KEERTI</t>
  </si>
  <si>
    <t>KGL</t>
  </si>
  <si>
    <t>KSERASERA</t>
  </si>
  <si>
    <t>KSK</t>
  </si>
  <si>
    <t>LAKSHMIEFL</t>
  </si>
  <si>
    <t>NCC Limited</t>
  </si>
  <si>
    <t>LEEL</t>
  </si>
  <si>
    <t>MANPASAND</t>
  </si>
  <si>
    <t>MBECL</t>
  </si>
  <si>
    <t>MCDHOLDING</t>
  </si>
  <si>
    <t>MERCATOR</t>
  </si>
  <si>
    <t>METKORE</t>
  </si>
  <si>
    <t>MODTHREAD</t>
  </si>
  <si>
    <t>MOHOTAIND</t>
  </si>
  <si>
    <t>MVL</t>
  </si>
  <si>
    <t>NAKODA</t>
  </si>
  <si>
    <t>NITINFIRE</t>
  </si>
  <si>
    <t>GMM Pfaudler Limited</t>
  </si>
  <si>
    <t>NTL</t>
  </si>
  <si>
    <t>NUTEK</t>
  </si>
  <si>
    <t>OISL</t>
  </si>
  <si>
    <t>OMKARCHEM</t>
  </si>
  <si>
    <t>OPAL</t>
  </si>
  <si>
    <t>OPTOCIRCUI</t>
  </si>
  <si>
    <t>ORTEL</t>
  </si>
  <si>
    <t>Latent View Analytics Limited</t>
  </si>
  <si>
    <t>PDPL</t>
  </si>
  <si>
    <t>PINCON</t>
  </si>
  <si>
    <t>PRATIBHA</t>
  </si>
  <si>
    <t>PRUDMOULI</t>
  </si>
  <si>
    <t>PSL</t>
  </si>
  <si>
    <t>PUNJLLOYD</t>
  </si>
  <si>
    <t>QUINTEGRA</t>
  </si>
  <si>
    <t>RADAAN</t>
  </si>
  <si>
    <t>Usha Martin Limited</t>
  </si>
  <si>
    <t>RAINBOWPAP</t>
  </si>
  <si>
    <t>RAJVIR</t>
  </si>
  <si>
    <t>RMMIL</t>
  </si>
  <si>
    <t>RUSHABEAR</t>
  </si>
  <si>
    <t>S&amp;SPOWER</t>
  </si>
  <si>
    <t>SATHAISPAT</t>
  </si>
  <si>
    <t>SBIHOMEFIN</t>
  </si>
  <si>
    <t>Home First Finance Company India Limited</t>
  </si>
  <si>
    <t>SHARONBIO</t>
  </si>
  <si>
    <t>SHIRPUR-G</t>
  </si>
  <si>
    <t>SICAL</t>
  </si>
  <si>
    <t>SIIL</t>
  </si>
  <si>
    <t>SKIL</t>
  </si>
  <si>
    <t>SONISOYA</t>
  </si>
  <si>
    <t>SPYL</t>
  </si>
  <si>
    <t>JK Paper Limited</t>
  </si>
  <si>
    <t>SREINFRA</t>
  </si>
  <si>
    <t>STAMPEDE</t>
  </si>
  <si>
    <t>TALWALKARS</t>
  </si>
  <si>
    <t>TALWGYM</t>
  </si>
  <si>
    <t>TCIFINANCE</t>
  </si>
  <si>
    <t>TECHNOFAB</t>
  </si>
  <si>
    <t>Tamilnad Mercantile Bank Limited</t>
  </si>
  <si>
    <t>THIRUSUGAR</t>
  </si>
  <si>
    <t>TULSI</t>
  </si>
  <si>
    <t>UNIPLY</t>
  </si>
  <si>
    <t>UNITY</t>
  </si>
  <si>
    <t>UNIVAFOODS</t>
  </si>
  <si>
    <t>Jindal Worldwide Limited</t>
  </si>
  <si>
    <t>USK</t>
  </si>
  <si>
    <t>VALECHAENG</t>
  </si>
  <si>
    <t>VALUEIND</t>
  </si>
  <si>
    <t>Metropolis Healthcare Limited</t>
  </si>
  <si>
    <t>VICEROY</t>
  </si>
  <si>
    <t>Saregama India Limited</t>
  </si>
  <si>
    <t>VIDEOIND</t>
  </si>
  <si>
    <t>VIKASPROP</t>
  </si>
  <si>
    <t>VISUINTL</t>
  </si>
  <si>
    <t>VIVIMEDLAB</t>
  </si>
  <si>
    <t>WINSOME</t>
  </si>
  <si>
    <t>NBCC (India) Limited</t>
  </si>
  <si>
    <t>ZICOM</t>
  </si>
  <si>
    <t>eClerx Services Limited</t>
  </si>
  <si>
    <t>Balaji Amines Limited</t>
  </si>
  <si>
    <t>Welspun India Limited</t>
  </si>
  <si>
    <t>Praj Industries Limited</t>
  </si>
  <si>
    <t>Cochin Shipyard Limited</t>
  </si>
  <si>
    <t>Zensar Technologies Limited</t>
  </si>
  <si>
    <t>Amber Enterprises India Limited</t>
  </si>
  <si>
    <t>Lemon Tree Hotels Limited</t>
  </si>
  <si>
    <t>Prince Pipes And Fittings Limited</t>
  </si>
  <si>
    <t>Triveni Engineering &amp; Industries Limited</t>
  </si>
  <si>
    <t>Garware Technical Fibres Limited</t>
  </si>
  <si>
    <t>Laxmi Organic Industries Limited</t>
  </si>
  <si>
    <t>Sterlite Technologies Limited</t>
  </si>
  <si>
    <t>CEAT Limited</t>
  </si>
  <si>
    <t>BSE Limited</t>
  </si>
  <si>
    <t>Sun Pharma Advanced Research Company Limited</t>
  </si>
  <si>
    <t>Alok Industries Limited</t>
  </si>
  <si>
    <t>Orient Electric Limited</t>
  </si>
  <si>
    <t>The India Cements Limited</t>
  </si>
  <si>
    <t>Jubilant Ingrevia Limited</t>
  </si>
  <si>
    <t>Kirloskar Oil Engines Limited</t>
  </si>
  <si>
    <t>TCI Express Limited</t>
  </si>
  <si>
    <t>JM Financial Limited</t>
  </si>
  <si>
    <t>Network18 Media &amp; Investments Limited</t>
  </si>
  <si>
    <t>Bombay Burmah Trading Corporation Limited</t>
  </si>
  <si>
    <t>Swan Energy Limited</t>
  </si>
  <si>
    <t>Gujarat Pipavav Port Limited</t>
  </si>
  <si>
    <t>Kaynes Technology India Limited</t>
  </si>
  <si>
    <t>VRL Logistics Limited</t>
  </si>
  <si>
    <t>Intellect Design Arena Limited</t>
  </si>
  <si>
    <t>Sterling and Wilson Renewable Energy Limited</t>
  </si>
  <si>
    <t>Chemplast Sanmar Limited</t>
  </si>
  <si>
    <t>Quess Corp Limited</t>
  </si>
  <si>
    <t>Rolex Rings Limited</t>
  </si>
  <si>
    <t>Mahindra Lifespace Developers Limited</t>
  </si>
  <si>
    <t>Esab India Limited</t>
  </si>
  <si>
    <t>Mahindra Holidays &amp; Resorts India Limited</t>
  </si>
  <si>
    <t>Go Fashion (India) Limited</t>
  </si>
  <si>
    <t>Hinduja Global Solutions Limited</t>
  </si>
  <si>
    <t>BOROSIL RENEWABLES LIMITED</t>
  </si>
  <si>
    <t>Gujarat Ambuja Exports Limited</t>
  </si>
  <si>
    <t>C.E. Info Systems Limited</t>
  </si>
  <si>
    <t>Prism Johnson Limited</t>
  </si>
  <si>
    <t>Keystone Realtors Limited</t>
  </si>
  <si>
    <t>Ircon International Limited</t>
  </si>
  <si>
    <t>Rashtriya Chemicals and Fertilizers Limited</t>
  </si>
  <si>
    <t>Welspun Corp Limited</t>
  </si>
  <si>
    <t>BEML Limited</t>
  </si>
  <si>
    <t>Garden Reach Shipbuilders &amp; Engineers Limited</t>
  </si>
  <si>
    <t>EPL Limited</t>
  </si>
  <si>
    <t>Minda Corporation Limited</t>
  </si>
  <si>
    <t>Graphite India Limited</t>
  </si>
  <si>
    <t>H.G. Infra Engineering Limited</t>
  </si>
  <si>
    <t>Olectra Greentech Limited</t>
  </si>
  <si>
    <t>Reliance Infrastructure Limited</t>
  </si>
  <si>
    <t>Just Dial Limited</t>
  </si>
  <si>
    <t>Rain Industries Limited</t>
  </si>
  <si>
    <t>ION Exchange (India) Limited</t>
  </si>
  <si>
    <t>Edelweiss Financial Services Limited</t>
  </si>
  <si>
    <t>Ujjivan Small Finance Bank Limited</t>
  </si>
  <si>
    <t>TV18 Broadcast Limited</t>
  </si>
  <si>
    <t>Godawari Power And Ispat limited</t>
  </si>
  <si>
    <t>Mtar Technologies Limited</t>
  </si>
  <si>
    <t>Transport Corporation of India Limited</t>
  </si>
  <si>
    <t>RattanIndia Enterprises Limited</t>
  </si>
  <si>
    <t>VST Industries Limited</t>
  </si>
  <si>
    <t>Safari Industries (India) Limited</t>
  </si>
  <si>
    <t>Action Construction Equipment Limited</t>
  </si>
  <si>
    <t>Maharashtra Scooters Limited</t>
  </si>
  <si>
    <t>Delta Corp Limited</t>
  </si>
  <si>
    <t>Glenmark Life Sciences Limited</t>
  </si>
  <si>
    <t>GHCL Limited</t>
  </si>
  <si>
    <t>Indigo Paints Limited</t>
  </si>
  <si>
    <t>Maharashtra Seamless Limited</t>
  </si>
  <si>
    <t>Suprajit Engineering Limited</t>
  </si>
  <si>
    <t>Kfin Technologies Limited</t>
  </si>
  <si>
    <t>Gujarat State Fertilizers &amp; Chemicals Limited</t>
  </si>
  <si>
    <t>The Jammu &amp; Kashmir Bank Limited</t>
  </si>
  <si>
    <t>Religare Enterprises Limited</t>
  </si>
  <si>
    <t>Mastek Limited</t>
  </si>
  <si>
    <t>SIS LIMITED</t>
  </si>
  <si>
    <t>Jindal Saw Limited</t>
  </si>
  <si>
    <t>Tega Industries Limited</t>
  </si>
  <si>
    <t>Syrma SGS Technology Limited</t>
  </si>
  <si>
    <t>Avanti Feeds Limited</t>
  </si>
  <si>
    <t>Star Cement Limited</t>
  </si>
  <si>
    <t>Indiabulls Housing Finance Limited</t>
  </si>
  <si>
    <t>Ramkrishna Forgings Limited</t>
  </si>
  <si>
    <t>Caplin Point Laboratories Limited</t>
  </si>
  <si>
    <t>Vaibhav Global Limited</t>
  </si>
  <si>
    <t>Restaurant Brands Asia Limited</t>
  </si>
  <si>
    <t>Jubilant Pharmova Limited</t>
  </si>
  <si>
    <t>Sharda Cropchem Limited</t>
  </si>
  <si>
    <t>NIIT Limited</t>
  </si>
  <si>
    <t>PCBL LIMITED</t>
  </si>
  <si>
    <t>MAS Financial Services Limited</t>
  </si>
  <si>
    <t>Shipping Corporation Of India Limited</t>
  </si>
  <si>
    <t>PDS Limited</t>
  </si>
  <si>
    <t>Gujarat Alkalies and Chemicals Limited</t>
  </si>
  <si>
    <t>Elecon Engineering Company Limited</t>
  </si>
  <si>
    <t>CMS Info Systems Limited</t>
  </si>
  <si>
    <t>V-Mart Retail Limited</t>
  </si>
  <si>
    <t>ICRA Limited</t>
  </si>
  <si>
    <t>JSW Holdings Limited</t>
  </si>
  <si>
    <t>FDC Limited</t>
  </si>
  <si>
    <t>CSB Bank Limited</t>
  </si>
  <si>
    <t>The Karnataka Bank Limited</t>
  </si>
  <si>
    <t>MMTC Limited</t>
  </si>
  <si>
    <t>Engineers India Limited</t>
  </si>
  <si>
    <t>Sunteck Realty Limited</t>
  </si>
  <si>
    <t>Privi Speciality Chemicals Limited</t>
  </si>
  <si>
    <t>Paradeep Phosphates Limited</t>
  </si>
  <si>
    <t>Sobha Limited</t>
  </si>
  <si>
    <t>Fusion Micro Finance Limited</t>
  </si>
  <si>
    <t>Gujarat Mineral Development Corporation Limited</t>
  </si>
  <si>
    <t>Vijaya Diagnostic Centre Limited</t>
  </si>
  <si>
    <t>Jamna Auto Industries Limited</t>
  </si>
  <si>
    <t>Anant Raj Limited</t>
  </si>
  <si>
    <t>Sansera Engineering Limited</t>
  </si>
  <si>
    <t>Meghmani Finechem Limited</t>
  </si>
  <si>
    <t>Ahluwalia Contracts (India) Limited</t>
  </si>
  <si>
    <t>Bombay Super Hybrid Seeds Limited</t>
  </si>
  <si>
    <t>Tata Coffee Limited</t>
  </si>
  <si>
    <t>Teamlease Services Limited</t>
  </si>
  <si>
    <t>JK Tyre &amp; Industries Limited</t>
  </si>
  <si>
    <t>Varroc Engineering Limited</t>
  </si>
  <si>
    <t>Greenlam Industries Limited</t>
  </si>
  <si>
    <t>Jaiprakash Power Ventures Limited</t>
  </si>
  <si>
    <t>Infibeam Avenues Limited</t>
  </si>
  <si>
    <t>Spandana Sphoorty Financial Limited</t>
  </si>
  <si>
    <t>Himadri Speciality Chemical Limited</t>
  </si>
  <si>
    <t>Bharat Rasayan Limited</t>
  </si>
  <si>
    <t>Rajratan Global Wire Limited</t>
  </si>
  <si>
    <t>La Opala RG Limited</t>
  </si>
  <si>
    <t>Sarda Energy &amp; Minerals Limited</t>
  </si>
  <si>
    <t>Rallis India Limited</t>
  </si>
  <si>
    <t>Borosil Limited</t>
  </si>
  <si>
    <t>Rategain Travel Technologies Limited</t>
  </si>
  <si>
    <t>Schneider Electric Infrastructure Limited</t>
  </si>
  <si>
    <t>Reliance Power Limited</t>
  </si>
  <si>
    <t>Arvind Fashions Limited</t>
  </si>
  <si>
    <t>Tatva Chintan Pharma Chem Limited</t>
  </si>
  <si>
    <t>Power Mech Projects Limited</t>
  </si>
  <si>
    <t>Healthcare Global Enterprises Limited</t>
  </si>
  <si>
    <t>Nesco Limited</t>
  </si>
  <si>
    <t>HeidelbergCement India Limited</t>
  </si>
  <si>
    <t>Techno Electric &amp; Engineering Company Limited</t>
  </si>
  <si>
    <t>Polyplex Corporation Limited</t>
  </si>
  <si>
    <t>Surya Roshni Limited</t>
  </si>
  <si>
    <t>Automotive Axles Limited</t>
  </si>
  <si>
    <t>Jupiter Wagons Limited</t>
  </si>
  <si>
    <t>National Fertilizers Limited</t>
  </si>
  <si>
    <t>HEG Limited</t>
  </si>
  <si>
    <t>Raj Rayon Industries Limited</t>
  </si>
  <si>
    <t>Chennai Petroleum Corporation Limited</t>
  </si>
  <si>
    <t>West Coast Paper Mills Limited</t>
  </si>
  <si>
    <t>Lux Industries Limited</t>
  </si>
  <si>
    <t>Hikal Limited</t>
  </si>
  <si>
    <t>Mishra Dhatu Nigam Limited</t>
  </si>
  <si>
    <t>HLE Glascoat Limited</t>
  </si>
  <si>
    <t>Share India Securities Limited</t>
  </si>
  <si>
    <t>NOCIL Limited</t>
  </si>
  <si>
    <t>Nazara Technologies Limited</t>
  </si>
  <si>
    <t>Bannari Amman Sugars Limited</t>
  </si>
  <si>
    <t>Anand Rathi Wealth Limited</t>
  </si>
  <si>
    <t>Prudent Corporate Advisory Services Limited</t>
  </si>
  <si>
    <t>Gravita India Limited</t>
  </si>
  <si>
    <t>Greenpanel Industries Limited</t>
  </si>
  <si>
    <t>Vesuvius India Limited</t>
  </si>
  <si>
    <t>DCB Bank Limited</t>
  </si>
  <si>
    <t>Rossari Biotech Limited</t>
  </si>
  <si>
    <t>Responsive Industries Limited</t>
  </si>
  <si>
    <t>The Tinplate Company of India Limited</t>
  </si>
  <si>
    <t>Kirloskar Brothers Limited</t>
  </si>
  <si>
    <t>Railtel Corporation Of India Limited</t>
  </si>
  <si>
    <t>Ami Organics Limited</t>
  </si>
  <si>
    <t>Isgec Heavy Engineering Limited</t>
  </si>
  <si>
    <t>Neogen Chemicals Limited</t>
  </si>
  <si>
    <t>Marksans Pharma Limited</t>
  </si>
  <si>
    <t>NAVA LIMITED</t>
  </si>
  <si>
    <t>Newgen Software Technologies Limited</t>
  </si>
  <si>
    <t>Mrs. Bectors Food Specialities Limited</t>
  </si>
  <si>
    <t>Titagarh Wagons Limited</t>
  </si>
  <si>
    <t>Aarti Drugs Limited</t>
  </si>
  <si>
    <t>Ujjivan Financial Services Limited</t>
  </si>
  <si>
    <t>Gateway Distriparks Limited</t>
  </si>
  <si>
    <t>Sula Vineyards Limited</t>
  </si>
  <si>
    <t>LT Foods Limited</t>
  </si>
  <si>
    <t>The South Indian Bank Limited</t>
  </si>
  <si>
    <t>GE T&amp;D India Limited</t>
  </si>
  <si>
    <t>Harsha Engineers International Limited</t>
  </si>
  <si>
    <t>PG Electroplast Limited</t>
  </si>
  <si>
    <t>R Systems International Limited</t>
  </si>
  <si>
    <t>Indoco Remedies Limited</t>
  </si>
  <si>
    <t>Mold-Tek Packaging Limited</t>
  </si>
  <si>
    <t>IFB Industries Limited</t>
  </si>
  <si>
    <t>Shivalik Bimetal Controls Limited</t>
  </si>
  <si>
    <t>Brightcom Group Limited</t>
  </si>
  <si>
    <t>Greaves Cotton Limited</t>
  </si>
  <si>
    <t>MOIL Limited</t>
  </si>
  <si>
    <t>Tata Steel Long Products Limited</t>
  </si>
  <si>
    <t>Tarsons Products Limited</t>
  </si>
  <si>
    <t>Shanthi Gears Limited</t>
  </si>
  <si>
    <t>Choice International Limited</t>
  </si>
  <si>
    <t>Technocraft Industries (India) Limited</t>
  </si>
  <si>
    <t>Dhanuka Agritech Limited</t>
  </si>
  <si>
    <t>Johnson Controls - Hitachi Air Conditioning India Limited</t>
  </si>
  <si>
    <t>Dodla Dairy Limited</t>
  </si>
  <si>
    <t>Dalmia Bharat Sugar and Industries Limited</t>
  </si>
  <si>
    <t>Voltamp Transformers Limited</t>
  </si>
  <si>
    <t>Astec LifeSciences Limited</t>
  </si>
  <si>
    <t>Sudarshan Chemical Industries Limited</t>
  </si>
  <si>
    <t>Kaveri Seed Company Limited</t>
  </si>
  <si>
    <t>Sunflag Iron And Steel Company Limited</t>
  </si>
  <si>
    <t>Indiabulls Real Estate Limited</t>
  </si>
  <si>
    <t>Thomas Cook (India) Limited</t>
  </si>
  <si>
    <t>HBL Power Systems Limited</t>
  </si>
  <si>
    <t>Inox Wind Limited</t>
  </si>
  <si>
    <t>Nilkamal Limited</t>
  </si>
  <si>
    <t>Zen Technologies Limited</t>
  </si>
  <si>
    <t>TCNS Clothing Co. Limited</t>
  </si>
  <si>
    <t>Advanced Enzyme Technologies Limited</t>
  </si>
  <si>
    <t>Strides Pharma Science Limited</t>
  </si>
  <si>
    <t>Fineotex Chemical Limited</t>
  </si>
  <si>
    <t>Kewal Kiran Clothing Limited</t>
  </si>
  <si>
    <t>Hindware Home Innovation Limited</t>
  </si>
  <si>
    <t>Mahindra Logistics Limited</t>
  </si>
  <si>
    <t>Electronics Mart India Limited</t>
  </si>
  <si>
    <t>Jtekt India Limited</t>
  </si>
  <si>
    <t>Man Infraconstruction Limited</t>
  </si>
  <si>
    <t>India Tourism Development Corporation Limited</t>
  </si>
  <si>
    <t>Apcotex Industries Limited</t>
  </si>
  <si>
    <t>Pricol Limited</t>
  </si>
  <si>
    <t>PTC India Limited</t>
  </si>
  <si>
    <t>Aarti Pharmalabs Limited</t>
  </si>
  <si>
    <t>Madhya Bharat Agro Products Limited</t>
  </si>
  <si>
    <t>Sagar Cements Limited</t>
  </si>
  <si>
    <t>TD Power Systems Limited</t>
  </si>
  <si>
    <t>Jai Corp Limited</t>
  </si>
  <si>
    <t>Dilip Buildcon Limited</t>
  </si>
  <si>
    <t>Barbeque Nation Hospitality Limited</t>
  </si>
  <si>
    <t>Uniparts India Limited</t>
  </si>
  <si>
    <t>UFLEX Limited</t>
  </si>
  <si>
    <t>Wonderla Holidays Limited</t>
  </si>
  <si>
    <t>PSP Projects Limited</t>
  </si>
  <si>
    <t>Kirloskar Industries Limited</t>
  </si>
  <si>
    <t>India Pesticides Limited</t>
  </si>
  <si>
    <t>Dish TV India Limited</t>
  </si>
  <si>
    <t>Tata Metaliks Limited</t>
  </si>
  <si>
    <t>Paisalo Digital Limited</t>
  </si>
  <si>
    <t>Prime Focus Limited</t>
  </si>
  <si>
    <t>Hemisphere Properties India Limited</t>
  </si>
  <si>
    <t>LG Balakrishnan &amp; Bros Limited</t>
  </si>
  <si>
    <t>Maithan Alloys Limited</t>
  </si>
  <si>
    <t>Steel Strips Wheels Limited</t>
  </si>
  <si>
    <t>Neuland Laboratories Limited</t>
  </si>
  <si>
    <t>Hathway Cable &amp; Datacom Limited</t>
  </si>
  <si>
    <t>Thyrocare Technologies Limited</t>
  </si>
  <si>
    <t>Orient Cement Limited</t>
  </si>
  <si>
    <t>Dreamfolks Services Limited</t>
  </si>
  <si>
    <t>Ethos Limited</t>
  </si>
  <si>
    <t>Globus Spirits Limited</t>
  </si>
  <si>
    <t>Ganesh Housing Corporation Limited</t>
  </si>
  <si>
    <t>Arvind Limited</t>
  </si>
  <si>
    <t>Indo Count Industries Limited</t>
  </si>
  <si>
    <t>Shriram Pistons &amp; Rings Limited</t>
  </si>
  <si>
    <t>Wockhardt Limited</t>
  </si>
  <si>
    <t>D B Realty Limited</t>
  </si>
  <si>
    <t>ISMT Limited</t>
  </si>
  <si>
    <t>Jindal Poly Films Limited</t>
  </si>
  <si>
    <t>VA Tech Wabag Limited</t>
  </si>
  <si>
    <t>Bajaj Consumer Care Limited</t>
  </si>
  <si>
    <t>Genus Power Infrastructures Limited</t>
  </si>
  <si>
    <t>Butterfly Gandhimathi Appliances Limited</t>
  </si>
  <si>
    <t>Navneet Education Limited</t>
  </si>
  <si>
    <t>Gokaldas Exports Limited</t>
  </si>
  <si>
    <t>Apollo Pipes Limited</t>
  </si>
  <si>
    <t>Landmark Cars Limited</t>
  </si>
  <si>
    <t>IFCI Limited</t>
  </si>
  <si>
    <t>Agro Tech Foods Limited</t>
  </si>
  <si>
    <t>Eveready Industries India Limited</t>
  </si>
  <si>
    <t>AGI Greenpac Limited</t>
  </si>
  <si>
    <t>Tilaknagar Industries Limited</t>
  </si>
  <si>
    <t>Ashoka Buildcon Limited</t>
  </si>
  <si>
    <t>Somany Ceramics Limited</t>
  </si>
  <si>
    <t>Hindustan Construction Company Limited</t>
  </si>
  <si>
    <t>Jain Irrigation Systems Limited</t>
  </si>
  <si>
    <t>Vindhya Telelinks Limited</t>
  </si>
  <si>
    <t>Fiem Industries Limited</t>
  </si>
  <si>
    <t>Tasty Bite Eatables Limited</t>
  </si>
  <si>
    <t>Jayaswal Neco Industries Limited</t>
  </si>
  <si>
    <t>Honda India Power Products Limited</t>
  </si>
  <si>
    <t>Unichem Laboratories Limited</t>
  </si>
  <si>
    <t>Mukand Limited</t>
  </si>
  <si>
    <t>Cigniti Technologies Limited</t>
  </si>
  <si>
    <t>MM Forgings Limited</t>
  </si>
  <si>
    <t>Venky's (India) Limited</t>
  </si>
  <si>
    <t>Ramky Infrastructure Limited</t>
  </si>
  <si>
    <t>Divgi Torqtransfer Systems Limited</t>
  </si>
  <si>
    <t>Camlin Fine Sciences Limited</t>
  </si>
  <si>
    <t>Shilpa Medicare Limited</t>
  </si>
  <si>
    <t>Gulf Oil Lubricants India Limited</t>
  </si>
  <si>
    <t>Meghmani Organics Limited</t>
  </si>
  <si>
    <t>Dollar Industries Limited</t>
  </si>
  <si>
    <t>V.S.T Tillers Tractors Limited</t>
  </si>
  <si>
    <t>Subros Limited</t>
  </si>
  <si>
    <t>Dishman Carbogen Amcis Limited</t>
  </si>
  <si>
    <t>Gabriel India Limited</t>
  </si>
  <si>
    <t>Max Ventures and Industries Limited</t>
  </si>
  <si>
    <t>Siyaram Silk Mills Limited</t>
  </si>
  <si>
    <t>TVS Srichakra Limited</t>
  </si>
  <si>
    <t>Astra Microwave Products Limited</t>
  </si>
  <si>
    <t>J.Kumar Infraprojects Limited</t>
  </si>
  <si>
    <t>Jagran Prakashan Limited</t>
  </si>
  <si>
    <t>Electrosteel Castings Limited</t>
  </si>
  <si>
    <t>CARE Ratings Limited</t>
  </si>
  <si>
    <t>India Glycols Limited</t>
  </si>
  <si>
    <t>Balmer Lawrie &amp; Company Limited</t>
  </si>
  <si>
    <t>Kolte - Patil Developers Limited</t>
  </si>
  <si>
    <t>Imagicaaworld Entertainment Limited</t>
  </si>
  <si>
    <t>Welspun Enterprises Limited</t>
  </si>
  <si>
    <t>TIPS Industries Limited</t>
  </si>
  <si>
    <t>Swaraj Engines Limited</t>
  </si>
  <si>
    <t>Mayur Uniquoters Ltd</t>
  </si>
  <si>
    <t>Ganesha Ecosphere Limited</t>
  </si>
  <si>
    <t>Paras Defence and Space Technologies Limited</t>
  </si>
  <si>
    <t>Lumax Auto Technologies Limited</t>
  </si>
  <si>
    <t>Accelya Solutions India Limited</t>
  </si>
  <si>
    <t>Kesoram Industries Limited</t>
  </si>
  <si>
    <t>Cartrade Tech Limited</t>
  </si>
  <si>
    <t>MPS Limited</t>
  </si>
  <si>
    <t>Sequent Scientific Limited</t>
  </si>
  <si>
    <t>HIL Limited</t>
  </si>
  <si>
    <t>Gufic Biosciences Limited</t>
  </si>
  <si>
    <t>ITD Cementation India Limited</t>
  </si>
  <si>
    <t>Pilani Investment and Industries Corporation Limited</t>
  </si>
  <si>
    <t>Mstc Limited</t>
  </si>
  <si>
    <t>Lloyds Steels Industries Limited</t>
  </si>
  <si>
    <t>Panama Petrochem Limited</t>
  </si>
  <si>
    <t>Optiemus Infracom Limited</t>
  </si>
  <si>
    <t>Sirca Paints India Limited</t>
  </si>
  <si>
    <t>Thirumalai Chemicals Limited</t>
  </si>
  <si>
    <t>Dynamatic Technologies Limited</t>
  </si>
  <si>
    <t>Sundaram Finance Holdings Limited</t>
  </si>
  <si>
    <t>Time Technoplast Limited</t>
  </si>
  <si>
    <t>D.B.Corp Limited</t>
  </si>
  <si>
    <t>Ashiana Housing Limited</t>
  </si>
  <si>
    <t>Confidence Petroleum India Limited</t>
  </si>
  <si>
    <t>Prataap Snacks Limited</t>
  </si>
  <si>
    <t>Nucleus Software Exports Limited</t>
  </si>
  <si>
    <t>Greenply Industries Limited</t>
  </si>
  <si>
    <t>Jaiprakash Associates Limited</t>
  </si>
  <si>
    <t>Wendt (India) Limited</t>
  </si>
  <si>
    <t>Fino Payments Bank Limited</t>
  </si>
  <si>
    <t>Federal-Mogul Goetze (India) Limited.</t>
  </si>
  <si>
    <t>Sanghi Industries Limited</t>
  </si>
  <si>
    <t>Vakrangee Limited</t>
  </si>
  <si>
    <t>GNA Axles Limited</t>
  </si>
  <si>
    <t>Amrutanjan Health Care Limited</t>
  </si>
  <si>
    <t>eMudhra Limited</t>
  </si>
  <si>
    <t>Datamatics Global Services Limited</t>
  </si>
  <si>
    <t>Sharda Motor Industries Limited</t>
  </si>
  <si>
    <t>IOL Chemicals and Pharmaceuticals Limited</t>
  </si>
  <si>
    <t>Lumax Industries Limited</t>
  </si>
  <si>
    <t>Bajaj Hindusthan Sugar Limited</t>
  </si>
  <si>
    <t>Stylam Industries Limited</t>
  </si>
  <si>
    <t>ANDHRA PAPER LIMITED</t>
  </si>
  <si>
    <t>Savita Oil Technologies Limited</t>
  </si>
  <si>
    <t>ADF Foods Limited</t>
  </si>
  <si>
    <t>Vidhi Specialty Food Ingredients Limited</t>
  </si>
  <si>
    <t>Kabra Extrusion Technik Limited</t>
  </si>
  <si>
    <t>Bhansali Engineering Polymers Limited</t>
  </si>
  <si>
    <t>Rupa &amp; Company Limited</t>
  </si>
  <si>
    <t>NACL Industries Limited</t>
  </si>
  <si>
    <t>Vardhman Special Steels Limited</t>
  </si>
  <si>
    <t>Vishnu Chemicals Limited</t>
  </si>
  <si>
    <t>Dwarikesh Sugar Industries Limited</t>
  </si>
  <si>
    <t>Dhani Services Limited</t>
  </si>
  <si>
    <t>Banco Products (I) Limited</t>
  </si>
  <si>
    <t>Kingfa Science &amp; Technology (India) Limited</t>
  </si>
  <si>
    <t>Subex Limited</t>
  </si>
  <si>
    <t>Hindustan Oil Exploration Company Limited</t>
  </si>
  <si>
    <t>RattanIndia Power Limited</t>
  </si>
  <si>
    <t>Vadilal Industries Limited</t>
  </si>
  <si>
    <t>Black Box Limited</t>
  </si>
  <si>
    <t>Orchid Pharma Limited</t>
  </si>
  <si>
    <t>Puravankara Limited</t>
  </si>
  <si>
    <t>COSMO FIRST LIMITED</t>
  </si>
  <si>
    <t>Indian Metals &amp; Ferro Alloys Limited</t>
  </si>
  <si>
    <t>Supriya Lifescience Limited</t>
  </si>
  <si>
    <t>Saksoft Limited</t>
  </si>
  <si>
    <t>IIFL Securities Limited</t>
  </si>
  <si>
    <t>Sanghvi Movers Limited</t>
  </si>
  <si>
    <t>Gokul Agro Resources Limited</t>
  </si>
  <si>
    <t>Alembic Limited</t>
  </si>
  <si>
    <t>Venus Pipes &amp; Tubes Limited</t>
  </si>
  <si>
    <t>Seamec Limited</t>
  </si>
  <si>
    <t>Tamil Nadu Newsprint &amp; Papers Limited</t>
  </si>
  <si>
    <t>KPI Green Energy Limited</t>
  </si>
  <si>
    <t>BF Investment Limited</t>
  </si>
  <si>
    <t>Seshasayee Paper and Boards Limited</t>
  </si>
  <si>
    <t>Dhampur Sugar Mills Limited</t>
  </si>
  <si>
    <t>The Andhra Sugars Limited</t>
  </si>
  <si>
    <t>Kiri Industries Limited</t>
  </si>
  <si>
    <t>TTK Healthcare Limited</t>
  </si>
  <si>
    <t>CARYSIL LIMITED</t>
  </si>
  <si>
    <t>GOCL Corporation Limited</t>
  </si>
  <si>
    <t>JSW Ispat Special Products Limited</t>
  </si>
  <si>
    <t>Sterling Tools Limited</t>
  </si>
  <si>
    <t>Shalby Limited</t>
  </si>
  <si>
    <t>Tide Water Oil Company (India) Limited</t>
  </si>
  <si>
    <t>Krsnaa Diagnostics Limited</t>
  </si>
  <si>
    <t>Krishana Phoschem Limited</t>
  </si>
  <si>
    <t>Huhtamaki India Limited</t>
  </si>
  <si>
    <t>Bharat Bijlee Limited</t>
  </si>
  <si>
    <t>SEPC Limited</t>
  </si>
  <si>
    <t>The Orissa Minerals Development Company Limited</t>
  </si>
  <si>
    <t>Filatex India Limited</t>
  </si>
  <si>
    <t>Thejo Engineering Limited</t>
  </si>
  <si>
    <t>Aptech Limited</t>
  </si>
  <si>
    <t>Oriental Hotels Limited</t>
  </si>
  <si>
    <t>DCX Systems Limited</t>
  </si>
  <si>
    <t>Foseco India Limited</t>
  </si>
  <si>
    <t>Goldiam International Limited</t>
  </si>
  <si>
    <t>Shankara Building Products Limited</t>
  </si>
  <si>
    <t>Insecticides (India) Limited</t>
  </si>
  <si>
    <t>Thangamayil Jewellery Limited</t>
  </si>
  <si>
    <t>S H Kelkar and Company Limited</t>
  </si>
  <si>
    <t>Texmaco Rail &amp; Engineering Limited</t>
  </si>
  <si>
    <t>Cantabil Retail India Limited</t>
  </si>
  <si>
    <t>Gallantt Ispat Limited</t>
  </si>
  <si>
    <t>Heritage Foods Limited</t>
  </si>
  <si>
    <t>KCP Limited</t>
  </si>
  <si>
    <t>Morepen Laboratories Limited</t>
  </si>
  <si>
    <t>GATI Limited</t>
  </si>
  <si>
    <t>Rama Steel Tubes Limited</t>
  </si>
  <si>
    <t>Hester Biosciences Limited</t>
  </si>
  <si>
    <t>NRB Bearing Limited</t>
  </si>
  <si>
    <t>IndoStar Capital Finance Limited</t>
  </si>
  <si>
    <t>Monte Carlo Fashions Limited</t>
  </si>
  <si>
    <t>Kalyani Steels Limited</t>
  </si>
  <si>
    <t>KDDL Limited</t>
  </si>
  <si>
    <t>TCPL Packaging Limited</t>
  </si>
  <si>
    <t>Marathon Nextgen Realty Limited</t>
  </si>
  <si>
    <t>Arvind SmartSpaces Limited</t>
  </si>
  <si>
    <t>DCW Limited</t>
  </si>
  <si>
    <t>Den Networks Limited</t>
  </si>
  <si>
    <t>STEEL EXCHANGE INDIA LIMITED</t>
  </si>
  <si>
    <t>EIH Associated Hotels Limited</t>
  </si>
  <si>
    <t>IG Petrochemicals Limited</t>
  </si>
  <si>
    <t>Nitin Spinners Limited</t>
  </si>
  <si>
    <t>Expleo Solutions Limited</t>
  </si>
  <si>
    <t>Veranda Learning Solutions Limited</t>
  </si>
  <si>
    <t>Salasar Techno Engineering Limited</t>
  </si>
  <si>
    <t>Styrenix Performance Materials Limited</t>
  </si>
  <si>
    <t>Ador Welding Limited</t>
  </si>
  <si>
    <t>Bhagiradha Chemicals &amp; Industries Limited</t>
  </si>
  <si>
    <t>PC Jeweller Limited</t>
  </si>
  <si>
    <t>Genesys International Corporation Limited</t>
  </si>
  <si>
    <t>Stove Kraft Limited</t>
  </si>
  <si>
    <t>Rane Holdings Limited</t>
  </si>
  <si>
    <t>New Delhi Television Limited</t>
  </si>
  <si>
    <t>Xpro India Limited</t>
  </si>
  <si>
    <t>Manorama Industries Limited</t>
  </si>
  <si>
    <t>Garware Hi-Tech Films Limited</t>
  </si>
  <si>
    <t>Hariom Pipe Industries Limited</t>
  </si>
  <si>
    <t>Sandhar Technologies Limited</t>
  </si>
  <si>
    <t>AVT Natural Products Limited</t>
  </si>
  <si>
    <t>Inox Wind Energy Limited</t>
  </si>
  <si>
    <t>S.J.S. Enterprises Limited</t>
  </si>
  <si>
    <t>Everest Industries Limited</t>
  </si>
  <si>
    <t>Fairchem Organics Limited</t>
  </si>
  <si>
    <t>Sasken Technologies Limited</t>
  </si>
  <si>
    <t>Oriental Aromatics Limited</t>
  </si>
  <si>
    <t>NELCO Limited</t>
  </si>
  <si>
    <t>Reliance Industrial Infrastructure Limited</t>
  </si>
  <si>
    <t>Solara Active Pharma Sciences Limited</t>
  </si>
  <si>
    <t>Taj GVK Hotels &amp; Resorts Limited</t>
  </si>
  <si>
    <t>Bombay Dyeing &amp; Mfg Company Limited</t>
  </si>
  <si>
    <t>Mangalore Chemicals &amp; Fertilizers Limited</t>
  </si>
  <si>
    <t>Goodluck India Limited</t>
  </si>
  <si>
    <t>RPG Life Sciences Limited</t>
  </si>
  <si>
    <t>Patel Engineering Limited</t>
  </si>
  <si>
    <t>Southern Petrochemicals Industries Corporation Limited</t>
  </si>
  <si>
    <t>Inox Green Energy Services Limited</t>
  </si>
  <si>
    <t>Gujarat Industries Power Company Limited</t>
  </si>
  <si>
    <t>Universal Cables Limited</t>
  </si>
  <si>
    <t>Nalwa Sons Investments Limited</t>
  </si>
  <si>
    <t>HMT Limited</t>
  </si>
  <si>
    <t>Matrimony.Com Limited</t>
  </si>
  <si>
    <t>Mahanagar Telephone Nigam Limited</t>
  </si>
  <si>
    <t>Som Distilleries &amp; Breweries Limited</t>
  </si>
  <si>
    <t>Valiant Organics Limited</t>
  </si>
  <si>
    <t>Arman Financial Services Limited</t>
  </si>
  <si>
    <t>Repco Home Finance Limited</t>
  </si>
  <si>
    <t>Heranba Industries Limited</t>
  </si>
  <si>
    <t>BF Utilities Limited</t>
  </si>
  <si>
    <t>Precision Wires India Limited</t>
  </si>
  <si>
    <t>Axita Cotton Limited</t>
  </si>
  <si>
    <t>GRM Overseas Limited</t>
  </si>
  <si>
    <t>GTPL Hathway Limited</t>
  </si>
  <si>
    <t>Igarashi Motors India Limited</t>
  </si>
  <si>
    <t>InfoBeans Technologies Limited</t>
  </si>
  <si>
    <t>Alicon Castalloy Limited</t>
  </si>
  <si>
    <t>Themis Medicare Limited</t>
  </si>
  <si>
    <t>TV Today Network Limited</t>
  </si>
  <si>
    <t>Wheels India Limited</t>
  </si>
  <si>
    <t>RPSG VENTURES LIMITED</t>
  </si>
  <si>
    <t>Ramco Industries Limited</t>
  </si>
  <si>
    <t>SML Isuzu Limited</t>
  </si>
  <si>
    <t>Abans Holdings Limited</t>
  </si>
  <si>
    <t>Uniphos Enterprises Limited</t>
  </si>
  <si>
    <t>Satin Creditcare Network Limited</t>
  </si>
  <si>
    <t>Kuantum Papers Limited</t>
  </si>
  <si>
    <t>Ganesh Benzoplast Limited</t>
  </si>
  <si>
    <t>Suven Life Sciences Limited</t>
  </si>
  <si>
    <t>Satia Industries Limited</t>
  </si>
  <si>
    <t>Gulshan Polyols Limited</t>
  </si>
  <si>
    <t>The Ugar Sugar Works Limited</t>
  </si>
  <si>
    <t>Manali Petrochemicals Limited</t>
  </si>
  <si>
    <t>Pix Transmissions Limited</t>
  </si>
  <si>
    <t>Shriram Properties Limited</t>
  </si>
  <si>
    <t>Radiant Cash Management Services Limited</t>
  </si>
  <si>
    <t>PNB Gilts Limited</t>
  </si>
  <si>
    <t>Indo Rama Synthetics (India) Limited</t>
  </si>
  <si>
    <t>Ashapura Minechem Limited</t>
  </si>
  <si>
    <t>Ugro Capital Limited</t>
  </si>
  <si>
    <t>AXISCADES Technologies Limited</t>
  </si>
  <si>
    <t>Hi-Tech Pipes Limited</t>
  </si>
  <si>
    <t>Punjab Chemicals &amp; Crop Protection Limited</t>
  </si>
  <si>
    <t>Suryoday Small Finance Bank Limited</t>
  </si>
  <si>
    <t>Everest Kanto Cylinder Limited</t>
  </si>
  <si>
    <t>Jash Engineering Limited</t>
  </si>
  <si>
    <t>DPSC Limited</t>
  </si>
  <si>
    <t>TARC Limited</t>
  </si>
  <si>
    <t>Bharat Wire Ropes Limited</t>
  </si>
  <si>
    <t>Excel Industries Limited</t>
  </si>
  <si>
    <t>Speciality Restaurants Limited</t>
  </si>
  <si>
    <t>The Anup Engineering Limited</t>
  </si>
  <si>
    <t>Skipper Limited</t>
  </si>
  <si>
    <t>Ajmera Realty &amp; Infra India Limited</t>
  </si>
  <si>
    <t>Shalimar Paints Limited</t>
  </si>
  <si>
    <t>GM Breweries Limited</t>
  </si>
  <si>
    <t>Sangam (India) Limited</t>
  </si>
  <si>
    <t>Shivalik Rasayan Limited</t>
  </si>
  <si>
    <t>GMR Power and Urban Infra Limited</t>
  </si>
  <si>
    <t>Pennar Industries Limited</t>
  </si>
  <si>
    <t>Geojit Financial Services Limited</t>
  </si>
  <si>
    <t>Bcl Industries Limited</t>
  </si>
  <si>
    <t>Dhampur Bio Organics Limited</t>
  </si>
  <si>
    <t>Shaily Engineering Plastics Limited</t>
  </si>
  <si>
    <t>Likhitha Infrastructure Limited</t>
  </si>
  <si>
    <t>Madras Fertilizers Limited</t>
  </si>
  <si>
    <t>Steelcast Limited</t>
  </si>
  <si>
    <t>M K Proteins Limited</t>
  </si>
  <si>
    <t>Rossell India Limited</t>
  </si>
  <si>
    <t>Kitex Garments Limited</t>
  </si>
  <si>
    <t>Prakash Industries Limited</t>
  </si>
  <si>
    <t>Artemis Medicare Services Limited</t>
  </si>
  <si>
    <t>Rico Auto Industries Limited</t>
  </si>
  <si>
    <t>Omaxe Limited</t>
  </si>
  <si>
    <t>Centum Electronics Limited</t>
  </si>
  <si>
    <t>Roto Pumps Limited</t>
  </si>
  <si>
    <t>Precision Camshafts Limited</t>
  </si>
  <si>
    <t>Bigbloc Construction Limited</t>
  </si>
  <si>
    <t>Shree Digvijay Cement Co.Ltd</t>
  </si>
  <si>
    <t>Chaman Lal Setia Exports Limited</t>
  </si>
  <si>
    <t>GTL Infrastructure Limited</t>
  </si>
  <si>
    <t>Pearl Global Industries Limited</t>
  </si>
  <si>
    <t>Uttam Sugar Mills Limited</t>
  </si>
  <si>
    <t>Avadh Sugar &amp; Energy Limited</t>
  </si>
  <si>
    <t>Pitti Engineering Limited</t>
  </si>
  <si>
    <t>5Paisa Capital Limited</t>
  </si>
  <si>
    <t>Nahar Spinning Mills Limited</t>
  </si>
  <si>
    <t>Spacenet Enterprises India Limited</t>
  </si>
  <si>
    <t>Sportking India Limited</t>
  </si>
  <si>
    <t>Deep Industries Limited</t>
  </si>
  <si>
    <t>Parag Milk Foods Limited</t>
  </si>
  <si>
    <t>Agarwal Industrial Corporation Limited</t>
  </si>
  <si>
    <t>Control Print Limited</t>
  </si>
  <si>
    <t>Bajaj Healthcare Limited</t>
  </si>
  <si>
    <t>Kamdhenu Limited</t>
  </si>
  <si>
    <t>Chemcon Speciality Chemicals Limited</t>
  </si>
  <si>
    <t>GIC Housing Finance Limited</t>
  </si>
  <si>
    <t>Medicamen Biotech Limited</t>
  </si>
  <si>
    <t>D-Link (India) Limited</t>
  </si>
  <si>
    <t>Arihant Superstructures Limited</t>
  </si>
  <si>
    <t>Vardhman Holdings Limited</t>
  </si>
  <si>
    <t>PTC India Financial Services Limited</t>
  </si>
  <si>
    <t>Hexa Tradex Limited</t>
  </si>
  <si>
    <t>Rachana Infrastructure Limited</t>
  </si>
  <si>
    <t>Capacit'e Infraprojects Limited</t>
  </si>
  <si>
    <t>S. P. Apparels Limited</t>
  </si>
  <si>
    <t>NCL Industries Limited</t>
  </si>
  <si>
    <t>63 moons technologies limited</t>
  </si>
  <si>
    <t>Navkar Corporation Limited</t>
  </si>
  <si>
    <t>Orient Paper &amp; Industries Limited</t>
  </si>
  <si>
    <t>Dredging Corporation of India Limited</t>
  </si>
  <si>
    <t>Ambika Cotton Mills Limited</t>
  </si>
  <si>
    <t>Centrum Capital Limited</t>
  </si>
  <si>
    <t>Linc Limited</t>
  </si>
  <si>
    <t>Renaissance Global Limited</t>
  </si>
  <si>
    <t>S Chand And Company Limited</t>
  </si>
  <si>
    <t>Nelcast Limited</t>
  </si>
  <si>
    <t>Faze Three Limited</t>
  </si>
  <si>
    <t>Kalyani Investment Company Limited</t>
  </si>
  <si>
    <t>Dhunseri Ventures Limited</t>
  </si>
  <si>
    <t>Jagsonpal Pharmaceuticals Limited</t>
  </si>
  <si>
    <t>Pokarna Limited</t>
  </si>
  <si>
    <t>IFGL Refractories Limited</t>
  </si>
  <si>
    <t>Transformers And Rectifiers (India) Limited</t>
  </si>
  <si>
    <t>Century Enka Limited</t>
  </si>
  <si>
    <t>SMC Global Securities Limited</t>
  </si>
  <si>
    <t>Royal Orchid Hotels Limited</t>
  </si>
  <si>
    <t>India Nippon Electricals Limited</t>
  </si>
  <si>
    <t>Shakti Pumps (India) Limited</t>
  </si>
  <si>
    <t>NGL Fine-Chem Limited</t>
  </si>
  <si>
    <t>India Motor Parts and Accessories Limited</t>
  </si>
  <si>
    <t>Bliss GVS Pharma Limited</t>
  </si>
  <si>
    <t>Allsec Technologies Limited</t>
  </si>
  <si>
    <t>Orient Bell Limited</t>
  </si>
  <si>
    <t>Mangalam Cement Limited</t>
  </si>
  <si>
    <t>The Sandesh Limited</t>
  </si>
  <si>
    <t>Bodal Chemicals Limited</t>
  </si>
  <si>
    <t>Ester Industries Limited</t>
  </si>
  <si>
    <t>Zota Health Care LImited</t>
  </si>
  <si>
    <t>RSWM Limited</t>
  </si>
  <si>
    <t>Indraprastha Medical Corporation Limited</t>
  </si>
  <si>
    <t>Quick Heal Technologies Limited</t>
  </si>
  <si>
    <t>Sree Rayalaseema Hi-Strength Hypo Limited</t>
  </si>
  <si>
    <t>Aurionpro Solutions Limited</t>
  </si>
  <si>
    <t>Global Surfaces Limited</t>
  </si>
  <si>
    <t>Sastasundar Ventures Limited</t>
  </si>
  <si>
    <t>Manaksia Limited</t>
  </si>
  <si>
    <t>Antony Waste Handling Cell Limited</t>
  </si>
  <si>
    <t>B. L. Kashyap and Sons Limited</t>
  </si>
  <si>
    <t>Ram Ratna Wires Limited</t>
  </si>
  <si>
    <t>Jindal Drilling And Industries Limited</t>
  </si>
  <si>
    <t>Vimta Labs Limited</t>
  </si>
  <si>
    <t>Varanium Cloud Limited</t>
  </si>
  <si>
    <t>D. P. Abhushan Limited</t>
  </si>
  <si>
    <t>Mold-Tek Technologies Limited</t>
  </si>
  <si>
    <t>Atul Auto Limited</t>
  </si>
  <si>
    <t>Kokuyo Camlin Limited</t>
  </si>
  <si>
    <t>Sigachi Industries Limited</t>
  </si>
  <si>
    <t>Himatsingka Seide Limited</t>
  </si>
  <si>
    <t>Lincoln Pharmaceuticals Limited</t>
  </si>
  <si>
    <t>Orient Green Power Company Limited</t>
  </si>
  <si>
    <t>Emami Paper Mills Limited</t>
  </si>
  <si>
    <t>Sat Industries Limited</t>
  </si>
  <si>
    <t>Ramco Systems Limited</t>
  </si>
  <si>
    <t>HP Adhesives Limited</t>
  </si>
  <si>
    <t>Oriental Carbon &amp; Chemicals Limited</t>
  </si>
  <si>
    <t>Focus Lighting and Fixtures Limited</t>
  </si>
  <si>
    <t>GE Power India Limited</t>
  </si>
  <si>
    <t>Sutlej Textiles and Industries Limited</t>
  </si>
  <si>
    <t>Panacea Biotec Limited</t>
  </si>
  <si>
    <t>Jai Balaji Industries Limited</t>
  </si>
  <si>
    <t>Rane (Madras) Limited</t>
  </si>
  <si>
    <t>Jet Airways (India) Limited</t>
  </si>
  <si>
    <t>Tracxn Technologies Limited</t>
  </si>
  <si>
    <t>Khaitan Chemicals &amp; Fertilizers Limited</t>
  </si>
  <si>
    <t>Tamilnadu PetroProducts Limited</t>
  </si>
  <si>
    <t>Onward Technologies Limited</t>
  </si>
  <si>
    <t>Tourism Finance Corporation of India Limited</t>
  </si>
  <si>
    <t>OnMobile Global Limited</t>
  </si>
  <si>
    <t>Innovana Thinklabs Limited</t>
  </si>
  <si>
    <t>Gandhi Special Tubes Limited</t>
  </si>
  <si>
    <t>Texmaco Infrastructure &amp; Holdings Limited</t>
  </si>
  <si>
    <t>Medico Remedies Limited</t>
  </si>
  <si>
    <t>TVS Electronics Limited</t>
  </si>
  <si>
    <t>Heubach Colorants India Limited</t>
  </si>
  <si>
    <t>Vinyl Chemicals (India) Limited</t>
  </si>
  <si>
    <t>Paramount Communications Limited</t>
  </si>
  <si>
    <t>Foods &amp; Inns Limited</t>
  </si>
  <si>
    <t>HLV LIMITED</t>
  </si>
  <si>
    <t>Coffee Day Enterprises Limited</t>
  </si>
  <si>
    <t>Beta Drugs Limited</t>
  </si>
  <si>
    <t>Apex Frozen Foods Limited</t>
  </si>
  <si>
    <t>Yuken India Limited</t>
  </si>
  <si>
    <t>Elin Electronics Limited</t>
  </si>
  <si>
    <t>Monarch Networth Capital Limited</t>
  </si>
  <si>
    <t>DMCC SPECIALITY CHEMICALS LIMITED</t>
  </si>
  <si>
    <t>Cheviot Company Limited</t>
  </si>
  <si>
    <t>Xchanging Solutions Limited</t>
  </si>
  <si>
    <t>Visaka Industries Limited</t>
  </si>
  <si>
    <t>Summit Securities Limited</t>
  </si>
  <si>
    <t>Sukhjit Starch &amp; Chemicals Limited</t>
  </si>
  <si>
    <t>Indian Hume Pipe Company Limited</t>
  </si>
  <si>
    <t>Jubilant Industries Limited</t>
  </si>
  <si>
    <t>Associated Alcohols &amp; Breweries Ltd.</t>
  </si>
  <si>
    <t>Deccan Cements Limited</t>
  </si>
  <si>
    <t>Jay Bharat Maruti Limited</t>
  </si>
  <si>
    <t>Cool Caps Industries Limited</t>
  </si>
  <si>
    <t>Apollo Micro Systems Limited</t>
  </si>
  <si>
    <t>Eldeco Housing And Industries Limited</t>
  </si>
  <si>
    <t>Hercules Hoists Limited</t>
  </si>
  <si>
    <t>Fourth Dimension Solutions Limited</t>
  </si>
  <si>
    <t>Kriti Industries (India) Limited</t>
  </si>
  <si>
    <t>AGS Transact Technologies Limited</t>
  </si>
  <si>
    <t>Nahar Poly Films Limited</t>
  </si>
  <si>
    <t>Man Industries (India) Limited</t>
  </si>
  <si>
    <t>Entertainment Network (India) Limited</t>
  </si>
  <si>
    <t>Syncom Formulations (India) Limited</t>
  </si>
  <si>
    <t>Kamdhenu Ventures Limited</t>
  </si>
  <si>
    <t>Nagarjuna Fertilizers and Chemicals Limited</t>
  </si>
  <si>
    <t>Sheetal Cool Products Limited</t>
  </si>
  <si>
    <t>HPL Electric &amp; Power Limited</t>
  </si>
  <si>
    <t>Indo Amines Limited</t>
  </si>
  <si>
    <t>DCM Shriram Industries Limited</t>
  </si>
  <si>
    <t>Menon Bearings Limited</t>
  </si>
  <si>
    <t>Vascon Engineers Limited</t>
  </si>
  <si>
    <t>VLS Finance Limited</t>
  </si>
  <si>
    <t>BALAXI PHARMACEUTICALS LIMITED</t>
  </si>
  <si>
    <t>Zee Media Corporation Limited</t>
  </si>
  <si>
    <t>Creative Newtech Limited</t>
  </si>
  <si>
    <t>Empyrean Cashews Limited</t>
  </si>
  <si>
    <t>Snowman Logistics Limited</t>
  </si>
  <si>
    <t>Kopran Limited</t>
  </si>
  <si>
    <t>Shreyas Shipping &amp; Logistics Limited</t>
  </si>
  <si>
    <t>Refex Industries Limited</t>
  </si>
  <si>
    <t>Ksolves India Limited</t>
  </si>
  <si>
    <t>GFL Limited</t>
  </si>
  <si>
    <t>Spectrum Electrical Industries Limited</t>
  </si>
  <si>
    <t>Rushil Decor Limited</t>
  </si>
  <si>
    <t>Iris Clothings Limited</t>
  </si>
  <si>
    <t>Oswal Chemicals &amp; Fertilizers Limited</t>
  </si>
  <si>
    <t>SEL Manufacturing Company Limited</t>
  </si>
  <si>
    <t>Bhageria Industries Limited</t>
  </si>
  <si>
    <t>Zuari Agro Chemicals Limited</t>
  </si>
  <si>
    <t>Talbros Automotive Components Limited</t>
  </si>
  <si>
    <t>The Ruby Mills Limited</t>
  </si>
  <si>
    <t>ShreeOswal Seeds And Chemicals Limited</t>
  </si>
  <si>
    <t>D P Wires Limited</t>
  </si>
  <si>
    <t>SMS Pharmaceuticals Limited</t>
  </si>
  <si>
    <t>Dharmaj Crop Guard Limited</t>
  </si>
  <si>
    <t>Rane Brake Lining Limited</t>
  </si>
  <si>
    <t>Goyal Aluminiums Limited</t>
  </si>
  <si>
    <t>Nupur Recyclers Limited</t>
  </si>
  <si>
    <t>Mirza International Limited</t>
  </si>
  <si>
    <t>Vikas Lifecare Limited</t>
  </si>
  <si>
    <t>Windlas Biotech Limited</t>
  </si>
  <si>
    <t>The Hi-Tech Gears Limited</t>
  </si>
  <si>
    <t>Shree Pushkar Chemicals &amp; Fertilisers Limited</t>
  </si>
  <si>
    <t>Spencer's Retail Limited</t>
  </si>
  <si>
    <t>Kanoria Chemicals &amp; Industries Limited</t>
  </si>
  <si>
    <t>Jindal Poly Investment and Finance Company Limited</t>
  </si>
  <si>
    <t>Automotive Stampings and Assemblies Limited</t>
  </si>
  <si>
    <t>Silver Touch Technologies Limited</t>
  </si>
  <si>
    <t>3i Infotech Limited</t>
  </si>
  <si>
    <t>Mallcom (India) Limited</t>
  </si>
  <si>
    <t>Crest Ventures Limited</t>
  </si>
  <si>
    <t>Repro India Limited</t>
  </si>
  <si>
    <t>Marine Electricals (India) Limited</t>
  </si>
  <si>
    <t>Kirloskar Electric Company Limited</t>
  </si>
  <si>
    <t>De Nora India Limited</t>
  </si>
  <si>
    <t>Exxaro Tiles Limited</t>
  </si>
  <si>
    <t>Magadh Sugar &amp; Energy Limited</t>
  </si>
  <si>
    <t>Asian Granito India Limited</t>
  </si>
  <si>
    <t>Jayant Agro Organics Limited</t>
  </si>
  <si>
    <t>DiGiSPICE Technologies Limited</t>
  </si>
  <si>
    <t>B&amp;B Triplewall Containers Limited</t>
  </si>
  <si>
    <t>Premier Explosives Limited</t>
  </si>
  <si>
    <t>Swelect Energy Systems Limited</t>
  </si>
  <si>
    <t>Kellton Tech Solutions Limited</t>
  </si>
  <si>
    <t>Muthoot Capital Services Limited</t>
  </si>
  <si>
    <t>Anjani Portland Cement Limited</t>
  </si>
  <si>
    <t>Asian Energy Services Limited</t>
  </si>
  <si>
    <t>Donear Industries Limited</t>
  </si>
  <si>
    <t>Allied Digital Services Limited</t>
  </si>
  <si>
    <t>Banswara Syntex Limited</t>
  </si>
  <si>
    <t>Nahar Capital and Financial Services Limited</t>
  </si>
  <si>
    <t>Ice Make Refrigeration Limited</t>
  </si>
  <si>
    <t>Baid Finserv Limited</t>
  </si>
  <si>
    <t>The State Trading Corporation of India Limited</t>
  </si>
  <si>
    <t>Tribhovandas Bhimji Zaveri Limited</t>
  </si>
  <si>
    <t>Salzer Electronics Limited</t>
  </si>
  <si>
    <t>IFB Agro Industries Limited</t>
  </si>
  <si>
    <t>PTL Enterprises Limited</t>
  </si>
  <si>
    <t>Arihant Capital Markets Limited</t>
  </si>
  <si>
    <t>CSL Finance Limited</t>
  </si>
  <si>
    <t>Jeena Sikho Lifecare Limited</t>
  </si>
  <si>
    <t>Universus Photo Imagings Limited</t>
  </si>
  <si>
    <t>Hardwyn India Limited</t>
  </si>
  <si>
    <t>Dynacons Systems &amp; Solutions Limited</t>
  </si>
  <si>
    <t>Revathi Equipment Limited</t>
  </si>
  <si>
    <t>HCL Infosystems Limited</t>
  </si>
  <si>
    <t>Plastiblends India Limited</t>
  </si>
  <si>
    <t>United Drilling Tools Limited</t>
  </si>
  <si>
    <t>Career Point Limited</t>
  </si>
  <si>
    <t>Arrow Greentech Limited</t>
  </si>
  <si>
    <t>Sreeleathers Limited</t>
  </si>
  <si>
    <t>SBC Exports Limited</t>
  </si>
  <si>
    <t>Music Broadcast Limited</t>
  </si>
  <si>
    <t>Servotech Power Systems Limited</t>
  </si>
  <si>
    <t>Sakar Healthcare Limited</t>
  </si>
  <si>
    <t>Balaji Telefilms Limited</t>
  </si>
  <si>
    <t>NXTDIGITAL LIMITED</t>
  </si>
  <si>
    <t>Goa Carbon Limited</t>
  </si>
  <si>
    <t>Birla Cable Limited</t>
  </si>
  <si>
    <t>Ritco Logistics Limited</t>
  </si>
  <si>
    <t>Selan Exploration Technology Limited</t>
  </si>
  <si>
    <t>Ascom Leasing &amp; Investments Limited</t>
  </si>
  <si>
    <t>Osia Hyper Retail Limited</t>
  </si>
  <si>
    <t>Hindustan Composites Limited</t>
  </si>
  <si>
    <t>Dhanlaxmi Bank Limited</t>
  </si>
  <si>
    <t>Dynamic Cables Limited</t>
  </si>
  <si>
    <t>Dhunseri Investments Limited</t>
  </si>
  <si>
    <t>Euro India Fresh Foods Limited</t>
  </si>
  <si>
    <t>Munjal Auto Industries Limited</t>
  </si>
  <si>
    <t>Nahar Industrial Enterprises Limited</t>
  </si>
  <si>
    <t>DELPHI WORLD MONEY LIMITED</t>
  </si>
  <si>
    <t>Urja Global Limited</t>
  </si>
  <si>
    <t>Prime Securities Limited</t>
  </si>
  <si>
    <t>Nectar Lifesciences Limited</t>
  </si>
  <si>
    <t>N. B. I. Industrial Finance Company Limited</t>
  </si>
  <si>
    <t>GRP Limited</t>
  </si>
  <si>
    <t>Mawana Sugars Limited</t>
  </si>
  <si>
    <t>Zim Laboratories Limited</t>
  </si>
  <si>
    <t>Pudumjee Paper Products Limited</t>
  </si>
  <si>
    <t>One Point One Solutions Limited</t>
  </si>
  <si>
    <t>Max India Limited</t>
  </si>
  <si>
    <t>Shyam Century Ferrous Limited</t>
  </si>
  <si>
    <t>Vardhman Acrylics Limited</t>
  </si>
  <si>
    <t>Radhika Jeweltech Limited</t>
  </si>
  <si>
    <t>Network People Services Technologies Limited</t>
  </si>
  <si>
    <t>The Investment Trust Of India Limited</t>
  </si>
  <si>
    <t>HT Media Limited</t>
  </si>
  <si>
    <t>N R Agarwal Industries Limited</t>
  </si>
  <si>
    <t>Reliance Communications Limited</t>
  </si>
  <si>
    <t>DIC India Limited</t>
  </si>
  <si>
    <t>Oswal Agro Mills Limited</t>
  </si>
  <si>
    <t>Pondy Oxides &amp; Chemicals Limited</t>
  </si>
  <si>
    <t>Aarti Surfactants Limited</t>
  </si>
  <si>
    <t>SKM Egg Products Export (India) Limited</t>
  </si>
  <si>
    <t>Solex Energy Limited</t>
  </si>
  <si>
    <t>DEEP ENERGY RESOURCES LIMITED</t>
  </si>
  <si>
    <t>FCS Software Solutions Limited</t>
  </si>
  <si>
    <t>Munjal Showa Limited</t>
  </si>
  <si>
    <t>Kothari Products Limited</t>
  </si>
  <si>
    <t>Ponni Sugars (Erode) Limited</t>
  </si>
  <si>
    <t>Chembond Chemicals Ltd</t>
  </si>
  <si>
    <t>Upsurge Seeds Of Agriculture Limited</t>
  </si>
  <si>
    <t>Kernex Microsystems (India) Limited</t>
  </si>
  <si>
    <t>Rana Sugars Limited</t>
  </si>
  <si>
    <t>Cupid Limited</t>
  </si>
  <si>
    <t>BGR Energy Systems Limited</t>
  </si>
  <si>
    <t>Genus Paper &amp; Boards Limited</t>
  </si>
  <si>
    <t>GSS Infotech Limited</t>
  </si>
  <si>
    <t>Peninsula Land Limited</t>
  </si>
  <si>
    <t>Jyoti Structures Limited</t>
  </si>
  <si>
    <t>Advani Hotels &amp; Resorts (India) Limited</t>
  </si>
  <si>
    <t>Kaya Limited</t>
  </si>
  <si>
    <t>Kothari Petrochemicals Limited</t>
  </si>
  <si>
    <t>Liberty Shoes Limited</t>
  </si>
  <si>
    <t>Khadim India Limited</t>
  </si>
  <si>
    <t>Prakash Pipes Limited</t>
  </si>
  <si>
    <t>VIP Clothing Limited</t>
  </si>
  <si>
    <t>Ndr Auto Components Limited</t>
  </si>
  <si>
    <t>Prozone Intu Properties Limited</t>
  </si>
  <si>
    <t>Indo Borax &amp; Chemicals Limited</t>
  </si>
  <si>
    <t>Consolidated Finvest &amp; Holdings Limited</t>
  </si>
  <si>
    <t>Ind-Swift Laboratories Limited</t>
  </si>
  <si>
    <t>ZUARI INDUSTRIES LIMITED</t>
  </si>
  <si>
    <t>GVK Power &amp; Infrastructure Limited</t>
  </si>
  <si>
    <t>Suratwwala Business Group Limited</t>
  </si>
  <si>
    <t>Hind Rectifiers Limited</t>
  </si>
  <si>
    <t>Chemfab Alkalis Limited</t>
  </si>
  <si>
    <t>Global Education Limited</t>
  </si>
  <si>
    <t>Annapurna Swadisht Limited</t>
  </si>
  <si>
    <t>International Conveyors Limited</t>
  </si>
  <si>
    <t>Emkay Taps and Cutting Tools Limited</t>
  </si>
  <si>
    <t>Orbit Exports Limited</t>
  </si>
  <si>
    <t>South West Pinnacle Exploration Limited</t>
  </si>
  <si>
    <t>Kamat Hotels (I) Limited</t>
  </si>
  <si>
    <t>Rajnandini Metal Limited</t>
  </si>
  <si>
    <t>Rama Phosphates Limited</t>
  </si>
  <si>
    <t>OM INFRA LIMITED</t>
  </si>
  <si>
    <t>Hindustan Media Ventures Limited</t>
  </si>
  <si>
    <t>AYM Syntex Limited</t>
  </si>
  <si>
    <t>MSP Steel &amp; Power Limited</t>
  </si>
  <si>
    <t>Wealth First Portfolio Managers Limited</t>
  </si>
  <si>
    <t>Unitech Limited</t>
  </si>
  <si>
    <t>Websol Energy System Limited</t>
  </si>
  <si>
    <t>Nureca Limited</t>
  </si>
  <si>
    <t>Lyka Labs Limited</t>
  </si>
  <si>
    <t>GKW Limited</t>
  </si>
  <si>
    <t>Mahalaxmi Rubtech Limited</t>
  </si>
  <si>
    <t>Aurum PropTech Limited</t>
  </si>
  <si>
    <t>Sky Gold Limited</t>
  </si>
  <si>
    <t>Albert David Limited</t>
  </si>
  <si>
    <t>Shiv Aum Steels Limited</t>
  </si>
  <si>
    <t>Pavna Industries Limited</t>
  </si>
  <si>
    <t>Cineline India Limited</t>
  </si>
  <si>
    <t>Kothari Sugars And Chemicals Limited</t>
  </si>
  <si>
    <t>Shemaroo Entertainment Limited</t>
  </si>
  <si>
    <t>SIL Investments Limited</t>
  </si>
  <si>
    <t>SKP Bearing Industries Limited</t>
  </si>
  <si>
    <t>MMP Industries Limited</t>
  </si>
  <si>
    <t>Equippp Social Impact Technologies Limited</t>
  </si>
  <si>
    <t>Mangalam Organics Limited</t>
  </si>
  <si>
    <t>Cybertech Systems And Software Limited</t>
  </si>
  <si>
    <t>Trigyn Technologies Limited</t>
  </si>
  <si>
    <t>Sintercom India Limited</t>
  </si>
  <si>
    <t>Jindal Photo Limited</t>
  </si>
  <si>
    <t>Sarla Performance Fibers Limited</t>
  </si>
  <si>
    <t>Ruchira Papers Limited</t>
  </si>
  <si>
    <t>Integra Essentia Limited</t>
  </si>
  <si>
    <t>Macpower CNC Machines Limited</t>
  </si>
  <si>
    <t>Autoline Industries Limited</t>
  </si>
  <si>
    <t>Orient Abrasives Limited</t>
  </si>
  <si>
    <t>Apollo Sindoori Hotels Limited</t>
  </si>
  <si>
    <t>Dynemic Products Limited</t>
  </si>
  <si>
    <t>CL Educate Limited</t>
  </si>
  <si>
    <t>Parsvnath Developers Limited</t>
  </si>
  <si>
    <t>Gujarat Sidhee Cement Limited</t>
  </si>
  <si>
    <t>MIRC Electronics Limited</t>
  </si>
  <si>
    <t>Vishwaraj Sugar Industries Limited</t>
  </si>
  <si>
    <t>Hindustan Motors Limited</t>
  </si>
  <si>
    <t>NINtec Systems Limited</t>
  </si>
  <si>
    <t>Nath Bio-Genes (India) Limited</t>
  </si>
  <si>
    <t>KN Agri Resources Limited</t>
  </si>
  <si>
    <t>GeeCee Ventures Limited</t>
  </si>
  <si>
    <t>KCP Sugar and Industries Corporation Limited</t>
  </si>
  <si>
    <t>Stel Holdings Limited</t>
  </si>
  <si>
    <t>Poddar Pigments Limited</t>
  </si>
  <si>
    <t>Kotyark Industries Limited</t>
  </si>
  <si>
    <t>Hitech Corporation Limited</t>
  </si>
  <si>
    <t>Euro Panel Products Limited</t>
  </si>
  <si>
    <t>MIC Electronics Limited</t>
  </si>
  <si>
    <t>Oricon Enterprises Limited</t>
  </si>
  <si>
    <t>20 Microns Limited</t>
  </si>
  <si>
    <t>Mangalam Worldwide Limited</t>
  </si>
  <si>
    <t>Mindteck (India) Limited</t>
  </si>
  <si>
    <t>Bombay Metrics Supply Chain Limited</t>
  </si>
  <si>
    <t>Gokul Refoils and Solvent Limited</t>
  </si>
  <si>
    <t>Salasar Exteriors and Contour Limited</t>
  </si>
  <si>
    <t>DUDIGITAL GLOBAL LIMITED</t>
  </si>
  <si>
    <t>Wonder Electricals Limited</t>
  </si>
  <si>
    <t>Superhouse Limited</t>
  </si>
  <si>
    <t>Loyal Textile Mills Limited</t>
  </si>
  <si>
    <t>BPL Limited</t>
  </si>
  <si>
    <t>Aditya Birla Money Limited</t>
  </si>
  <si>
    <t>GPT Infraprojects Limited</t>
  </si>
  <si>
    <t>E2E Networks Limited</t>
  </si>
  <si>
    <t>Shivam Autotech Limited</t>
  </si>
  <si>
    <t>DCM Nouvelle Limited</t>
  </si>
  <si>
    <t>Mazda Limited</t>
  </si>
  <si>
    <t>Vaidya Sane Ayurved Laboratories Limited</t>
  </si>
  <si>
    <t>Windsor Machines Limited</t>
  </si>
  <si>
    <t>Bannari Amman Spinning Mills Limited</t>
  </si>
  <si>
    <t>Walchandnagar Industries Limited</t>
  </si>
  <si>
    <t>Sejal Glass Limited</t>
  </si>
  <si>
    <t>Ucal Fuel Systems Limited</t>
  </si>
  <si>
    <t>Mahindra EPC Irrigation Limited</t>
  </si>
  <si>
    <t>V2 Retail Limited</t>
  </si>
  <si>
    <t>Sakuma Exports Limited</t>
  </si>
  <si>
    <t>Vertoz Advertising Limited</t>
  </si>
  <si>
    <t>K.M.Sugar Mills Limited</t>
  </si>
  <si>
    <t>Ashima Limited</t>
  </si>
  <si>
    <t>UFO Moviez India Limited</t>
  </si>
  <si>
    <t>Vikas EcoTech Limited</t>
  </si>
  <si>
    <t>Sakthi Sugars Limited</t>
  </si>
  <si>
    <t>Maheshwari Logistics Limited</t>
  </si>
  <si>
    <t>Maan Aluminium Limited</t>
  </si>
  <si>
    <t>Hubtown Limited</t>
  </si>
  <si>
    <t>Rudrabhishek Enterprises Limited</t>
  </si>
  <si>
    <t>QMS Medical Allied Services Limited</t>
  </si>
  <si>
    <t>Manaksia Steels Limited</t>
  </si>
  <si>
    <t>Emami Realty Limited</t>
  </si>
  <si>
    <t>Generic Engineering Construction and Projects Limited</t>
  </si>
  <si>
    <t>Star Paper Mills Limited</t>
  </si>
  <si>
    <t>Gujarat Apollo Industries Limited</t>
  </si>
  <si>
    <t>Jayshree Tea &amp; Industries Limited</t>
  </si>
  <si>
    <t>Nandan Denim Limited</t>
  </si>
  <si>
    <t>Brand Concepts Limited</t>
  </si>
  <si>
    <t>GIR Natureview Resorts Limited</t>
  </si>
  <si>
    <t>Sarthak Metals Limited</t>
  </si>
  <si>
    <t>TPL Plastech Limited</t>
  </si>
  <si>
    <t>Tembo Global Industries Limited</t>
  </si>
  <si>
    <t>Dangee Dums Limited</t>
  </si>
  <si>
    <t>Indo-National Limited</t>
  </si>
  <si>
    <t>Asian Hotels (North) Limited</t>
  </si>
  <si>
    <t>Bharat Road Network Limited</t>
  </si>
  <si>
    <t>PPAP Automotive Limited</t>
  </si>
  <si>
    <t>Pasupati Acrylon Limited</t>
  </si>
  <si>
    <t>Frog Cellsat Limited</t>
  </si>
  <si>
    <t>Asahi Songwon Colors Limited</t>
  </si>
  <si>
    <t>Precot Limited</t>
  </si>
  <si>
    <t>MEP Infrastructure Developers Limited</t>
  </si>
  <si>
    <t>Venus Remedies Limited</t>
  </si>
  <si>
    <t>Kilitch Drugs (India) Limited</t>
  </si>
  <si>
    <t>Bodhi Tree Multimedia Limited</t>
  </si>
  <si>
    <t>Megastar Foods Limited</t>
  </si>
  <si>
    <t>DRC Systems India Limited</t>
  </si>
  <si>
    <t>Zodiac Clothing Company Limited</t>
  </si>
  <si>
    <t>Hilton Metal Forging Limited</t>
  </si>
  <si>
    <t>Indo Thai Securities Limited</t>
  </si>
  <si>
    <t>JITF Infralogistics Limited</t>
  </si>
  <si>
    <t>Eros International Media Limited</t>
  </si>
  <si>
    <t>Dev Information Technology Limited</t>
  </si>
  <si>
    <t>Bhartiya International Limited</t>
  </si>
  <si>
    <t>Eimco Elecon (India) Limited</t>
  </si>
  <si>
    <t>Anmol India Limited</t>
  </si>
  <si>
    <t>Coastal Corporation Limited</t>
  </si>
  <si>
    <t>Raj Television Network Limited</t>
  </si>
  <si>
    <t>Jay Jalaram Technologies Limited</t>
  </si>
  <si>
    <t>Reliance Capital Limited</t>
  </si>
  <si>
    <t>Mangalam Global Enterprise Limited</t>
  </si>
  <si>
    <t>Foce India Limited</t>
  </si>
  <si>
    <t>Indian Terrain Fashions Limited</t>
  </si>
  <si>
    <t>Take Solutions Limited</t>
  </si>
  <si>
    <t>Total Transport Systems Limited</t>
  </si>
  <si>
    <t>Accuracy Shipping Limited</t>
  </si>
  <si>
    <t>AVG Logistics Limited</t>
  </si>
  <si>
    <t>Harrisons Malayalam Limited</t>
  </si>
  <si>
    <t>Shreyans Industries Limited</t>
  </si>
  <si>
    <t>Lokesh Machines Limited</t>
  </si>
  <si>
    <t>LGB Forge Limited</t>
  </si>
  <si>
    <t>Systango Technologies Limited</t>
  </si>
  <si>
    <t>Sigma Solve Limited</t>
  </si>
  <si>
    <t>Maral Overseas Limited</t>
  </si>
  <si>
    <t>Aban Offshore Limited</t>
  </si>
  <si>
    <t>Bafna Pharmaceuticals Limited</t>
  </si>
  <si>
    <t>Bedmutha Industries Limited</t>
  </si>
  <si>
    <t>Simplex Infrastructures Limited</t>
  </si>
  <si>
    <t>Aries Agro Limited</t>
  </si>
  <si>
    <t>Dhunseri Tea &amp; Industries Limited</t>
  </si>
  <si>
    <t>Kriti Nutrients Limited</t>
  </si>
  <si>
    <t>IL&amp;FS Investment Managers Limited</t>
  </si>
  <si>
    <t>Industrial Investment Trust Limited</t>
  </si>
  <si>
    <t>Swastik Pipe Limited</t>
  </si>
  <si>
    <t>Aaron Industries Limited</t>
  </si>
  <si>
    <t>Vital Chemtech Limited</t>
  </si>
  <si>
    <t>BEW Engineering Limited</t>
  </si>
  <si>
    <t>Nila Infrastructures Limited</t>
  </si>
  <si>
    <t>Indo Tech Transformers Limited</t>
  </si>
  <si>
    <t>PVP Ventures Limited</t>
  </si>
  <si>
    <t>Asian Hotels (East) Limited</t>
  </si>
  <si>
    <t>Sah Polymers Limited</t>
  </si>
  <si>
    <t>Tips Films Limited</t>
  </si>
  <si>
    <t>Phantom Digital Effects Limited</t>
  </si>
  <si>
    <t>Ducol Organics And Colours Limited</t>
  </si>
  <si>
    <t>Kanpur Plastipack Limited</t>
  </si>
  <si>
    <t>Vinny Overseas Limited</t>
  </si>
  <si>
    <t>Mcleod Russel India Limited</t>
  </si>
  <si>
    <t>TRF Limited</t>
  </si>
  <si>
    <t>All E Technologies Limited</t>
  </si>
  <si>
    <t>Manomay Tex India Limited</t>
  </si>
  <si>
    <t>Inspirisys Solutions Limited</t>
  </si>
  <si>
    <t>Airan Limited</t>
  </si>
  <si>
    <t>MODISON LIMITED</t>
  </si>
  <si>
    <t>Murudeshwar Ceramics Limited</t>
  </si>
  <si>
    <t>Shree Tirupati Balajee FIBC Limited</t>
  </si>
  <si>
    <t>Par Drugs And Chemicals Limited</t>
  </si>
  <si>
    <t>Synergy Green Industries Limited</t>
  </si>
  <si>
    <t>SPL Industries Limited</t>
  </si>
  <si>
    <t>Geekay Wires Limited</t>
  </si>
  <si>
    <t>Palred Technologies Limited</t>
  </si>
  <si>
    <t>Essar Shipping Limited</t>
  </si>
  <si>
    <t>Standard Industries Limited</t>
  </si>
  <si>
    <t>Priti International Limited</t>
  </si>
  <si>
    <t>AksharChem India Limited</t>
  </si>
  <si>
    <t>Shree Rama Newsprint Limited</t>
  </si>
  <si>
    <t>Ruchi Infrastructure Limited</t>
  </si>
  <si>
    <t>Alankit Limited</t>
  </si>
  <si>
    <t>Megasoft Limited</t>
  </si>
  <si>
    <t>IZMO Limited</t>
  </si>
  <si>
    <t>GP Petroleums Limited</t>
  </si>
  <si>
    <t>Touchwood Entertainment Limited</t>
  </si>
  <si>
    <t>Sarveshwar Foods Limited</t>
  </si>
  <si>
    <t>Tarmat Limited</t>
  </si>
  <si>
    <t>Rajshree Polypack Limited</t>
  </si>
  <si>
    <t>Indiabulls Enterprises Limited</t>
  </si>
  <si>
    <t>Bharat Gears Limited</t>
  </si>
  <si>
    <t>Goldstone Technologies Limited</t>
  </si>
  <si>
    <t>MBL Infrastructure Limited</t>
  </si>
  <si>
    <t>P. E. Analytics Limited</t>
  </si>
  <si>
    <t>Emkay Global Financial Services Limited</t>
  </si>
  <si>
    <t>IL&amp;FS Engineering and Construction Company Limited</t>
  </si>
  <si>
    <t>BSL Limited</t>
  </si>
  <si>
    <t>United Polyfab Gujarat Limited</t>
  </si>
  <si>
    <t>Pashupati Cotspin Limited</t>
  </si>
  <si>
    <t>Shiva Texyarn Limited</t>
  </si>
  <si>
    <t>Mangalam Drugs And Organics Limited</t>
  </si>
  <si>
    <t>Krishna Defence and Allied Industries Limited</t>
  </si>
  <si>
    <t>Premier Polyfilm Limited</t>
  </si>
  <si>
    <t>SMS Lifesciences India Limited</t>
  </si>
  <si>
    <t>Goldstar Power Limited</t>
  </si>
  <si>
    <t>Brooks Laboratories Limited</t>
  </si>
  <si>
    <t>Vaishali Pharma Limited</t>
  </si>
  <si>
    <t>Almondz Global Securities Limited</t>
  </si>
  <si>
    <t>3rd Rock Multimedia Limited</t>
  </si>
  <si>
    <t>Pressman Advertising Limited</t>
  </si>
  <si>
    <t>Aarvi Encon Limited</t>
  </si>
  <si>
    <t>Akshar Spintex Limited</t>
  </si>
  <si>
    <t>Latteys Industries Limited</t>
  </si>
  <si>
    <t>Visesh Infotecnics Limited</t>
  </si>
  <si>
    <t>Bhagyanagar India Limited</t>
  </si>
  <si>
    <t>T T Limited</t>
  </si>
  <si>
    <t>Sadbhav Engineering Limited</t>
  </si>
  <si>
    <t>Compucom Software Limited</t>
  </si>
  <si>
    <t>Kakatiya Cement Sugar &amp; Industries Limited</t>
  </si>
  <si>
    <t>R.P.P. Infra Projects Limited</t>
  </si>
  <si>
    <t>Shree Vasu Logistics Limited</t>
  </si>
  <si>
    <t>Smartlink Holdings Limited</t>
  </si>
  <si>
    <t>Aspinwall and Company Limited</t>
  </si>
  <si>
    <t>Lambodhara Textiles Limited</t>
  </si>
  <si>
    <t>DJ Mediaprint &amp; Logistics Limited</t>
  </si>
  <si>
    <t>TIL Limited</t>
  </si>
  <si>
    <t>Elgi Rubber Company Limited</t>
  </si>
  <si>
    <t>Jainam Ferro Alloys (I) Limited</t>
  </si>
  <si>
    <t>Worth Peripherals Limited</t>
  </si>
  <si>
    <t>Intrasoft Technologies Limited</t>
  </si>
  <si>
    <t>Ginni Filaments Limited</t>
  </si>
  <si>
    <t>PIL ITALICA LIFESTYLE LIMITED</t>
  </si>
  <si>
    <t>Softtech Engineers Limited</t>
  </si>
  <si>
    <t>Ducon Infratechnologies Limited</t>
  </si>
  <si>
    <t>Veto Switchgears And Cables Limited</t>
  </si>
  <si>
    <t>Rane Engine Valve Limited</t>
  </si>
  <si>
    <t>Avonmore Capital &amp; Management Services Limited</t>
  </si>
  <si>
    <t>KBC Global Limited</t>
  </si>
  <si>
    <t>Pansari Developers Limited</t>
  </si>
  <si>
    <t>Modi Rubber Limited</t>
  </si>
  <si>
    <t>Inventure Growth &amp; Securities Limited</t>
  </si>
  <si>
    <t>Kapston Services Limited</t>
  </si>
  <si>
    <t>Aksh Optifibre Limited</t>
  </si>
  <si>
    <t>Jullundur Motor Agency (Delhi) Limited</t>
  </si>
  <si>
    <t>Emmbi Industries Limited</t>
  </si>
  <si>
    <t>Nitco Limited</t>
  </si>
  <si>
    <t>Iris Business Services Limited</t>
  </si>
  <si>
    <t>Shera Energy Limited</t>
  </si>
  <si>
    <t>DRS Dilip Roadlines Limited</t>
  </si>
  <si>
    <t>The United Nilgiri Tea Estates Company Limited</t>
  </si>
  <si>
    <t>Jocil Limited</t>
  </si>
  <si>
    <t>Manaksia Aluminium Company Limited</t>
  </si>
  <si>
    <t>Vipul Limited</t>
  </si>
  <si>
    <t>Sikko Industries Limited</t>
  </si>
  <si>
    <t>Gillanders Arbuthnot &amp; Company Limited</t>
  </si>
  <si>
    <t>SVP GLOBAL TEXTILES LIMITED</t>
  </si>
  <si>
    <t>Visa Steel Limited</t>
  </si>
  <si>
    <t>DCM Limited</t>
  </si>
  <si>
    <t>Intense Technologies Limited</t>
  </si>
  <si>
    <t>Texmo Pipes and Products Limited</t>
  </si>
  <si>
    <t>Weizmann Limited</t>
  </si>
  <si>
    <t>The Byke Hospitality Ltd</t>
  </si>
  <si>
    <t>Rajshree Sugars &amp; Chemicals Limited</t>
  </si>
  <si>
    <t>Zodiac Energy Limited</t>
  </si>
  <si>
    <t>Arshiya Limited</t>
  </si>
  <si>
    <t>Umang Dairies Limited</t>
  </si>
  <si>
    <t>Lovable Lingerie Limited</t>
  </si>
  <si>
    <t>Homesfy Realty Limited</t>
  </si>
  <si>
    <t>Alphageo (India) Limited</t>
  </si>
  <si>
    <t>Naga Dhunseri Group Limited</t>
  </si>
  <si>
    <t>Praxis Home Retail Limited</t>
  </si>
  <si>
    <t>Art Nirman Limited</t>
  </si>
  <si>
    <t>Shigan Quantum Technologies Limited</t>
  </si>
  <si>
    <t>Noida Toll Bridge Company Limited</t>
  </si>
  <si>
    <t>Uma Exports Limited</t>
  </si>
  <si>
    <t>Vels Film International Limited</t>
  </si>
  <si>
    <t>Atlanta Limited</t>
  </si>
  <si>
    <t>The Motor &amp; General Finance Limited</t>
  </si>
  <si>
    <t>AVRO INDIA LIMITED</t>
  </si>
  <si>
    <t>Salona Cotspin Limited</t>
  </si>
  <si>
    <t>Indian Card Clothing Company Limited</t>
  </si>
  <si>
    <t>Sintex Plastics Technology Limited</t>
  </si>
  <si>
    <t>Pritika Auto Industries Limited</t>
  </si>
  <si>
    <t>Uravi T and Wedge Lamps Limited</t>
  </si>
  <si>
    <t>IVP Limited</t>
  </si>
  <si>
    <t>Maha Rashtra Apex Corporation Limited</t>
  </si>
  <si>
    <t>Soma Textiles &amp; Industries Limited</t>
  </si>
  <si>
    <t>Lexus Granito (India) Limited</t>
  </si>
  <si>
    <t>Wanbury Limited</t>
  </si>
  <si>
    <t>Lotus Eye Hospital and Institute Limited</t>
  </si>
  <si>
    <t>Krebs Biochemicals and Industries Limited</t>
  </si>
  <si>
    <t>Reliance Naval and Engineering Limited</t>
  </si>
  <si>
    <t>W S Industries (I) Limited</t>
  </si>
  <si>
    <t>Reliance Home Finance Limited</t>
  </si>
  <si>
    <t>Housing Development and Infrastructure Limited</t>
  </si>
  <si>
    <t>Dc Infotech And Communication Limited</t>
  </si>
  <si>
    <t>Ravinder Heights Limited</t>
  </si>
  <si>
    <t>Xelpmoc Design And Tech Limited</t>
  </si>
  <si>
    <t>RKEC Projects Limited</t>
  </si>
  <si>
    <t>Reliance Chemotex Industries Limited</t>
  </si>
  <si>
    <t>Debock Industries Limited</t>
  </si>
  <si>
    <t>Atal Realtech Limited</t>
  </si>
  <si>
    <t>Kohinoor Foods Limited</t>
  </si>
  <si>
    <t>S.A.L. Steel Limited</t>
  </si>
  <si>
    <t>A2Z Infra Engineering Limited</t>
  </si>
  <si>
    <t>Tara Chand InfraLogistic Solutions Limited</t>
  </si>
  <si>
    <t>Indowind Energy Limited</t>
  </si>
  <si>
    <t>BLB Limited</t>
  </si>
  <si>
    <t>Future Retail Limited</t>
  </si>
  <si>
    <t>Raj Oil Mills Limited</t>
  </si>
  <si>
    <t>Surana Telecom and Power Limited</t>
  </si>
  <si>
    <t>Alpa Laboratories Limited</t>
  </si>
  <si>
    <t>Sundaram Brake Linings Limited</t>
  </si>
  <si>
    <t>Parin Furniture Limited</t>
  </si>
  <si>
    <t>Nila Spaces Limited</t>
  </si>
  <si>
    <t>Ahlada Engineers Limited</t>
  </si>
  <si>
    <t>Magnum Ventures Limited</t>
  </si>
  <si>
    <t>Remsons Industries Limited</t>
  </si>
  <si>
    <t>Starteck Finance Limited</t>
  </si>
  <si>
    <t>Bohra Industries Limited</t>
  </si>
  <si>
    <t>Compuage Infocom Limited</t>
  </si>
  <si>
    <t>Coral India Finance &amp; Housing Limited</t>
  </si>
  <si>
    <t>MRO-TEK Realty Limited</t>
  </si>
  <si>
    <t>SECUREKLOUD TECHNOLOGIES LIMITED</t>
  </si>
  <si>
    <t>Zee Learn Limited</t>
  </si>
  <si>
    <t>Sadbhav Infrastructure Project Limited</t>
  </si>
  <si>
    <t>Bal Pharma Limited</t>
  </si>
  <si>
    <t>Niraj Cement Structurals Limited</t>
  </si>
  <si>
    <t>Globesecure Technologies Limited</t>
  </si>
  <si>
    <t>Orissa Bengal Carrier Limited</t>
  </si>
  <si>
    <t>Tainwala Chemical and Plastic (I) Limited</t>
  </si>
  <si>
    <t>Archidply Industries Limited</t>
  </si>
  <si>
    <t>JHS Svendgaard Laboratories Limited</t>
  </si>
  <si>
    <t>Siti Networks Limited</t>
  </si>
  <si>
    <t>Mukta Arts Limited</t>
  </si>
  <si>
    <t>Chaman Metallics Limited</t>
  </si>
  <si>
    <t>Gayatri Projects Limited</t>
  </si>
  <si>
    <t>Akg Exim Limited</t>
  </si>
  <si>
    <t>Future Consumer Limited</t>
  </si>
  <si>
    <t>Palash Securities Limited</t>
  </si>
  <si>
    <t>Country Club Hospitality &amp; Holidays Limited</t>
  </si>
  <si>
    <t>Signet Industries Limited</t>
  </si>
  <si>
    <t>Airo Lam limited</t>
  </si>
  <si>
    <t>Welspun Investments and Commercials Limited</t>
  </si>
  <si>
    <t>Le Merite Exports Limited</t>
  </si>
  <si>
    <t>Cambridge Technology Enterprises Limited</t>
  </si>
  <si>
    <t>Univastu India Limited</t>
  </si>
  <si>
    <t>Sundaram Multi Pap Limited</t>
  </si>
  <si>
    <t>Manaksia Coated Metals &amp; Industries Limited</t>
  </si>
  <si>
    <t>Arvee Laboratories (India) Limited</t>
  </si>
  <si>
    <t>SecUR Credentials Limited</t>
  </si>
  <si>
    <t>Astron Paper &amp; Board Mill Limited</t>
  </si>
  <si>
    <t>Future Lifestyle Fashions Limited</t>
  </si>
  <si>
    <t>Steel City Securities Limited</t>
  </si>
  <si>
    <t>Lloyds Luxuries Limited</t>
  </si>
  <si>
    <t>Ganges Securities Limited</t>
  </si>
  <si>
    <t>Indbank Merchant Banking Services Limited</t>
  </si>
  <si>
    <t>Sumit Woods Limited</t>
  </si>
  <si>
    <t>Fiberweb (India) Limited</t>
  </si>
  <si>
    <t>Alkali Metals Limited</t>
  </si>
  <si>
    <t>Lasa Supergenerics Limited</t>
  </si>
  <si>
    <t>Nandani Creation Limited</t>
  </si>
  <si>
    <t>Mohini Health &amp; Hygiene Limited</t>
  </si>
  <si>
    <t>Baheti Recycling Industries Limited</t>
  </si>
  <si>
    <t>Digicontent Limited</t>
  </si>
  <si>
    <t>V Marc India Limited</t>
  </si>
  <si>
    <t>The Peria Karamalai Tea &amp; Produce Company Limited</t>
  </si>
  <si>
    <t>Damodar Industries Limited</t>
  </si>
  <si>
    <t>North Eastern Carrying Corporation Limited</t>
  </si>
  <si>
    <t>Capital Trust Limited</t>
  </si>
  <si>
    <t>MITCON Consultancy &amp; Engineering Services Limited</t>
  </si>
  <si>
    <t>Tirupati Forge Limited</t>
  </si>
  <si>
    <t>IL&amp;FS Transportation Networks Limited</t>
  </si>
  <si>
    <t>Shree Ram Proteins Limited</t>
  </si>
  <si>
    <t>Suryalakshmi Cotton Mills Limited</t>
  </si>
  <si>
    <t>Cerebra Integrated Technologies Limited</t>
  </si>
  <si>
    <t>Kshitij Polyline Limited</t>
  </si>
  <si>
    <t>Lagnam Spintex Limited</t>
  </si>
  <si>
    <t>Anlon Technology Solutions Limited</t>
  </si>
  <si>
    <t>Amj Land Holdings Limited</t>
  </si>
  <si>
    <t>Binani Industries Limited</t>
  </si>
  <si>
    <t>Prolife Industries Limited</t>
  </si>
  <si>
    <t>INCREDIBLE INDUSTRIES LIMITED</t>
  </si>
  <si>
    <t>Shah Alloys Limited</t>
  </si>
  <si>
    <t>AMD Industries Limited</t>
  </si>
  <si>
    <t>Omax Autos Limited</t>
  </si>
  <si>
    <t>Tokyo Plast International Limited</t>
  </si>
  <si>
    <t>The Grob Tea Company Limited</t>
  </si>
  <si>
    <t>Anik Industries Limited</t>
  </si>
  <si>
    <t>Surana Solar Limited</t>
  </si>
  <si>
    <t>Fidel Softech Limited</t>
  </si>
  <si>
    <t>Mahamaya Steel Industries Limited</t>
  </si>
  <si>
    <t>Aurangabad Distillery Limited</t>
  </si>
  <si>
    <t>Simbhaoli Sugars Limited</t>
  </si>
  <si>
    <t>Gyscoal Alloys Limited</t>
  </si>
  <si>
    <t>Globe International Carriers Limited</t>
  </si>
  <si>
    <t>Kalyani Forge Limited</t>
  </si>
  <si>
    <t>Hindcon Chemicals Limited</t>
  </si>
  <si>
    <t>Cords Cable Industries Limited</t>
  </si>
  <si>
    <t>Yaari Digital Integrated Services Limited</t>
  </si>
  <si>
    <t>Sonam Clock Limited</t>
  </si>
  <si>
    <t>Mahickra Chemicals Limited</t>
  </si>
  <si>
    <t>Hindprakash Industries Limited</t>
  </si>
  <si>
    <t>Landmark Property Development Company Limited</t>
  </si>
  <si>
    <t>DB (International) Stock Brokers Limited</t>
  </si>
  <si>
    <t>Ausom Enterprise Limited</t>
  </si>
  <si>
    <t>Ballarpur Industries Limited</t>
  </si>
  <si>
    <t>AVSL Industries Limited</t>
  </si>
  <si>
    <t>SPML Infra Limited</t>
  </si>
  <si>
    <t>Banka BioLoo Limited</t>
  </si>
  <si>
    <t>Golden Tobacco Limited</t>
  </si>
  <si>
    <t>GTL Limited</t>
  </si>
  <si>
    <t>Energy Development Company Limited</t>
  </si>
  <si>
    <t>Panache Digilife Limited</t>
  </si>
  <si>
    <t>Power &amp; Instrumentation (Gujarat) Limited</t>
  </si>
  <si>
    <t>Delta Manufacturing Limited</t>
  </si>
  <si>
    <t>Shradha Infraprojects Limited</t>
  </si>
  <si>
    <t>Pioneer Embroideries Limited</t>
  </si>
  <si>
    <t>Global Vectra Helicorp Limited</t>
  </si>
  <si>
    <t>B.A.G Films and Media Limited</t>
  </si>
  <si>
    <t>The Western India Plywoods Limited</t>
  </si>
  <si>
    <t>Nitiraj Engineers Limited</t>
  </si>
  <si>
    <t>Beardsell Limited</t>
  </si>
  <si>
    <t>Kritika Wires Limited</t>
  </si>
  <si>
    <t>Patel Integrated Logistics Limited</t>
  </si>
  <si>
    <t>Setco Automotive Limited</t>
  </si>
  <si>
    <t>Prajay Engineers Syndicate Limited</t>
  </si>
  <si>
    <t>Electrotherm (India) Limited</t>
  </si>
  <si>
    <t>Ushanti Colour Chem Limited</t>
  </si>
  <si>
    <t>Prakash Steelage Limited</t>
  </si>
  <si>
    <t>Cinevista Limited</t>
  </si>
  <si>
    <t>Suumaya Industries Limited</t>
  </si>
  <si>
    <t>Flexituff Ventures International Limited</t>
  </si>
  <si>
    <t>Marvel Decor Limited</t>
  </si>
  <si>
    <t>Hisar Metal Industries Limited</t>
  </si>
  <si>
    <t>Suvidhaa Infoserve Limited</t>
  </si>
  <si>
    <t>Biofil Chemicals &amp; Pharmaceuticals Limited</t>
  </si>
  <si>
    <t>Marshall Machines Limited</t>
  </si>
  <si>
    <t>Arihant Academy Limited</t>
  </si>
  <si>
    <t>Celebrity Fashions Limited</t>
  </si>
  <si>
    <t>Viaz Tyres Limited</t>
  </si>
  <si>
    <t>Dhruv Consultancy Services Limited</t>
  </si>
  <si>
    <t>Century Extrusions Limited</t>
  </si>
  <si>
    <t>Dollex Agrotech Limited</t>
  </si>
  <si>
    <t>Bhandari Hosiery Exports Limited</t>
  </si>
  <si>
    <t>TREJHARA SOLUTIONS LIMITED</t>
  </si>
  <si>
    <t>Felix Industries Limited</t>
  </si>
  <si>
    <t>Nakoda Group of Industries Limited</t>
  </si>
  <si>
    <t>Supreme Infrastructure India Limited</t>
  </si>
  <si>
    <t>Agro Phos India Limited</t>
  </si>
  <si>
    <t>Madhav Copper Limited</t>
  </si>
  <si>
    <t>Oil Country Tubular Limited</t>
  </si>
  <si>
    <t>Uma Converter Limited</t>
  </si>
  <si>
    <t>Morarjee Textiles Limited</t>
  </si>
  <si>
    <t>Srivasavi Adhesive Tapes Limited</t>
  </si>
  <si>
    <t>Aarey Drugs &amp; Pharmaceuticals Limited</t>
  </si>
  <si>
    <t>Aakash Exploration Services Limited</t>
  </si>
  <si>
    <t>Vaswani Industries Limited</t>
  </si>
  <si>
    <t>Kanani Industries Limited</t>
  </si>
  <si>
    <t>Archies Limited</t>
  </si>
  <si>
    <t>Shiva Mills Limited</t>
  </si>
  <si>
    <t>Integrated Personnel Services Limited</t>
  </si>
  <si>
    <t>Tree House Education &amp; Accessories Limited</t>
  </si>
  <si>
    <t>BDR Buildcon Limited</t>
  </si>
  <si>
    <t>Vertexplus Technologies Limited</t>
  </si>
  <si>
    <t>Keynote Financial Services Limited</t>
  </si>
  <si>
    <t>Khfm Hospitality And Facility Management Services Limited</t>
  </si>
  <si>
    <t>Aro Granite Industries Limited</t>
  </si>
  <si>
    <t>Seya Industries Limited</t>
  </si>
  <si>
    <t>Giriraj Civil Developers Limited</t>
  </si>
  <si>
    <t>R. S. Software (India) Limited</t>
  </si>
  <si>
    <t>Orient Press Limited</t>
  </si>
  <si>
    <t>Excel Realty N Infra Limited</t>
  </si>
  <si>
    <t>Reliable Data Services Limited</t>
  </si>
  <si>
    <t>AAA Technologies Limited</t>
  </si>
  <si>
    <t>Agri-Tech (India) Limited</t>
  </si>
  <si>
    <t>Laxmi Goldorna House Limited</t>
  </si>
  <si>
    <t>Shrenik Limited</t>
  </si>
  <si>
    <t>Ankit Metal &amp; Power Limited</t>
  </si>
  <si>
    <t>Jet Freight Logistics Limited</t>
  </si>
  <si>
    <t>Vardhman Polytex Limited</t>
  </si>
  <si>
    <t>Nirman Agri Gentics Limited</t>
  </si>
  <si>
    <t>Shree Rama Multi-Tech Limited</t>
  </si>
  <si>
    <t>Siddhika Coatings Limited</t>
  </si>
  <si>
    <t>Barak Valley Cements Limited</t>
  </si>
  <si>
    <t>KKV Agro Powers Limited</t>
  </si>
  <si>
    <t>HOV Services Limited</t>
  </si>
  <si>
    <t>Ambani Organics Limited</t>
  </si>
  <si>
    <t>Future Supply Chain Solutions Limited</t>
  </si>
  <si>
    <t>ABM International Limited</t>
  </si>
  <si>
    <t>S.E. Power Limited</t>
  </si>
  <si>
    <t>Banaras Beads Limited</t>
  </si>
  <si>
    <t>Regency Ceramics Limited</t>
  </si>
  <si>
    <t>Poddar Housing and Development Limited</t>
  </si>
  <si>
    <t>Penta Gold Limited</t>
  </si>
  <si>
    <t>Party Cruisers Limited</t>
  </si>
  <si>
    <t>Sona Hi Sona Jewellers (Gujarat) Limited</t>
  </si>
  <si>
    <t>Malu Paper Mills Limited</t>
  </si>
  <si>
    <t>Moksh Ornaments Limited</t>
  </si>
  <si>
    <t>Pulz Electronics Limited</t>
  </si>
  <si>
    <t>Rbm Infracon Limited</t>
  </si>
  <si>
    <t>Zenith Steel Pipes &amp; Industries Limited</t>
  </si>
  <si>
    <t>Nidan Laboratories and Healthcare Limited</t>
  </si>
  <si>
    <t>Sambhaav Media Limited</t>
  </si>
  <si>
    <t>Ultra Wiring Connectivity System Limited</t>
  </si>
  <si>
    <t>Bang Overseas Limited</t>
  </si>
  <si>
    <t>M.R. Organisation Limited</t>
  </si>
  <si>
    <t>Mindpool Technologies Limited</t>
  </si>
  <si>
    <t>Tapi Fruit Processing Limited</t>
  </si>
  <si>
    <t>A B Cotspin India Limited</t>
  </si>
  <si>
    <t>Pritish Nandy Communications Limited</t>
  </si>
  <si>
    <t>Surani Steel Tubes Limited</t>
  </si>
  <si>
    <t>Precision Metaliks Limited</t>
  </si>
  <si>
    <t>Times Guaranty Limited</t>
  </si>
  <si>
    <t>Manugraph India Limited</t>
  </si>
  <si>
    <t>Zenith Exports Limited</t>
  </si>
  <si>
    <t>Aarvee Denims &amp; Exports Limited</t>
  </si>
  <si>
    <t>Somi Conveyor Beltings Limited</t>
  </si>
  <si>
    <t>D.K. Enterprises Global Limited</t>
  </si>
  <si>
    <t>Arham Technologies Limited</t>
  </si>
  <si>
    <t>Timescan Logistics (India) Limited</t>
  </si>
  <si>
    <t>STL Global Limited</t>
  </si>
  <si>
    <t>WE WIN LIMITED</t>
  </si>
  <si>
    <t>Cyber Media Research &amp; Services Limited</t>
  </si>
  <si>
    <t>Sonu Infratech Limited</t>
  </si>
  <si>
    <t>Viviana Power Tech Limited</t>
  </si>
  <si>
    <t>Akash Infra-Projects Limited</t>
  </si>
  <si>
    <t>Ind-Swift Limited</t>
  </si>
  <si>
    <t>Karma Energy Limited</t>
  </si>
  <si>
    <t>Nagreeka Exports Limited</t>
  </si>
  <si>
    <t>Burnpur Cement Limited</t>
  </si>
  <si>
    <t>NRB Industrial Bearings Limited</t>
  </si>
  <si>
    <t>Cubex Tubings Limited</t>
  </si>
  <si>
    <t>ANI Integrated Services Limited</t>
  </si>
  <si>
    <t>Shaival Reality Limited</t>
  </si>
  <si>
    <t>Vineet Laboratories Limited</t>
  </si>
  <si>
    <t>Aristo Bio-Tech And Lifescience Limited</t>
  </si>
  <si>
    <t>Tera Software Limited</t>
  </si>
  <si>
    <t>Crown Lifters Limited</t>
  </si>
  <si>
    <t>Jfl Life Sciences Limited</t>
  </si>
  <si>
    <t>Globe Textiles (India) Limited</t>
  </si>
  <si>
    <t>3P Land Holdings Limited</t>
  </si>
  <si>
    <t>Vera Synthetic Limited</t>
  </si>
  <si>
    <t>Milton Industries Limited</t>
  </si>
  <si>
    <t>Adroit Infotech Limited</t>
  </si>
  <si>
    <t>Shubhlaxmi Jewel Art Limited</t>
  </si>
  <si>
    <t>Agni Green Power Limited</t>
  </si>
  <si>
    <t>Lakshmi Finance &amp; Industrial Corporation Limited</t>
  </si>
  <si>
    <t>Vadivarhe Speciality Chemicals Limited</t>
  </si>
  <si>
    <t>Madhav Marbles and Granites Limited</t>
  </si>
  <si>
    <t>Ujaas Energy Limited</t>
  </si>
  <si>
    <t>Super Spinning Mills Limited</t>
  </si>
  <si>
    <t>Ravi Kumar Distilleries Limited</t>
  </si>
  <si>
    <t>Ambica Agarbathies &amp; Aroma industries Limited</t>
  </si>
  <si>
    <t>Ace Integrated Solutions Limited</t>
  </si>
  <si>
    <t>Omfurn India Limited</t>
  </si>
  <si>
    <t>Swaraj Suiting Limited</t>
  </si>
  <si>
    <t>Ajooni Biotech Limited</t>
  </si>
  <si>
    <t>Khandwala Securities Limited</t>
  </si>
  <si>
    <t>Sagardeep Alloys Limited</t>
  </si>
  <si>
    <t>Rex Pipes And Cables Industries Limited</t>
  </si>
  <si>
    <t>Archidply Decor Limited</t>
  </si>
  <si>
    <t>Mcon Rasayan India Limited</t>
  </si>
  <si>
    <t>Cadsys (India) Limited</t>
  </si>
  <si>
    <t>HB Stockholdings Limited</t>
  </si>
  <si>
    <t>Sanginita Chemicals Limited</t>
  </si>
  <si>
    <t>Ganga Forging Limited</t>
  </si>
  <si>
    <t>A B Infrabuild Limited</t>
  </si>
  <si>
    <t>Perfect Infraengineers Limited</t>
  </si>
  <si>
    <t>Narmada Agrobase Limited</t>
  </si>
  <si>
    <t>R M Drip and Sprinklers Systems Limited</t>
  </si>
  <si>
    <t>Nagreeka Capital &amp; Infrastructure Limited</t>
  </si>
  <si>
    <t>Laxmi Cotspin Limited</t>
  </si>
  <si>
    <t>Pearl Polymers Limited</t>
  </si>
  <si>
    <t>HEC Infra Projects Limited</t>
  </si>
  <si>
    <t>Sanwaria Consumer Limited</t>
  </si>
  <si>
    <t>Mega Flex Plastics Limited</t>
  </si>
  <si>
    <t>GI Engineering Solutions Limited</t>
  </si>
  <si>
    <t>Paras Petrofils Limited</t>
  </si>
  <si>
    <t>Rite Zone Chemcon India Limited</t>
  </si>
  <si>
    <t>Heads UP Ventures Limited</t>
  </si>
  <si>
    <t>Vaxtex Cotfab Limited</t>
  </si>
  <si>
    <t>Pritika Engineering Components Limited</t>
  </si>
  <si>
    <t>DSJ Keep Learning Limited</t>
  </si>
  <si>
    <t>Country Condo's Limited</t>
  </si>
  <si>
    <t>Rolta India Limited</t>
  </si>
  <si>
    <t>Dharani Sugars &amp; Chemicals Limited</t>
  </si>
  <si>
    <t>ASL Industries Limited</t>
  </si>
  <si>
    <t>Agarwal Float Glass India Limited</t>
  </si>
  <si>
    <t>Next Mediaworks Limited</t>
  </si>
  <si>
    <t>Richa Info Systems Limited</t>
  </si>
  <si>
    <t>Diligent Media Corporation Limited</t>
  </si>
  <si>
    <t>Ameya Precision Engineers Limited</t>
  </si>
  <si>
    <t>Dynamic Services &amp; Security Limited</t>
  </si>
  <si>
    <t>Libas Consumer Products Limited</t>
  </si>
  <si>
    <t>Jet Knitwears Limited</t>
  </si>
  <si>
    <t>Balkrishna Paper Mills Limited</t>
  </si>
  <si>
    <t>MT Educare Limited</t>
  </si>
  <si>
    <t>Godha Cabcon &amp; Insulation Limited</t>
  </si>
  <si>
    <t>Goenka Diamond and Jewels Limited</t>
  </si>
  <si>
    <t>Sri Havisha Hospitality and Infrastructure Limited</t>
  </si>
  <si>
    <t>Quadpro Ites Limited</t>
  </si>
  <si>
    <t>Quality Foils (India) Limited</t>
  </si>
  <si>
    <t>Madhucon Projects Limited</t>
  </si>
  <si>
    <t>Rollatainers Limited</t>
  </si>
  <si>
    <t>Cyber Media (India) Limited</t>
  </si>
  <si>
    <t>JAKHARIA FABRIC LIMITED</t>
  </si>
  <si>
    <t>Veekayem Fashion and Apparels Limited</t>
  </si>
  <si>
    <t>TGB Banquets And Hotels Limited</t>
  </si>
  <si>
    <t>Visagar Polytex Limited</t>
  </si>
  <si>
    <t>Future Market Networks Limited</t>
  </si>
  <si>
    <t>Walpar Nutritions Limited</t>
  </si>
  <si>
    <t>Destiny Logistics &amp; Infra Limited</t>
  </si>
  <si>
    <t>Sumeet Industries Limited</t>
  </si>
  <si>
    <t>ICDS Limited</t>
  </si>
  <si>
    <t>Lead Reclaim And Rubber Products Limited</t>
  </si>
  <si>
    <t>Madhya Pradesh Today Media Limited</t>
  </si>
  <si>
    <t>21st Century Management Services Limited</t>
  </si>
  <si>
    <t>Hybrid Financial Services Limited</t>
  </si>
  <si>
    <t>Sabar Flex India Limited</t>
  </si>
  <si>
    <t>Transwarranty Finance Limited</t>
  </si>
  <si>
    <t>Impex Ferro Tech Limited</t>
  </si>
  <si>
    <t>Infomedia Press Limited</t>
  </si>
  <si>
    <t>NK Industries Limited</t>
  </si>
  <si>
    <t>Shanti Overseas (India) Limited</t>
  </si>
  <si>
    <t>Gayatri Rubbers And Chemicals Limited</t>
  </si>
  <si>
    <t>Future Enterprises Limited</t>
  </si>
  <si>
    <t>Thomas Scott (India) Limited</t>
  </si>
  <si>
    <t>Khaitan (India) Limited</t>
  </si>
  <si>
    <t>Williamson Magor &amp; Company Limited</t>
  </si>
  <si>
    <t>LCC Infotech Limited</t>
  </si>
  <si>
    <t>Uniinfo Telecom Services Limited</t>
  </si>
  <si>
    <t>Bartronics India Limited</t>
  </si>
  <si>
    <t>Vivo Collaboration Solutions Limited</t>
  </si>
  <si>
    <t>Gayatri Highways Limited</t>
  </si>
  <si>
    <t>California Software Company Limited</t>
  </si>
  <si>
    <t>Moxsh Overseas Educon Limited</t>
  </si>
  <si>
    <t>Oriental Trimex Limited</t>
  </si>
  <si>
    <t>Onelife Capital Advisors Limited</t>
  </si>
  <si>
    <t>Viji Finance Limited</t>
  </si>
  <si>
    <t>Digjam Limited</t>
  </si>
  <si>
    <t>Kridhan Infra Limited</t>
  </si>
  <si>
    <t>Silly Monks Entertainment Limited</t>
  </si>
  <si>
    <t>Maks Energy Solutions India Limited</t>
  </si>
  <si>
    <t>Tantia Constructions Limited</t>
  </si>
  <si>
    <t>Supreme Engineering Limited</t>
  </si>
  <si>
    <t>Silgo Retail Limited</t>
  </si>
  <si>
    <t>Mohit Industries Limited</t>
  </si>
  <si>
    <t>Educomp Solutions Limited</t>
  </si>
  <si>
    <t>Eastern Silk Industries Limited</t>
  </si>
  <si>
    <t>Kandarp Digi Smart BPO Limited</t>
  </si>
  <si>
    <t>CMI Limited</t>
  </si>
  <si>
    <t>National Steel And Agro Industries Limited</t>
  </si>
  <si>
    <t>Mittal Life Style Limited</t>
  </si>
  <si>
    <t>Sp Refractories Limited</t>
  </si>
  <si>
    <t>Ortin Laboratories Limited</t>
  </si>
  <si>
    <t>Bright Solar Limited</t>
  </si>
  <si>
    <t>Kaushalya Infrastructure Development Corporation Limited</t>
  </si>
  <si>
    <t>Gujarat Raffia Industries Limited</t>
  </si>
  <si>
    <t>Mask Investments Limited</t>
  </si>
  <si>
    <t>Ishan International Limited</t>
  </si>
  <si>
    <t>Continental Seeds and Chemicals Limited</t>
  </si>
  <si>
    <t>Amiable Logistics (India) Limited</t>
  </si>
  <si>
    <t>Abhishek Integrations Limited</t>
  </si>
  <si>
    <t>Eurotex Industries and Exports Limited</t>
  </si>
  <si>
    <t>Tijaria Polypipes Limited</t>
  </si>
  <si>
    <t>Tamilnadu Telecommunication Limited</t>
  </si>
  <si>
    <t>Kalyani Commercials Limited</t>
  </si>
  <si>
    <t>Setubandhan Infrastructure Limited</t>
  </si>
  <si>
    <t>Gretex Industries Limited</t>
  </si>
  <si>
    <t>Lypsa Gems &amp; Jewellery Limited</t>
  </si>
  <si>
    <t>Metalyst Forgings Limited</t>
  </si>
  <si>
    <t>S.S. Infrastructure Development Consultants Limited</t>
  </si>
  <si>
    <t>SMVD Poly Pack Limited</t>
  </si>
  <si>
    <t>Radha Madhav Corporation Limited</t>
  </si>
  <si>
    <t>Jalan Transolutions (India) Limited</t>
  </si>
  <si>
    <t>Sanco Industries Limited</t>
  </si>
  <si>
    <t>Vasa Retail and Overseas Ltd</t>
  </si>
  <si>
    <t>Kavveri Telecom Products Limited</t>
  </si>
  <si>
    <t>Techindia Nirman Limited</t>
  </si>
  <si>
    <t>Norben Tea &amp; Exports Limited</t>
  </si>
  <si>
    <t>Kck Industries Limited</t>
  </si>
  <si>
    <t>Spentex Industries Limited</t>
  </si>
  <si>
    <t>Creative Eye Limited</t>
  </si>
  <si>
    <t>Antarctica Limited</t>
  </si>
  <si>
    <t>TV Vision Limited</t>
  </si>
  <si>
    <t>A B N Intercorp Limited</t>
  </si>
  <si>
    <t>Rajdarshan Industries Limited</t>
  </si>
  <si>
    <t>Usha Martin Education &amp; Solutions Limited</t>
  </si>
  <si>
    <t>Shyam Telecom Limited</t>
  </si>
  <si>
    <t>Manav Infra Projects Limited</t>
  </si>
  <si>
    <t>Accord Synergy Limited</t>
  </si>
  <si>
    <t>Dhanuka Realty Limited</t>
  </si>
  <si>
    <t>Gujarat Lease Financing Limited</t>
  </si>
  <si>
    <t>CMM Infraprojects Limited</t>
  </si>
  <si>
    <t>Niraj Ispat Industries Limited</t>
  </si>
  <si>
    <t>DCM Financial Services Limited</t>
  </si>
  <si>
    <t>Shri Ram Switchgears Limited</t>
  </si>
  <si>
    <t>Premier Limited</t>
  </si>
  <si>
    <t>SKS Textiles Limited</t>
  </si>
  <si>
    <t>Sri Adhikari Brothers Television Network Limited</t>
  </si>
  <si>
    <t>Tarapur Transformers Limited</t>
  </si>
  <si>
    <t>Bkm Industries Limited</t>
  </si>
  <si>
    <t>Alps Industries Limited</t>
  </si>
  <si>
    <t>Ahimsa Industries Limited</t>
  </si>
  <si>
    <t>Bhalchandram Clothing Limited</t>
  </si>
  <si>
    <t>Innovative Tyres and Tubes Limited</t>
  </si>
  <si>
    <t>Lakshmi Precision Screws Limited</t>
  </si>
  <si>
    <t>Transwind Infrastructures Limited</t>
  </si>
  <si>
    <t>Melstar Information Technologies Limited</t>
  </si>
  <si>
    <t>Sab Events &amp; Governance Now Media Limited</t>
  </si>
  <si>
    <t>IMP Powers Limited</t>
  </si>
  <si>
    <t>TECIL Chemicals and Hydro Power Limited</t>
  </si>
  <si>
    <t>Abhishek Corporation Limited</t>
  </si>
  <si>
    <t>Asian Hotels (West) Limited</t>
  </si>
  <si>
    <t>Ashapura Intimates Fashion Limited</t>
  </si>
  <si>
    <t>AJR Infra And Tolling Limited</t>
  </si>
  <si>
    <t>Alchemist Limited</t>
  </si>
  <si>
    <t>A And M Jumbo Bags Limited</t>
  </si>
  <si>
    <t>Andhra Cements Limited</t>
  </si>
  <si>
    <t>Ansal Properties &amp; Infrastructure Limited</t>
  </si>
  <si>
    <t>Arcotech Limited</t>
  </si>
  <si>
    <t>Arss Infrastructure Projects Limited</t>
  </si>
  <si>
    <t>Artedz Fabs Limited</t>
  </si>
  <si>
    <t>Amit Spinning Industries Limited</t>
  </si>
  <si>
    <t>Atcom Technologies Limited</t>
  </si>
  <si>
    <t>Atlas Cycles (Haryana) Limited</t>
  </si>
  <si>
    <t>ATN International Limited</t>
  </si>
  <si>
    <t>Autolite (India) Limited</t>
  </si>
  <si>
    <t>Autoriders Finance Limited</t>
  </si>
  <si>
    <t>Bansal Multiflex Limited</t>
  </si>
  <si>
    <t>Bharatiya Global Infomedia Limited</t>
  </si>
  <si>
    <t>Bharati Defence and Infrastructure Limited</t>
  </si>
  <si>
    <t>Bil Energy Systems Limited</t>
  </si>
  <si>
    <t>Birla Tyres Limited</t>
  </si>
  <si>
    <t>Blue Blends (I) Limited</t>
  </si>
  <si>
    <t>Blue Chip India Limited</t>
  </si>
  <si>
    <t>Blue Coast Hotels Limited</t>
  </si>
  <si>
    <t>Bombay Rayon Fashions Limited</t>
  </si>
  <si>
    <t>C &amp; C Constructions Limited</t>
  </si>
  <si>
    <t>Consolidated Construction Consortium Limited</t>
  </si>
  <si>
    <t>Celestial Biolabs Limited</t>
  </si>
  <si>
    <t>Cox &amp; Kings Financial Service Limited</t>
  </si>
  <si>
    <t>DFM Foods Limited</t>
  </si>
  <si>
    <t>Diamond Power Infra Ltd</t>
  </si>
  <si>
    <t>Dolphin Offshore Enterprises (India) Limited</t>
  </si>
  <si>
    <t>DQ Entertainment (International) Limited</t>
  </si>
  <si>
    <t>DS Kulkarni Developers Limited</t>
  </si>
  <si>
    <t>Eastern Sug &amp; Inds Limited</t>
  </si>
  <si>
    <t>Easun Reyrolle Limited</t>
  </si>
  <si>
    <t>Emco Limited</t>
  </si>
  <si>
    <t>Eon Electric Limited</t>
  </si>
  <si>
    <t>Euro Ceramics Limited</t>
  </si>
  <si>
    <t>Euro Multivision Limited</t>
  </si>
  <si>
    <t>Fedders Electric and Engineering Limited</t>
  </si>
  <si>
    <t>Five Core Electronics Limited</t>
  </si>
  <si>
    <t>Gammon India Limited</t>
  </si>
  <si>
    <t>Gangotri Textiles Limited</t>
  </si>
  <si>
    <t>GB Global Limited</t>
  </si>
  <si>
    <t>Grand Foundry Limited</t>
  </si>
  <si>
    <t>Gitanjali Gems Limited</t>
  </si>
  <si>
    <t>Hindusthan National Glass &amp; Industries Limited</t>
  </si>
  <si>
    <t>ICSA (India) Limited</t>
  </si>
  <si>
    <t>Indosolar Limited</t>
  </si>
  <si>
    <t>IVRCL Limited</t>
  </si>
  <si>
    <t>Jain Studios Limited</t>
  </si>
  <si>
    <t>JBF Industries Limited</t>
  </si>
  <si>
    <t>JIK Industries Limited</t>
  </si>
  <si>
    <t>Jindal Cotex Limited</t>
  </si>
  <si>
    <t>JMT Auto Limited</t>
  </si>
  <si>
    <t>Jaypee Infratech Limited</t>
  </si>
  <si>
    <t>Keerti Knowledge And Skills Limited</t>
  </si>
  <si>
    <t>Karuturi Global Limited</t>
  </si>
  <si>
    <t>KSS Limited</t>
  </si>
  <si>
    <t>KSK Energy Ventures Limited</t>
  </si>
  <si>
    <t>Lakshmi Energy and Foods Limited</t>
  </si>
  <si>
    <t>LEEL Electricals Limited</t>
  </si>
  <si>
    <t>Manpasand Beverages Limited</t>
  </si>
  <si>
    <t>Mcnally Bharat Engineering Company Limited</t>
  </si>
  <si>
    <t>McDowell Holdings Limited</t>
  </si>
  <si>
    <t>Mercator Limited</t>
  </si>
  <si>
    <t>Metkore Alloys &amp; Industries Limited</t>
  </si>
  <si>
    <t>Modern Thread Limited</t>
  </si>
  <si>
    <t>Mohota Industries Limited</t>
  </si>
  <si>
    <t>MVL Limited</t>
  </si>
  <si>
    <t>Nakoda Limited</t>
  </si>
  <si>
    <t>Nitin Fire Protection Industries Limited</t>
  </si>
  <si>
    <t>Neueon Towers Limited</t>
  </si>
  <si>
    <t>Nu Tek India Limited</t>
  </si>
  <si>
    <t>OCL Iron and Steel Limited</t>
  </si>
  <si>
    <t>Omkar Speciality Chemicals Limited</t>
  </si>
  <si>
    <t>Opal Luxury Time Products Limited</t>
  </si>
  <si>
    <t>Opto Circuits (India) Limited</t>
  </si>
  <si>
    <t>Ortel Communications Limited</t>
  </si>
  <si>
    <t>Parenteral Drugs (India) Limited</t>
  </si>
  <si>
    <t>Pincon Spirit Limited</t>
  </si>
  <si>
    <t>Pratibha Industries Limited</t>
  </si>
  <si>
    <t>Prudential Sugar Corporation Limited</t>
  </si>
  <si>
    <t>PSL Limited</t>
  </si>
  <si>
    <t>Punj Lloyd Limited</t>
  </si>
  <si>
    <t>Quintegra Solutions Limited</t>
  </si>
  <si>
    <t>Radaan Mediaworks India Limited</t>
  </si>
  <si>
    <t>Rainbow Papers Limited</t>
  </si>
  <si>
    <t>Rajvir Industries Limited</t>
  </si>
  <si>
    <t>Resurgere Mines &amp; Minerals Limited</t>
  </si>
  <si>
    <t>Rushabh Precision Bearings Limited</t>
  </si>
  <si>
    <t>S&amp;S Power Switchgears Limited</t>
  </si>
  <si>
    <t>Sathavahana Ispat Limited</t>
  </si>
  <si>
    <t>SBI Home Finance Limited</t>
  </si>
  <si>
    <t>Sharon Bio-Medicine Limited</t>
  </si>
  <si>
    <t>Shirpur Gold Refinery Limited</t>
  </si>
  <si>
    <t>Sical Logistics Limited</t>
  </si>
  <si>
    <t>Supreme (India) Impex Limited</t>
  </si>
  <si>
    <t>Skil Infrastructure Limited</t>
  </si>
  <si>
    <t>Soni Soya Products Limited</t>
  </si>
  <si>
    <t>Shekhawati Poly-Yarn Limited</t>
  </si>
  <si>
    <t>SREI Infrastructure Finance Limited</t>
  </si>
  <si>
    <t>Stampede Capital Limited</t>
  </si>
  <si>
    <t>Talwalkars Better Value Fitness Limited</t>
  </si>
  <si>
    <t>Talwalkars Healthclubs Limited</t>
  </si>
  <si>
    <t>TCI Finance Limited</t>
  </si>
  <si>
    <t>Technofab Engineering Limited</t>
  </si>
  <si>
    <t>Thiru Arooran Sugars Limited</t>
  </si>
  <si>
    <t>Tulsi Extrusions Limited</t>
  </si>
  <si>
    <t>Uniply Industries Limited</t>
  </si>
  <si>
    <t>Unity Infraprojects Limited</t>
  </si>
  <si>
    <t>Univa Foods Limited</t>
  </si>
  <si>
    <t>Udayshivakumar Infra Limited</t>
  </si>
  <si>
    <t>Valecha Engineering Limited</t>
  </si>
  <si>
    <t>Value Industries Limited</t>
  </si>
  <si>
    <t>Viceroy Hotels Limited</t>
  </si>
  <si>
    <t>Videocon Industries Limited</t>
  </si>
  <si>
    <t>Vikas Proppant &amp; Granite Limited</t>
  </si>
  <si>
    <t>Visu International Limited</t>
  </si>
  <si>
    <t>Vivimed Labs Limited</t>
  </si>
  <si>
    <t>Winsome Yarns Limited</t>
  </si>
  <si>
    <t>Zicom Electronic Security Systems Limited</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</si>
</sst>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rgb="FFFFFFFF"/>
      <name val="Arial"/>
    </font>
    <font>
      <color rgb="FFFFFFFF"/>
      <name val="Arial"/>
    </font>
    <font>
      <color rgb="FFFFFFFF"/>
      <name val="Arial"/>
      <scheme val="minor"/>
    </font>
    <font>
      <color theme="1"/>
      <name val="Arial"/>
      <scheme val="minor"/>
    </font>
    <font>
      <sz val="11.0"/>
      <color rgb="FFFFFFFF"/>
      <name val="&quot;Google Sans&quot;"/>
    </font>
    <font>
      <b/>
      <sz val="19.0"/>
      <color rgb="FF0000FF"/>
      <name val="Arial"/>
      <scheme val="minor"/>
    </font>
    <font>
      <sz val="11.0"/>
      <color rgb="FF1F1F1F"/>
      <name val="Arial"/>
    </font>
    <font>
      <sz val="9.0"/>
      <color rgb="FFFFFFFF"/>
      <name val="&quot;Google Sans Mono&quot;"/>
    </font>
    <font>
      <sz val="11.0"/>
      <color rgb="FFFFFFFF"/>
      <name val="&quot;Inter var&quot;"/>
    </font>
    <font>
      <b/>
      <sz val="11.0"/>
      <color rgb="FF1F1F1F"/>
      <name val="Arial"/>
    </font>
    <font>
      <sz val="12.0"/>
      <color theme="1"/>
      <name val="Arial"/>
    </font>
    <font>
      <b/>
      <sz val="11.0"/>
      <color rgb="FF000000"/>
      <name val="Arial"/>
      <scheme val="minor"/>
    </font>
    <font>
      <u/>
      <sz val="9.0"/>
      <color rgb="FFFFFFFF"/>
      <name val="&quot;Google Sans Mono&quot;"/>
    </font>
    <font>
      <b/>
      <sz val="12.0"/>
      <color rgb="FF000000"/>
      <name val="Arial"/>
      <scheme val="minor"/>
    </font>
    <font>
      <sz val="11.0"/>
      <color rgb="FFFFFFFF"/>
      <name val="Calibri"/>
    </font>
    <font/>
    <font>
      <b/>
      <sz val="11.0"/>
      <color rgb="FF1F1F1F"/>
      <name val="&quot;Google Sans&quot;"/>
    </font>
    <font>
      <sz val="11.0"/>
      <color rgb="FF1F1F1F"/>
      <name val="&quot;Google Sans&quot;"/>
    </font>
    <font>
      <b/>
      <sz val="11.0"/>
      <color rgb="FF000000"/>
      <name val="&quot;Google Sans Mono&quot;"/>
    </font>
    <font>
      <b/>
      <sz val="11.0"/>
      <color rgb="FF000000"/>
      <name val="Arial"/>
    </font>
    <font>
      <b/>
      <sz val="22.0"/>
      <color rgb="FF0000FF"/>
      <name val="&quot;Google Sans&quot;"/>
    </font>
    <font>
      <b/>
      <sz val="10.0"/>
      <color rgb="FF1F1F1F"/>
      <name val="&quot;Google Sans&quot;"/>
    </font>
    <font>
      <sz val="11.0"/>
      <color rgb="FF22222F"/>
      <name val="Arial"/>
    </font>
    <font>
      <sz val="9.0"/>
      <color theme="1"/>
      <name val="Arial"/>
      <scheme val="minor"/>
    </font>
    <font>
      <sz val="9.0"/>
      <color rgb="FF1F1F1F"/>
      <name val="Arial"/>
    </font>
    <font>
      <sz val="11.0"/>
      <color rgb="FF22222F"/>
      <name val="&quot;Inter var&quot;"/>
    </font>
    <font>
      <color rgb="FF000000"/>
      <name val="Arial"/>
      <scheme val="minor"/>
    </font>
    <font>
      <sz val="7.0"/>
      <color theme="1"/>
      <name val="Arial"/>
      <scheme val="minor"/>
    </font>
    <font>
      <sz val="11.0"/>
      <color rgb="FF000000"/>
      <name val="Calibri"/>
    </font>
  </fonts>
  <fills count="11">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8F8FC"/>
        <bgColor rgb="FFF8F8FC"/>
      </patternFill>
    </fill>
    <fill>
      <patternFill patternType="solid">
        <fgColor rgb="FFD9D9D9"/>
        <bgColor rgb="FFD9D9D9"/>
      </patternFill>
    </fill>
    <fill>
      <patternFill patternType="solid">
        <fgColor rgb="FFFFE599"/>
        <bgColor rgb="FFFFE599"/>
      </patternFill>
    </fill>
    <fill>
      <patternFill patternType="solid">
        <fgColor rgb="FFF3F3F3"/>
        <bgColor rgb="FFF3F3F3"/>
      </patternFill>
    </fill>
    <fill>
      <patternFill patternType="solid">
        <fgColor rgb="FFEFEFEF"/>
        <bgColor rgb="FFEFEFEF"/>
      </patternFill>
    </fill>
    <fill>
      <patternFill patternType="solid">
        <fgColor rgb="FFCCCCCC"/>
        <bgColor rgb="FFCCCCCC"/>
      </patternFill>
    </fill>
    <fill>
      <patternFill patternType="solid">
        <fgColor rgb="FF000000"/>
        <bgColor rgb="FF000000"/>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Font="1"/>
    <xf borderId="0" fillId="0" fontId="3" numFmtId="0" xfId="0" applyAlignment="1" applyFont="1">
      <alignment readingOrder="0"/>
    </xf>
    <xf borderId="0" fillId="0" fontId="2" numFmtId="0" xfId="0" applyAlignment="1" applyFont="1">
      <alignment readingOrder="0" vertical="bottom"/>
    </xf>
    <xf borderId="0" fillId="2" fontId="4" numFmtId="0" xfId="0" applyFill="1" applyFont="1"/>
    <xf borderId="0" fillId="3" fontId="5" numFmtId="0" xfId="0" applyAlignment="1" applyFill="1" applyFont="1">
      <alignment readingOrder="0"/>
    </xf>
    <xf borderId="0" fillId="4" fontId="2" numFmtId="0" xfId="0" applyAlignment="1" applyFill="1" applyFont="1">
      <alignment shrinkToFit="0" vertical="bottom" wrapText="0"/>
    </xf>
    <xf borderId="0" fillId="4" fontId="2" numFmtId="0" xfId="0" applyAlignment="1" applyFill="1" applyFont="1">
      <alignment vertical="bottom"/>
    </xf>
    <xf borderId="0" fillId="0" fontId="2" numFmtId="49" xfId="0" applyAlignment="1" applyFont="1" applyNumberFormat="1">
      <alignment vertical="bottom"/>
    </xf>
    <xf borderId="0" fillId="3" fontId="6" numFmtId="0" xfId="0" applyAlignment="1" applyFill="1" applyFont="1">
      <alignment horizontal="center" vertical="center"/>
    </xf>
    <xf borderId="0" fillId="2" fontId="7" numFmtId="0" xfId="0" applyAlignment="1" applyFill="1" applyFont="1">
      <alignment readingOrder="0"/>
    </xf>
    <xf borderId="0" fillId="5" fontId="3" numFmtId="0" xfId="0" applyFill="1" applyFont="1"/>
    <xf borderId="0" fillId="2" fontId="4" numFmtId="0" xfId="0" applyFill="1" applyFont="1"/>
    <xf borderId="0" fillId="3" fontId="8" numFmtId="0" xfId="0" applyFill="1" applyFont="1"/>
    <xf borderId="0" fillId="3" fontId="9" numFmtId="0" xfId="0" applyAlignment="1" applyFill="1" applyFont="1">
      <alignment horizontal="left" readingOrder="0" shrinkToFit="0" wrapText="0"/>
    </xf>
    <xf borderId="1" fillId="6" fontId="10" numFmtId="0" xfId="0" applyAlignment="1" applyBorder="1" applyFill="1" applyFont="1">
      <alignment readingOrder="0"/>
    </xf>
    <xf borderId="0" fillId="3" fontId="11" numFmtId="0" xfId="0" applyAlignment="1" applyFill="1" applyFont="1">
      <alignment readingOrder="0"/>
    </xf>
    <xf borderId="1" fillId="7" fontId="12" numFmtId="0" xfId="0" applyAlignment="1" applyBorder="1" applyFill="1" applyFont="1">
      <alignment horizontal="center" readingOrder="0" shrinkToFit="0" vertical="center" wrapText="0"/>
    </xf>
    <xf borderId="0" fillId="3" fontId="13" numFmtId="0" xfId="0" applyFill="1" applyFont="1"/>
    <xf borderId="0" fillId="2" fontId="14" numFmtId="0" xfId="0" applyAlignment="1" applyFill="1" applyFont="1">
      <alignment horizontal="center" readingOrder="0"/>
    </xf>
    <xf borderId="1" fillId="0" fontId="15" numFmtId="0" xfId="0" applyAlignment="1" applyBorder="1" applyFont="1">
      <alignment readingOrder="0" shrinkToFit="0" vertical="bottom" wrapText="0"/>
    </xf>
    <xf borderId="2" fillId="8" fontId="14" numFmtId="0" xfId="0" applyAlignment="1" applyBorder="1" applyFill="1" applyFont="1">
      <alignment horizontal="left" readingOrder="0"/>
    </xf>
    <xf borderId="3" fillId="0" fontId="15" numFmtId="0" xfId="0" applyAlignment="1" applyBorder="1" applyFont="1">
      <alignment readingOrder="0" shrinkToFit="0" vertical="bottom" wrapText="0"/>
    </xf>
    <xf borderId="4" fillId="7" fontId="16" numFmtId="0" xfId="0" applyBorder="1" applyFill="1" applyFont="1"/>
    <xf borderId="3" fillId="7" fontId="16" numFmtId="0" xfId="0" applyBorder="1" applyFill="1" applyFont="1"/>
    <xf borderId="5" fillId="0" fontId="15" numFmtId="0" xfId="0" applyAlignment="1" applyBorder="1" applyFont="1">
      <alignment readingOrder="0" shrinkToFit="0" vertical="bottom" wrapText="0"/>
    </xf>
    <xf borderId="0" fillId="3" fontId="8" numFmtId="3" xfId="0" applyFill="1" applyFont="1" applyNumberFormat="1"/>
    <xf borderId="6" fillId="0" fontId="15" numFmtId="0" xfId="0" applyAlignment="1" applyBorder="1" applyFont="1">
      <alignment readingOrder="0" shrinkToFit="0" vertical="bottom" wrapText="0"/>
    </xf>
    <xf borderId="2" fillId="8" fontId="14" numFmtId="0" xfId="0" applyAlignment="1" applyBorder="1" applyFill="1" applyFont="1">
      <alignment horizontal="center" readingOrder="0"/>
    </xf>
    <xf borderId="0" fillId="2" fontId="4" numFmtId="0" xfId="0" applyAlignment="1" applyFill="1" applyFont="1">
      <alignment horizontal="center" readingOrder="0"/>
    </xf>
    <xf borderId="1" fillId="2" fontId="7" numFmtId="0" xfId="0" applyAlignment="1" applyBorder="1" applyFill="1" applyFont="1">
      <alignment horizontal="center" readingOrder="0"/>
    </xf>
    <xf borderId="1" fillId="2" fontId="12" numFmtId="0" xfId="0" applyAlignment="1" applyBorder="1" applyFill="1" applyFont="1">
      <alignment readingOrder="0" shrinkToFit="0" vertical="top" wrapText="0"/>
    </xf>
    <xf borderId="0" fillId="2" fontId="12" numFmtId="0" xfId="0" applyAlignment="1" applyFill="1" applyFont="1">
      <alignment readingOrder="0" shrinkToFit="0" vertical="top" wrapText="0"/>
    </xf>
    <xf borderId="7" fillId="8" fontId="14" numFmtId="0" xfId="0" applyAlignment="1" applyBorder="1" applyFill="1" applyFont="1">
      <alignment horizontal="left" readingOrder="0" vertical="top"/>
    </xf>
    <xf borderId="8" fillId="7" fontId="16" numFmtId="0" xfId="0" applyBorder="1" applyFill="1" applyFont="1"/>
    <xf borderId="0" fillId="9" fontId="3" numFmtId="0" xfId="0" applyFill="1" applyFont="1"/>
    <xf borderId="9" fillId="7" fontId="16" numFmtId="0" xfId="0" applyBorder="1" applyFill="1" applyFont="1"/>
    <xf borderId="0" fillId="5" fontId="8" numFmtId="0" xfId="0" applyFill="1" applyFont="1"/>
    <xf borderId="0" fillId="2" fontId="4" numFmtId="0" xfId="0" applyAlignment="1" applyFill="1" applyFont="1">
      <alignment horizontal="center"/>
    </xf>
    <xf borderId="10" fillId="3" fontId="16" numFmtId="0" xfId="0" applyBorder="1" applyFill="1" applyFont="1"/>
    <xf borderId="11" fillId="3" fontId="16" numFmtId="0" xfId="0" applyBorder="1" applyFill="1" applyFont="1"/>
    <xf borderId="1" fillId="3" fontId="7" numFmtId="2" xfId="0" applyAlignment="1" applyBorder="1" applyFill="1" applyFont="1" applyNumberFormat="1">
      <alignment horizontal="center" readingOrder="0"/>
    </xf>
    <xf borderId="1" fillId="2" fontId="10" numFmtId="0" xfId="0" applyAlignment="1" applyBorder="1" applyFill="1" applyFont="1">
      <alignment horizontal="center" readingOrder="0"/>
    </xf>
    <xf borderId="10" fillId="7" fontId="16" numFmtId="0" xfId="0" applyBorder="1" applyFill="1" applyFont="1"/>
    <xf borderId="11" fillId="7" fontId="16" numFmtId="0" xfId="0" applyBorder="1" applyFill="1" applyFont="1"/>
    <xf borderId="1" fillId="6" fontId="17" numFmtId="0" xfId="0" applyAlignment="1" applyBorder="1" applyFill="1" applyFont="1">
      <alignment readingOrder="0"/>
    </xf>
    <xf borderId="0" fillId="0" fontId="3" numFmtId="3" xfId="0" applyAlignment="1" applyFont="1" applyNumberFormat="1">
      <alignment readingOrder="0"/>
    </xf>
    <xf borderId="0" fillId="2" fontId="7" numFmtId="0" xfId="0" applyAlignment="1" applyFill="1" applyFont="1">
      <alignment horizontal="center" readingOrder="0"/>
    </xf>
    <xf borderId="0" fillId="0" fontId="3" numFmtId="3" xfId="0" applyFont="1" applyNumberFormat="1"/>
    <xf borderId="1" fillId="3" fontId="7" numFmtId="1" xfId="0" applyAlignment="1" applyBorder="1" applyFill="1" applyFont="1" applyNumberFormat="1">
      <alignment horizontal="center" readingOrder="0"/>
    </xf>
    <xf borderId="12" fillId="7" fontId="16" numFmtId="0" xfId="0" applyBorder="1" applyFill="1" applyFont="1"/>
    <xf borderId="13" fillId="7" fontId="16" numFmtId="0" xfId="0" applyBorder="1" applyFill="1" applyFont="1"/>
    <xf borderId="6" fillId="7" fontId="16" numFmtId="0" xfId="0" applyBorder="1" applyFill="1" applyFont="1"/>
    <xf borderId="0" fillId="2" fontId="4" numFmtId="0" xfId="0" applyAlignment="1" applyFill="1" applyFont="1">
      <alignment vertical="top"/>
    </xf>
    <xf borderId="1" fillId="6" fontId="18" numFmtId="0" xfId="0" applyAlignment="1" applyBorder="1" applyFill="1" applyFont="1">
      <alignment readingOrder="0"/>
    </xf>
    <xf borderId="0" fillId="2" fontId="4" numFmtId="0" xfId="0" applyAlignment="1" applyFill="1" applyFont="1">
      <alignment readingOrder="0"/>
    </xf>
    <xf borderId="2" fillId="3" fontId="19" numFmtId="0" xfId="0" applyAlignment="1" applyBorder="1" applyFill="1" applyFont="1">
      <alignment horizontal="center"/>
    </xf>
    <xf borderId="0" fillId="2" fontId="4" numFmtId="0" xfId="0" applyAlignment="1" applyFill="1" applyFont="1">
      <alignment vertical="center"/>
    </xf>
    <xf borderId="0" fillId="2" fontId="12" numFmtId="0" xfId="0" applyAlignment="1" applyFill="1" applyFont="1">
      <alignment horizontal="center" readingOrder="0"/>
    </xf>
    <xf borderId="0" fillId="2" fontId="20" numFmtId="0" xfId="0" applyFill="1" applyFont="1"/>
    <xf borderId="1" fillId="10" fontId="4" numFmtId="0" xfId="0" applyBorder="1" applyFill="1" applyFont="1"/>
    <xf borderId="0" fillId="6" fontId="21" numFmtId="0" xfId="0" applyAlignment="1" applyFill="1" applyFont="1">
      <alignment readingOrder="0" vertical="top"/>
    </xf>
    <xf borderId="0" fillId="6" fontId="4" numFmtId="0" xfId="0" applyFill="1" applyFont="1"/>
    <xf borderId="0" fillId="6" fontId="17" numFmtId="0" xfId="0" applyAlignment="1" applyFill="1" applyFont="1">
      <alignment readingOrder="0"/>
    </xf>
    <xf borderId="0" fillId="6" fontId="4" numFmtId="0" xfId="0" applyAlignment="1" applyFill="1" applyFont="1">
      <alignment horizontal="center" vertical="center"/>
    </xf>
    <xf borderId="1" fillId="6" fontId="22" numFmtId="0" xfId="0" applyAlignment="1" applyBorder="1" applyFill="1" applyFont="1">
      <alignment readingOrder="0"/>
    </xf>
    <xf borderId="1" fillId="6" fontId="7" numFmtId="1" xfId="0" applyAlignment="1" applyBorder="1" applyFill="1" applyFont="1" applyNumberFormat="1">
      <alignment horizontal="center" readingOrder="0"/>
    </xf>
    <xf borderId="0" fillId="6" fontId="22" numFmtId="0" xfId="0" applyAlignment="1" applyFill="1" applyFont="1">
      <alignment readingOrder="0"/>
    </xf>
    <xf borderId="1" fillId="6" fontId="7" numFmtId="2" xfId="0" applyAlignment="1" applyBorder="1" applyFill="1" applyFont="1" applyNumberFormat="1">
      <alignment horizontal="center" readingOrder="0"/>
    </xf>
    <xf borderId="1" fillId="6" fontId="23" numFmtId="4" xfId="0" applyAlignment="1" applyBorder="1" applyFill="1" applyFont="1" applyNumberFormat="1">
      <alignment horizontal="right" readingOrder="0"/>
    </xf>
    <xf borderId="0" fillId="6" fontId="24" numFmtId="0" xfId="0" applyFill="1" applyFont="1"/>
    <xf borderId="1" fillId="6" fontId="25" numFmtId="0" xfId="0" applyAlignment="1" applyBorder="1" applyFill="1" applyFont="1">
      <alignment readingOrder="0"/>
    </xf>
    <xf borderId="1" fillId="6" fontId="4" numFmtId="3" xfId="0" applyAlignment="1" applyBorder="1" applyFill="1" applyFont="1" applyNumberFormat="1">
      <alignment readingOrder="0"/>
    </xf>
    <xf borderId="0" fillId="6" fontId="25" numFmtId="0" xfId="0" applyAlignment="1" applyFill="1" applyFont="1">
      <alignment readingOrder="0"/>
    </xf>
    <xf borderId="0" fillId="6" fontId="4" numFmtId="4" xfId="0" applyAlignment="1" applyFill="1" applyFont="1" applyNumberFormat="1">
      <alignment readingOrder="0"/>
    </xf>
    <xf borderId="1" fillId="6" fontId="4" numFmtId="4" xfId="0" applyAlignment="1" applyBorder="1" applyFill="1" applyFont="1" applyNumberFormat="1">
      <alignment readingOrder="0"/>
    </xf>
    <xf borderId="1" fillId="6" fontId="26" numFmtId="4" xfId="0" applyAlignment="1" applyBorder="1" applyFill="1" applyFont="1" applyNumberFormat="1">
      <alignment horizontal="right" readingOrder="0"/>
    </xf>
    <xf borderId="2" fillId="6" fontId="22" numFmtId="0" xfId="0" applyAlignment="1" applyBorder="1" applyFill="1" applyFont="1">
      <alignment readingOrder="0"/>
    </xf>
    <xf borderId="0" fillId="6" fontId="4" numFmtId="0" xfId="0" applyAlignment="1" applyFill="1" applyFont="1">
      <alignment readingOrder="0"/>
    </xf>
    <xf borderId="0" fillId="6" fontId="27" numFmtId="0" xfId="0" applyFill="1" applyFont="1"/>
    <xf borderId="0" fillId="6" fontId="27" numFmtId="2" xfId="0" applyFill="1" applyFont="1" applyNumberFormat="1"/>
    <xf borderId="0" fillId="6" fontId="28" numFmtId="0" xfId="0" applyAlignment="1" applyFill="1" applyFont="1">
      <alignment horizontal="left" readingOrder="0" shrinkToFit="0" vertical="top" wrapText="1"/>
    </xf>
    <xf borderId="0" fillId="6" fontId="4" numFmtId="0" xfId="0" applyAlignment="1" applyFill="1" applyFont="1">
      <alignment horizontal="left"/>
    </xf>
    <xf borderId="0" fillId="8" fontId="3" numFmtId="0" xfId="0" applyFill="1" applyFont="1"/>
    <xf borderId="0" fillId="3" fontId="8" numFmtId="0" xfId="0" applyFill="1" applyFont="1"/>
    <xf borderId="0" fillId="7" fontId="8" numFmtId="0" xfId="0" applyFill="1" applyFont="1"/>
    <xf borderId="0" fillId="3" fontId="2" numFmtId="0" xfId="0" applyAlignment="1" applyFill="1" applyFont="1">
      <alignment vertical="bottom"/>
    </xf>
    <xf borderId="0" fillId="3" fontId="3" numFmtId="0" xfId="0" applyFill="1" applyFont="1"/>
    <xf borderId="0" fillId="8" fontId="8" numFmtId="0" xfId="0" applyFill="1" applyFont="1"/>
    <xf borderId="0" fillId="3" fontId="8" numFmtId="1" xfId="0" applyFill="1" applyFont="1" applyNumberFormat="1"/>
    <xf borderId="0" fillId="0" fontId="3" numFmtId="1" xfId="0" applyFont="1" applyNumberFormat="1"/>
    <xf borderId="0" fillId="0" fontId="3" numFmtId="1" xfId="0" applyAlignment="1" applyFont="1" applyNumberFormat="1">
      <alignment readingOrder="0"/>
    </xf>
    <xf borderId="0" fillId="4" fontId="2" numFmtId="0" xfId="0" applyAlignment="1" applyFill="1" applyFont="1">
      <alignment readingOrder="0" vertical="bottom"/>
    </xf>
    <xf borderId="0" fillId="3" fontId="8" numFmtId="0" xfId="0" applyAlignment="1" applyFill="1" applyFont="1">
      <alignment readingOrder="0"/>
    </xf>
    <xf borderId="0" fillId="0" fontId="29" numFmtId="0" xfId="0" applyAlignment="1" applyFont="1">
      <alignment horizontal="right" readingOrder="0" shrinkToFit="0" vertical="bottom" wrapText="0"/>
    </xf>
    <xf borderId="0" fillId="0" fontId="15"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00FF00"/>
          <bgColor rgb="FF00FF00"/>
        </patternFill>
      </fill>
      <border/>
    </dxf>
    <dxf>
      <font/>
      <fill>
        <patternFill patternType="solid">
          <fgColor rgb="FFFF0000"/>
          <bgColor rgb="FFFF0000"/>
        </patternFill>
      </fill>
      <border/>
    </dxf>
    <dxf>
      <font/>
      <fill>
        <patternFill patternType="solid">
          <fgColor rgb="FFCFE2F3"/>
          <bgColor rgb="FFCFE2F3"/>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
    <col customWidth="1" min="2" max="2" width="16.88"/>
    <col customWidth="1" min="3" max="3" width="0.75"/>
    <col customWidth="1" min="4" max="4" width="8.75"/>
    <col customWidth="1" min="5" max="5" width="0.75"/>
    <col customWidth="1" min="6" max="6" width="15.13"/>
    <col customWidth="1" min="7" max="7" width="0.75"/>
    <col customWidth="1" min="8" max="8" width="10.5"/>
    <col customWidth="1" min="9" max="9" width="0.75"/>
    <col customWidth="1" min="10" max="10" width="16.75"/>
    <col customWidth="1" min="11" max="11" width="0.75"/>
    <col customWidth="1" min="12" max="12" width="10.88"/>
    <col customWidth="1" min="13" max="13" width="0.75"/>
    <col customWidth="1" min="14" max="14" width="19.25"/>
    <col customWidth="1" min="15" max="15" width="0.75"/>
    <col customWidth="1" min="16" max="16" width="10.0"/>
    <col customWidth="1" min="17" max="17" width="0.75"/>
    <col customWidth="1" min="19" max="19" width="0.75"/>
    <col customWidth="1" min="22" max="22" width="3.38"/>
    <col customWidth="1" min="23" max="23" width="1.25"/>
    <col hidden="1" min="24" max="26" width="12.63"/>
  </cols>
  <sheetData>
    <row r="1" ht="33.0" customHeight="1">
      <c r="A1" s="6"/>
      <c r="B1" s="6"/>
      <c r="C1" s="6"/>
      <c r="D1" s="6"/>
      <c r="E1" s="6"/>
      <c r="F1" s="11" t="str">
        <f>iferror(Sheet1!B4,"")</f>
        <v>Mindteck (India) Ltd</v>
      </c>
      <c r="S1" s="6"/>
      <c r="T1" s="6"/>
      <c r="U1" s="6"/>
      <c r="V1" s="6"/>
      <c r="W1" s="6"/>
      <c r="X1" s="6"/>
      <c r="Y1" s="6"/>
      <c r="Z1" s="6"/>
      <c r="AA1" s="6"/>
    </row>
    <row r="2" ht="3.75" customHeight="1">
      <c r="A2" s="6"/>
      <c r="B2" s="12"/>
      <c r="C2" s="12"/>
      <c r="D2" s="12"/>
      <c r="E2" s="6"/>
      <c r="F2" s="6"/>
      <c r="G2" s="6"/>
      <c r="H2" s="6"/>
      <c r="I2" s="6"/>
      <c r="J2" s="6"/>
      <c r="K2" s="6"/>
      <c r="L2" s="6"/>
      <c r="M2" s="6"/>
      <c r="N2" s="6"/>
      <c r="O2" s="6"/>
      <c r="P2" s="6"/>
      <c r="Q2" s="6"/>
      <c r="R2" s="6"/>
      <c r="S2" s="6"/>
      <c r="T2" s="14"/>
      <c r="U2" s="6"/>
      <c r="V2" s="6"/>
      <c r="W2" s="6"/>
      <c r="X2" s="6"/>
      <c r="Y2" s="6"/>
      <c r="Z2" s="6"/>
      <c r="AA2" s="6"/>
    </row>
    <row r="3">
      <c r="A3" s="6"/>
      <c r="B3" s="17" t="s">
        <v>63</v>
      </c>
      <c r="C3" s="12"/>
      <c r="D3" s="18" t="s">
        <v>71</v>
      </c>
      <c r="E3" s="6"/>
      <c r="F3" s="19" t="str">
        <f>IFERROR("Cmp: "&amp; Sheet1!B3,"")</f>
        <v>Cmp: 178</v>
      </c>
      <c r="G3" s="21"/>
      <c r="H3" s="23" t="str">
        <f>IFERROR("Industry : "&amp; Sheet1!H84,"")</f>
        <v/>
      </c>
      <c r="I3" s="25"/>
      <c r="J3" s="25"/>
      <c r="K3" s="25"/>
      <c r="L3" s="26"/>
      <c r="M3" s="21"/>
      <c r="N3" s="30" t="str">
        <f>IFERROR("Sector : "&amp; Sheet1!H85,"")</f>
        <v>Sector : Information Technology</v>
      </c>
      <c r="O3" s="25"/>
      <c r="P3" s="25"/>
      <c r="Q3" s="25"/>
      <c r="R3" s="25"/>
      <c r="S3" s="25"/>
      <c r="T3" s="26"/>
      <c r="U3" s="6"/>
      <c r="V3" s="6"/>
      <c r="W3" s="6"/>
      <c r="X3" s="6"/>
      <c r="Y3" s="6"/>
      <c r="Z3" s="6"/>
      <c r="AA3" s="6"/>
    </row>
    <row r="4" ht="3.75" customHeight="1">
      <c r="A4" s="6"/>
      <c r="B4" s="6"/>
      <c r="C4" s="6"/>
      <c r="D4" s="31"/>
      <c r="E4" s="6"/>
      <c r="F4" s="6"/>
      <c r="G4" s="6"/>
      <c r="H4" s="6"/>
      <c r="I4" s="6"/>
      <c r="J4" s="6"/>
      <c r="K4" s="6"/>
      <c r="L4" s="6"/>
      <c r="M4" s="6"/>
      <c r="N4" s="6"/>
      <c r="O4" s="6"/>
      <c r="P4" s="6"/>
      <c r="Q4" s="6"/>
      <c r="R4" s="6"/>
      <c r="S4" s="6"/>
      <c r="T4" s="6"/>
      <c r="U4" s="6"/>
      <c r="V4" s="6"/>
      <c r="W4" s="6"/>
      <c r="X4" s="6"/>
      <c r="Y4" s="6"/>
      <c r="Z4" s="6"/>
      <c r="AA4" s="6"/>
    </row>
    <row r="5">
      <c r="A5" s="6"/>
      <c r="B5" s="17" t="s">
        <v>133</v>
      </c>
      <c r="C5" s="6"/>
      <c r="D5" s="32">
        <f>IFERROR( int(Sheet1!F79),"") </f>
        <v>543</v>
      </c>
      <c r="E5" s="6"/>
      <c r="F5" s="33" t="str">
        <f>if(D3&lt;&gt;"", IFERROR("Business : "&amp; Sheet1!G92,""),"")</f>
        <v>Business : Pass</v>
      </c>
      <c r="G5" s="34"/>
      <c r="H5" s="35" t="str">
        <f>IFERROR("Business Overview : "&amp; char(10) &amp;Sheet1!H86,"")</f>
        <v>Business Overview : 
Incorporated in 1991, Mindteck Ltd is in the business of rendering 
engineering and IT services</v>
      </c>
      <c r="I5" s="36"/>
      <c r="J5" s="36"/>
      <c r="K5" s="36"/>
      <c r="L5" s="36"/>
      <c r="M5" s="36"/>
      <c r="N5" s="36"/>
      <c r="O5" s="36"/>
      <c r="P5" s="36"/>
      <c r="Q5" s="36"/>
      <c r="R5" s="36"/>
      <c r="S5" s="36"/>
      <c r="T5" s="38"/>
      <c r="U5" s="6"/>
      <c r="V5" s="6"/>
      <c r="W5" s="6"/>
      <c r="X5" s="6"/>
      <c r="Y5" s="6"/>
      <c r="Z5" s="6"/>
      <c r="AA5" s="6"/>
    </row>
    <row r="6" ht="3.75" customHeight="1">
      <c r="A6" s="6"/>
      <c r="B6" s="6"/>
      <c r="C6" s="6"/>
      <c r="D6" s="40"/>
      <c r="E6" s="6"/>
      <c r="F6" s="34"/>
      <c r="G6" s="34"/>
      <c r="H6" s="41"/>
      <c r="T6" s="42"/>
      <c r="U6" s="6"/>
      <c r="V6" s="6"/>
      <c r="W6" s="6"/>
      <c r="X6" s="6"/>
      <c r="Y6" s="6"/>
      <c r="Z6" s="6"/>
      <c r="AA6" s="6"/>
    </row>
    <row r="7">
      <c r="A7" s="6"/>
      <c r="B7" s="17" t="s">
        <v>190</v>
      </c>
      <c r="C7" s="6"/>
      <c r="D7" s="43">
        <f>IF(Sheet1!G92="Fail","",iferror(Sheet1!G7,""))</f>
        <v>1.71990172</v>
      </c>
      <c r="E7" s="6"/>
      <c r="F7" s="44" t="str">
        <f>iferror(IF(Sheet1!G92="Fail","",Sheet1!H7),"")</f>
        <v>Pass</v>
      </c>
      <c r="G7" s="34"/>
      <c r="H7" s="45"/>
      <c r="T7" s="46"/>
      <c r="U7" s="6"/>
      <c r="V7" s="6"/>
      <c r="W7" s="6"/>
      <c r="X7" s="6"/>
      <c r="Y7" s="6"/>
      <c r="Z7" s="6"/>
      <c r="AA7" s="6"/>
    </row>
    <row r="8" ht="3.75" customHeight="1">
      <c r="A8" s="6"/>
      <c r="B8" s="6"/>
      <c r="C8" s="6"/>
      <c r="D8" s="40"/>
      <c r="E8" s="6"/>
      <c r="F8" s="34"/>
      <c r="G8" s="34"/>
      <c r="H8" s="41"/>
      <c r="T8" s="42"/>
      <c r="U8" s="6"/>
      <c r="V8" s="6"/>
      <c r="W8" s="6"/>
      <c r="X8" s="6"/>
      <c r="Y8" s="6"/>
      <c r="Z8" s="6"/>
      <c r="AA8" s="6"/>
    </row>
    <row r="9">
      <c r="A9" s="6"/>
      <c r="B9" s="47" t="s">
        <v>219</v>
      </c>
      <c r="C9" s="6"/>
      <c r="D9" s="43">
        <f>IF(Sheet1!G92="Fail","",iferror(Sheet1!E68,""))</f>
        <v>1.081081081</v>
      </c>
      <c r="E9" s="6"/>
      <c r="F9" s="44" t="str">
        <f>iferror(IF(Sheet1!G92="Fail","",Sheet1!F68),"")</f>
        <v>Pass</v>
      </c>
      <c r="G9" s="34"/>
      <c r="H9" s="45"/>
      <c r="T9" s="46"/>
      <c r="U9" s="6"/>
      <c r="V9" s="6"/>
      <c r="W9" s="6"/>
      <c r="X9" s="6"/>
      <c r="Y9" s="6"/>
      <c r="Z9" s="6"/>
      <c r="AA9" s="6"/>
    </row>
    <row r="10" ht="3.75" customHeight="1">
      <c r="A10" s="6"/>
      <c r="B10" s="6"/>
      <c r="C10" s="6"/>
      <c r="D10" s="49"/>
      <c r="E10" s="6"/>
      <c r="F10" s="34"/>
      <c r="G10" s="34"/>
      <c r="H10" s="41"/>
      <c r="T10" s="42"/>
      <c r="U10" s="6"/>
      <c r="V10" s="6"/>
      <c r="W10" s="6"/>
      <c r="X10" s="6"/>
      <c r="Y10" s="6"/>
      <c r="Z10" s="6"/>
      <c r="AA10" s="6"/>
    </row>
    <row r="11">
      <c r="A11" s="6"/>
      <c r="B11" s="47" t="s">
        <v>250</v>
      </c>
      <c r="C11" s="6"/>
      <c r="D11" s="43">
        <f>IF(Sheet1!G92="Fail","",iferror(Sheet1!E71,""))</f>
        <v>8.918918919</v>
      </c>
      <c r="E11" s="6"/>
      <c r="F11" s="44" t="str">
        <f>iferror(IF(Sheet1!G92="Fail","",Sheet1!F71),"")</f>
        <v>Fail</v>
      </c>
      <c r="G11" s="34"/>
      <c r="H11" s="45"/>
      <c r="T11" s="46"/>
      <c r="U11" s="6"/>
      <c r="V11" s="6"/>
      <c r="W11" s="6"/>
      <c r="X11" s="6"/>
      <c r="Y11" s="6"/>
      <c r="Z11" s="6"/>
      <c r="AA11" s="6"/>
    </row>
    <row r="12" ht="3.75" customHeight="1">
      <c r="A12" s="6"/>
      <c r="B12" s="6"/>
      <c r="C12" s="6"/>
      <c r="D12" s="49"/>
      <c r="E12" s="6"/>
      <c r="F12" s="34"/>
      <c r="G12" s="34"/>
      <c r="H12" s="41"/>
      <c r="T12" s="42"/>
      <c r="U12" s="6"/>
      <c r="V12" s="6"/>
      <c r="W12" s="6"/>
      <c r="X12" s="6"/>
      <c r="Y12" s="6"/>
      <c r="Z12" s="6"/>
      <c r="AA12" s="6"/>
    </row>
    <row r="13">
      <c r="A13" s="6"/>
      <c r="B13" s="47" t="s">
        <v>276</v>
      </c>
      <c r="C13" s="6"/>
      <c r="D13" s="51"/>
      <c r="E13" s="6"/>
      <c r="F13" s="44" t="str">
        <f>iferror(IF(Sheet1!G92="Fail","",Sheet1!H78),"")</f>
        <v>Pass</v>
      </c>
      <c r="G13" s="34"/>
      <c r="H13" s="52"/>
      <c r="I13" s="53"/>
      <c r="J13" s="53"/>
      <c r="K13" s="53"/>
      <c r="L13" s="53"/>
      <c r="M13" s="53"/>
      <c r="N13" s="53"/>
      <c r="O13" s="53"/>
      <c r="P13" s="53"/>
      <c r="Q13" s="53"/>
      <c r="R13" s="53"/>
      <c r="S13" s="53"/>
      <c r="T13" s="54"/>
      <c r="U13" s="6"/>
      <c r="V13" s="6"/>
      <c r="W13" s="6"/>
      <c r="X13" s="6"/>
      <c r="Y13" s="6"/>
      <c r="Z13" s="6"/>
      <c r="AA13" s="6"/>
    </row>
    <row r="14" ht="3.75" customHeight="1">
      <c r="A14" s="6"/>
      <c r="B14" s="6"/>
      <c r="C14" s="6"/>
      <c r="D14" s="6"/>
      <c r="E14" s="6"/>
      <c r="F14" s="55"/>
      <c r="G14" s="55"/>
      <c r="H14" s="55"/>
      <c r="I14" s="55"/>
      <c r="J14" s="55"/>
      <c r="K14" s="55"/>
      <c r="L14" s="55"/>
      <c r="M14" s="55"/>
      <c r="N14" s="55"/>
      <c r="O14" s="6"/>
      <c r="P14" s="6"/>
      <c r="Q14" s="6"/>
      <c r="R14" s="6"/>
      <c r="S14" s="6"/>
      <c r="T14" s="6"/>
      <c r="U14" s="6"/>
      <c r="V14" s="6"/>
      <c r="W14" s="6"/>
      <c r="X14" s="6"/>
      <c r="Y14" s="6"/>
      <c r="Z14" s="6"/>
      <c r="AA14" s="6"/>
    </row>
    <row r="15">
      <c r="A15" s="6"/>
      <c r="B15" s="56" t="s">
        <v>301</v>
      </c>
      <c r="C15" s="6"/>
      <c r="D15" s="57"/>
      <c r="E15" s="6"/>
      <c r="F15" s="58" t="str">
        <f>IFERROR("Stock Shariah Status : "&amp; Sheet1!G93,"")</f>
        <v>Stock Shariah Status : Non-Compliant</v>
      </c>
      <c r="G15" s="25"/>
      <c r="H15" s="25"/>
      <c r="I15" s="25"/>
      <c r="J15" s="25"/>
      <c r="K15" s="25"/>
      <c r="L15" s="25"/>
      <c r="M15" s="25"/>
      <c r="N15" s="25"/>
      <c r="O15" s="25"/>
      <c r="P15" s="25"/>
      <c r="Q15" s="25"/>
      <c r="R15" s="25"/>
      <c r="S15" s="25"/>
      <c r="T15" s="26"/>
      <c r="U15" s="6"/>
      <c r="V15" s="6"/>
      <c r="W15" s="6"/>
      <c r="X15" s="6"/>
      <c r="Y15" s="6"/>
      <c r="Z15" s="6"/>
      <c r="AA15" s="59"/>
    </row>
    <row r="16" ht="3.75"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ht="21.0" customHeight="1">
      <c r="A17" s="6"/>
      <c r="B17" s="6"/>
      <c r="C17" s="6"/>
      <c r="D17" s="57"/>
      <c r="E17" s="6"/>
      <c r="F17" s="60"/>
      <c r="G17" s="60"/>
      <c r="H17" s="61" t="str">
        <f>iferror(Data!F4,"")</f>
        <v/>
      </c>
      <c r="O17" s="6"/>
      <c r="P17" s="6"/>
      <c r="Q17" s="6"/>
      <c r="R17" s="6"/>
      <c r="S17" s="6"/>
      <c r="T17" s="6"/>
      <c r="U17" s="6"/>
      <c r="V17" s="6"/>
      <c r="W17" s="6"/>
      <c r="X17" s="6"/>
      <c r="Y17" s="6"/>
      <c r="Z17" s="6"/>
      <c r="AA17" s="6"/>
    </row>
    <row r="18" ht="3.75" customHeight="1">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ht="3.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62"/>
    </row>
    <row r="20" ht="28.5" customHeight="1">
      <c r="A20" s="6"/>
      <c r="B20" s="63" t="s">
        <v>360</v>
      </c>
      <c r="C20" s="64"/>
      <c r="D20" s="64"/>
      <c r="E20" s="64"/>
      <c r="F20" s="65"/>
      <c r="G20" s="65"/>
      <c r="H20" s="64"/>
      <c r="I20" s="64"/>
      <c r="J20" s="65"/>
      <c r="K20" s="64"/>
      <c r="L20" s="64"/>
      <c r="M20" s="64"/>
      <c r="N20" s="65"/>
      <c r="O20" s="64"/>
      <c r="P20" s="64"/>
      <c r="Q20" s="64"/>
      <c r="R20" s="64"/>
      <c r="S20" s="64"/>
      <c r="T20" s="64"/>
      <c r="U20" s="66"/>
    </row>
    <row r="21">
      <c r="A21" s="6"/>
      <c r="B21" s="67" t="s">
        <v>190</v>
      </c>
      <c r="C21" s="64"/>
      <c r="D21" s="68" t="str">
        <f>iferror(SUM(D23,D25,D27,D29)/D31*100,"")</f>
        <v/>
      </c>
      <c r="E21" s="64"/>
      <c r="F21" s="67" t="s">
        <v>219</v>
      </c>
      <c r="G21" s="69"/>
      <c r="H21" s="70" t="str">
        <f>iferror(((H23+H25)-H27)/H29*100,"")</f>
        <v/>
      </c>
      <c r="I21" s="64"/>
      <c r="J21" s="67" t="s">
        <v>391</v>
      </c>
      <c r="K21" s="64"/>
      <c r="L21" s="68" t="str">
        <f>iferror(SUM(L23,L25,L27,L29,L31)/H29*100,"")</f>
        <v/>
      </c>
      <c r="M21" s="64"/>
      <c r="N21" s="67" t="s">
        <v>409</v>
      </c>
      <c r="O21" s="64"/>
      <c r="P21" s="68" t="str">
        <f>if(H29-SUM(L23,L25,L27,L29,L31)-P23=0,"",IFERROR(H29-SUM(L23,L25,L27,L29,L31)-P23,""))</f>
        <v/>
      </c>
      <c r="Q21" s="64"/>
      <c r="R21" s="67" t="s">
        <v>427</v>
      </c>
      <c r="S21" s="64"/>
      <c r="T21" s="71"/>
    </row>
    <row r="22" ht="3.75" customHeight="1">
      <c r="A22" s="6"/>
      <c r="B22" s="64"/>
      <c r="C22" s="72"/>
      <c r="D22" s="72"/>
      <c r="E22" s="72"/>
      <c r="F22" s="64"/>
      <c r="G22" s="64"/>
      <c r="H22" s="72"/>
      <c r="I22" s="72"/>
      <c r="J22" s="64"/>
      <c r="K22" s="72"/>
      <c r="L22" s="72"/>
      <c r="M22" s="72"/>
      <c r="N22" s="64"/>
      <c r="O22" s="64"/>
      <c r="P22" s="64"/>
      <c r="Q22" s="64"/>
      <c r="R22" s="64"/>
      <c r="S22" s="64"/>
      <c r="T22" s="64"/>
    </row>
    <row r="23">
      <c r="A23" s="6"/>
      <c r="B23" s="73" t="s">
        <v>448</v>
      </c>
      <c r="C23" s="72"/>
      <c r="D23" s="74"/>
      <c r="E23" s="72"/>
      <c r="F23" s="73" t="s">
        <v>453</v>
      </c>
      <c r="G23" s="75"/>
      <c r="H23" s="76"/>
      <c r="I23" s="72"/>
      <c r="J23" s="73" t="s">
        <v>458</v>
      </c>
      <c r="K23" s="72"/>
      <c r="L23" s="77"/>
      <c r="M23" s="72"/>
      <c r="N23" s="73" t="s">
        <v>462</v>
      </c>
      <c r="O23" s="64"/>
      <c r="P23" s="78"/>
      <c r="Q23" s="64"/>
      <c r="R23" s="79" t="str">
        <f>if(Sheet1!G93&lt;&gt; "Compliant","",iferror(if(AND(T25&lt;&gt;"",T21&lt;&gt;""),("Donate Divident/Profit Rs."&amp;int(T25%*T21)),""),""))</f>
        <v/>
      </c>
      <c r="S23" s="25"/>
      <c r="T23" s="26"/>
    </row>
    <row r="24" ht="3.75" customHeight="1">
      <c r="A24" s="6"/>
      <c r="B24" s="64"/>
      <c r="C24" s="72"/>
      <c r="D24" s="72"/>
      <c r="E24" s="72"/>
      <c r="F24" s="64"/>
      <c r="G24" s="64"/>
      <c r="H24" s="72"/>
      <c r="I24" s="72"/>
      <c r="J24" s="64"/>
      <c r="K24" s="72"/>
      <c r="L24" s="72"/>
      <c r="M24" s="72"/>
      <c r="N24" s="72"/>
      <c r="O24" s="64"/>
      <c r="P24" s="64"/>
      <c r="Q24" s="64"/>
      <c r="R24" s="64"/>
      <c r="S24" s="64"/>
      <c r="T24" s="64"/>
    </row>
    <row r="25">
      <c r="A25" s="6"/>
      <c r="B25" s="73" t="s">
        <v>496</v>
      </c>
      <c r="C25" s="72"/>
      <c r="D25" s="77"/>
      <c r="E25" s="72"/>
      <c r="F25" s="73" t="s">
        <v>498</v>
      </c>
      <c r="G25" s="75"/>
      <c r="H25" s="80"/>
      <c r="I25" s="72"/>
      <c r="J25" s="73" t="s">
        <v>499</v>
      </c>
      <c r="K25" s="72"/>
      <c r="L25" s="71"/>
      <c r="M25" s="72"/>
      <c r="N25" s="64"/>
      <c r="O25" s="64"/>
      <c r="P25" s="81"/>
      <c r="Q25" s="64"/>
      <c r="R25" s="64"/>
      <c r="S25" s="64"/>
      <c r="T25" s="82">
        <f>IF(D21&lt;&gt;"",D21,D7)</f>
        <v>1.71990172</v>
      </c>
    </row>
    <row r="26" ht="3.75" customHeight="1">
      <c r="A26" s="6"/>
      <c r="B26" s="64"/>
      <c r="C26" s="72"/>
      <c r="D26" s="72"/>
      <c r="E26" s="72"/>
      <c r="F26" s="64"/>
      <c r="G26" s="64"/>
      <c r="H26" s="72"/>
      <c r="I26" s="72"/>
      <c r="J26" s="64"/>
      <c r="K26" s="72"/>
      <c r="L26" s="72"/>
      <c r="M26" s="72"/>
      <c r="N26" s="72"/>
      <c r="O26" s="64"/>
      <c r="P26" s="64"/>
      <c r="Q26" s="64"/>
      <c r="R26" s="64"/>
      <c r="S26" s="64"/>
      <c r="T26" s="64"/>
    </row>
    <row r="27">
      <c r="A27" s="6"/>
      <c r="B27" s="73" t="s">
        <v>524</v>
      </c>
      <c r="C27" s="64"/>
      <c r="D27" s="77"/>
      <c r="E27" s="64"/>
      <c r="F27" s="73" t="s">
        <v>527</v>
      </c>
      <c r="G27" s="75"/>
      <c r="H27" s="64"/>
      <c r="I27" s="80" t="s">
        <v>529</v>
      </c>
      <c r="J27" s="73" t="s">
        <v>301</v>
      </c>
      <c r="K27" s="64"/>
      <c r="L27" s="77"/>
      <c r="M27" s="64"/>
      <c r="N27" s="83" t="s">
        <v>534</v>
      </c>
    </row>
    <row r="28" ht="3.75" customHeight="1">
      <c r="A28" s="6"/>
      <c r="B28" s="64"/>
      <c r="C28" s="64"/>
      <c r="D28" s="64"/>
      <c r="E28" s="64"/>
      <c r="F28" s="64"/>
      <c r="G28" s="64"/>
      <c r="H28" s="64"/>
      <c r="I28" s="64"/>
      <c r="J28" s="64"/>
      <c r="K28" s="64"/>
      <c r="L28" s="64"/>
      <c r="M28" s="64"/>
    </row>
    <row r="29">
      <c r="A29" s="6"/>
      <c r="B29" s="73" t="s">
        <v>544</v>
      </c>
      <c r="C29" s="64"/>
      <c r="D29" s="77"/>
      <c r="E29" s="64"/>
      <c r="F29" s="73" t="s">
        <v>548</v>
      </c>
      <c r="G29" s="75"/>
      <c r="H29" s="76"/>
      <c r="I29" s="64"/>
      <c r="J29" s="73" t="s">
        <v>551</v>
      </c>
      <c r="K29" s="64"/>
      <c r="L29" s="77"/>
      <c r="M29" s="64"/>
    </row>
    <row r="30" ht="3.75" customHeight="1">
      <c r="A30" s="6"/>
      <c r="B30" s="64"/>
      <c r="C30" s="64"/>
      <c r="D30" s="64"/>
      <c r="E30" s="64"/>
      <c r="F30" s="64"/>
      <c r="G30" s="64"/>
      <c r="H30" s="64"/>
      <c r="I30" s="64"/>
      <c r="J30" s="64"/>
      <c r="K30" s="64"/>
      <c r="L30" s="64"/>
      <c r="M30" s="64"/>
    </row>
    <row r="31">
      <c r="A31" s="6"/>
      <c r="B31" s="73" t="s">
        <v>561</v>
      </c>
      <c r="C31" s="64"/>
      <c r="D31" s="77"/>
      <c r="E31" s="64"/>
      <c r="F31" s="84"/>
      <c r="G31" s="84"/>
      <c r="H31" s="80"/>
      <c r="I31" s="64"/>
      <c r="J31" s="73" t="s">
        <v>567</v>
      </c>
      <c r="K31" s="64"/>
      <c r="L31" s="77"/>
      <c r="M31" s="64"/>
    </row>
    <row r="32" hidden="1">
      <c r="A32" s="6"/>
      <c r="B32" s="64"/>
      <c r="C32" s="64"/>
      <c r="D32" s="64"/>
      <c r="E32" s="64"/>
      <c r="F32" s="64"/>
      <c r="G32" s="64"/>
      <c r="H32" s="64"/>
      <c r="I32" s="64"/>
      <c r="J32" s="64"/>
      <c r="K32" s="64"/>
      <c r="L32" s="64"/>
      <c r="M32" s="64"/>
    </row>
    <row r="33" hidden="1">
      <c r="A33" s="6"/>
      <c r="B33" s="64"/>
      <c r="C33" s="64"/>
      <c r="D33" s="64"/>
      <c r="E33" s="64"/>
      <c r="F33" s="64"/>
      <c r="G33" s="64"/>
      <c r="H33" s="64"/>
      <c r="I33" s="64"/>
      <c r="J33" s="64"/>
      <c r="K33" s="64"/>
      <c r="L33" s="64"/>
      <c r="M33" s="64"/>
      <c r="N33" s="64"/>
      <c r="O33" s="64"/>
      <c r="P33" s="64"/>
      <c r="Q33" s="64"/>
      <c r="R33" s="64"/>
      <c r="S33" s="64"/>
      <c r="T33" s="64"/>
    </row>
    <row r="34" hidden="1">
      <c r="A34" s="6"/>
      <c r="B34" s="64"/>
      <c r="C34" s="64"/>
      <c r="D34" s="64"/>
      <c r="E34" s="64"/>
      <c r="F34" s="64"/>
      <c r="G34" s="64"/>
      <c r="H34" s="64"/>
      <c r="I34" s="64"/>
      <c r="J34" s="64"/>
      <c r="K34" s="64"/>
      <c r="L34" s="64"/>
      <c r="M34" s="64"/>
      <c r="N34" s="64"/>
      <c r="O34" s="64"/>
      <c r="P34" s="64"/>
      <c r="Q34" s="64"/>
      <c r="R34" s="64"/>
      <c r="S34" s="64"/>
      <c r="T34" s="64"/>
      <c r="U34" s="64"/>
      <c r="V34" s="64"/>
      <c r="W34" s="64"/>
      <c r="X34" s="64"/>
      <c r="Y34" s="80"/>
      <c r="Z34" s="64"/>
      <c r="AA34" s="64"/>
    </row>
    <row r="35" hidden="1">
      <c r="A35" s="6"/>
      <c r="B35" s="64"/>
      <c r="C35" s="64"/>
      <c r="D35" s="64"/>
      <c r="E35" s="64"/>
      <c r="F35" s="64"/>
      <c r="G35" s="64"/>
      <c r="H35" s="64"/>
      <c r="I35" s="64"/>
      <c r="J35" s="64"/>
      <c r="K35" s="64"/>
      <c r="L35" s="64"/>
      <c r="M35" s="64"/>
      <c r="N35" s="64"/>
      <c r="O35" s="64"/>
      <c r="P35" s="64"/>
      <c r="Q35" s="64"/>
      <c r="R35" s="64"/>
      <c r="S35" s="64"/>
      <c r="T35" s="64"/>
      <c r="U35" s="64"/>
      <c r="V35" s="64"/>
      <c r="W35" s="64"/>
      <c r="X35" s="64"/>
      <c r="Y35" s="80"/>
      <c r="Z35" s="64"/>
      <c r="AA35" s="64"/>
    </row>
    <row r="36" hidden="1">
      <c r="A36" s="6"/>
      <c r="B36" s="64"/>
      <c r="C36" s="64"/>
      <c r="D36" s="64"/>
      <c r="E36" s="64"/>
      <c r="F36" s="64"/>
      <c r="G36" s="64"/>
      <c r="H36" s="64"/>
      <c r="I36" s="64"/>
      <c r="J36" s="64"/>
      <c r="K36" s="64"/>
      <c r="L36" s="64"/>
      <c r="M36" s="64"/>
      <c r="N36" s="64"/>
      <c r="O36" s="64"/>
      <c r="P36" s="64"/>
      <c r="Q36" s="64"/>
      <c r="R36" s="64"/>
      <c r="S36" s="64"/>
      <c r="T36" s="64"/>
      <c r="U36" s="64"/>
      <c r="V36" s="64"/>
      <c r="W36" s="64"/>
      <c r="X36" s="64"/>
      <c r="Y36" s="80"/>
      <c r="Z36" s="64"/>
      <c r="AA36" s="64"/>
    </row>
    <row r="37" hidden="1">
      <c r="A37" s="6"/>
      <c r="B37" s="6"/>
      <c r="C37" s="6"/>
      <c r="D37" s="6"/>
      <c r="E37" s="6"/>
      <c r="F37" s="6"/>
      <c r="G37" s="6"/>
      <c r="H37" s="6"/>
      <c r="I37" s="6"/>
      <c r="J37" s="6"/>
      <c r="K37" s="6"/>
      <c r="L37" s="6"/>
      <c r="M37" s="6"/>
      <c r="N37" s="6"/>
      <c r="O37" s="6"/>
      <c r="P37" s="6"/>
      <c r="Q37" s="6"/>
      <c r="R37" s="6"/>
      <c r="S37" s="6"/>
      <c r="T37" s="6"/>
      <c r="U37" s="6"/>
      <c r="V37" s="6"/>
      <c r="W37" s="6"/>
      <c r="X37" s="6"/>
      <c r="Y37" s="57"/>
      <c r="Z37" s="6"/>
      <c r="AA37" s="6"/>
    </row>
    <row r="38" hidden="1">
      <c r="A38" s="6"/>
      <c r="B38" s="6"/>
      <c r="C38" s="6"/>
      <c r="D38" s="6"/>
      <c r="E38" s="6"/>
      <c r="F38" s="6"/>
      <c r="G38" s="6"/>
      <c r="H38" s="6"/>
      <c r="I38" s="6"/>
      <c r="J38" s="6"/>
      <c r="K38" s="6"/>
      <c r="L38" s="6"/>
      <c r="M38" s="6"/>
      <c r="N38" s="6"/>
      <c r="O38" s="6"/>
      <c r="P38" s="6"/>
      <c r="Q38" s="6"/>
      <c r="R38" s="6"/>
      <c r="S38" s="6"/>
      <c r="T38" s="6"/>
      <c r="U38" s="6"/>
      <c r="V38" s="6"/>
      <c r="W38" s="6"/>
      <c r="X38" s="6"/>
      <c r="Y38" s="57"/>
      <c r="Z38" s="6"/>
      <c r="AA38" s="6"/>
    </row>
    <row r="39" hidden="1">
      <c r="A39" s="6"/>
      <c r="B39" s="6"/>
      <c r="C39" s="6"/>
      <c r="D39" s="6"/>
      <c r="E39" s="6"/>
      <c r="F39" s="6"/>
      <c r="G39" s="6"/>
      <c r="H39" s="6"/>
      <c r="I39" s="6"/>
      <c r="J39" s="6"/>
      <c r="K39" s="6"/>
      <c r="L39" s="6"/>
      <c r="M39" s="6"/>
      <c r="N39" s="6"/>
      <c r="O39" s="6"/>
      <c r="P39" s="6"/>
      <c r="Q39" s="6"/>
      <c r="R39" s="6"/>
      <c r="S39" s="6"/>
      <c r="T39" s="6"/>
      <c r="U39" s="6"/>
      <c r="V39" s="6"/>
      <c r="W39" s="6"/>
      <c r="X39" s="6"/>
      <c r="Y39" s="57"/>
      <c r="Z39" s="6"/>
      <c r="AA39" s="6"/>
    </row>
    <row r="40" hidden="1">
      <c r="A40" s="6"/>
      <c r="B40" s="6"/>
      <c r="C40" s="6"/>
      <c r="D40" s="6"/>
      <c r="E40" s="6"/>
      <c r="F40" s="6"/>
      <c r="G40" s="6"/>
      <c r="H40" s="6"/>
      <c r="I40" s="6"/>
      <c r="J40" s="6"/>
      <c r="K40" s="6"/>
      <c r="L40" s="6"/>
      <c r="M40" s="6"/>
      <c r="N40" s="6"/>
      <c r="O40" s="6"/>
      <c r="P40" s="6"/>
      <c r="Q40" s="6"/>
      <c r="R40" s="6"/>
      <c r="S40" s="6"/>
      <c r="T40" s="6"/>
      <c r="U40" s="6"/>
      <c r="V40" s="6"/>
      <c r="W40" s="6"/>
      <c r="X40" s="6"/>
      <c r="Y40" s="57"/>
      <c r="Z40" s="6"/>
      <c r="AA40" s="6"/>
    </row>
    <row r="41" hidden="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hidden="1">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hidden="1">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hidden="1">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hidden="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hidden="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hidden="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hidden="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hidden="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hidden="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hidden="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hidden="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hidden="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hidden="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hidden="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hidden="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hidden="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hidden="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hidden="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hidden="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hidden="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hidden="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hidden="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hidden="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hidden="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hidden="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hidden="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hidden="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hidden="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hidden="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hidden="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hidden="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hidden="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hidden="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hidden="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hidden="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hidden="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hidden="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hidden="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hidden="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hidden="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hidden="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hidden="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hidden="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hidden="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hidden="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hidden="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hidden="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hidden="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hidden="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hidden="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hidden="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hidden="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hidden="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hidden="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hidden="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hidden="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hidden="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hidden="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hidden="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hidden="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hidden="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hidden="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hidden="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hidden="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hidden="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hidden="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hidden="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hidden="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hidden="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hidden="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hidden="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hidden="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hidden="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hidden="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hidden="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hidden="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hidden="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hidden="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hidden="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hidden="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hidden="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hidden="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hidden="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hidden="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hidden="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hidden="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hidden="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hidden="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hidden="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hidden="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hidden="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hidden="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hidden="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hidden="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hidden="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hidden="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hidden="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hidden="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hidden="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hidden="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hidden="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hidden="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hidden="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hidden="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hidden="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hidden="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hidden="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hidden="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hidden="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hidden="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hidden="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hidden="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hidden="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hidden="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hidden="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hidden="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hidden="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hidden="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hidden="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hidden="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hidden="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hidden="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hidden="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hidden="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hidden="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hidden="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hidden="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hidden="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hidden="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hidden="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hidden="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hidden="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hidden="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hidden="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hidden="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hidden="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hidden="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hidden="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hidden="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hidden="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hidden="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hidden="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hidden="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hidden="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hidden="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hidden="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hidden="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hidden="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hidden="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hidden="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hidden="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hidden="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hidden="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hidden="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hidden="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hidden="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hidden="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hidden="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hidden="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hidden="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hidden="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hidden="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hidden="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hidden="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hidden="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hidden="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hidden="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hidden="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hidden="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hidden="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hidden="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hidden="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hidden="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hidden="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hidden="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hidden="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hidden="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hidden="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hidden="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hidden="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hidden="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hidden="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hidden="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hidden="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hidden="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hidden="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hidden="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hidden="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hidden="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hidden="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hidden="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hidden="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hidden="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hidden="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hidden="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hidden="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hidden="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hidden="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hidden="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hidden="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hidden="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hidden="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hidden="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hidden="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hidden="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hidden="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hidden="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hidden="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hidden="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hidden="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hidden="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hidden="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hidden="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hidden="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hidden="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hidden="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hidden="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hidden="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hidden="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hidden="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hidden="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hidden="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hidden="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hidden="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hidden="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hidden="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hidden="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hidden="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hidden="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hidden="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hidden="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hidden="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hidden="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hidden="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hidden="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hidden="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hidden="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hidden="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hidden="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hidden="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hidden="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hidden="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hidden="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hidden="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hidden="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hidden="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hidden="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hidden="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hidden="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hidden="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hidden="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hidden="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hidden="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hidden="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hidden="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hidden="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hidden="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hidden="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hidden="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hidden="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hidden="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hidden="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hidden="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hidden="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hidden="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hidden="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hidden="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hidden="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hidden="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hidden="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hidden="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hidden="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hidden="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hidden="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hidden="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hidden="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hidden="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hidden="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hidden="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hidden="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hidden="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hidden="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hidden="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hidden="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hidden="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hidden="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hidden="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hidden="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hidden="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hidden="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hidden="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hidden="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hidden="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hidden="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hidden="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hidden="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hidden="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hidden="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hidden="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hidden="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hidden="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hidden="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hidden="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hidden="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hidden="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hidden="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hidden="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hidden="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hidden="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hidden="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hidden="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hidden="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hidden="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hidden="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hidden="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hidden="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hidden="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hidden="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hidden="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hidden="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hidden="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hidden="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hidden="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hidden="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hidden="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hidden="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hidden="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hidden="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hidden="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hidden="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hidden="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hidden="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hidden="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hidden="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hidden="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hidden="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hidden="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hidden="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hidden="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hidden="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hidden="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hidden="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hidden="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hidden="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hidden="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hidden="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hidden="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hidden="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hidden="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hidden="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hidden="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hidden="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hidden="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hidden="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hidden="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hidden="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hidden="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hidden="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hidden="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hidden="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hidden="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hidden="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hidden="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hidden="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hidden="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hidden="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hidden="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hidden="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hidden="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hidden="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hidden="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hidden="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hidden="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hidden="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hidden="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hidden="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hidden="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hidden="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hidden="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hidden="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hidden="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hidden="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hidden="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hidden="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hidden="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hidden="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hidden="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hidden="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hidden="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hidden="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hidden="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hidden="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hidden="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hidden="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hidden="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hidden="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hidden="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hidden="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hidden="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hidden="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hidden="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hidden="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hidden="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hidden="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hidden="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hidden="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hidden="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hidden="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hidden="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hidden="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hidden="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hidden="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hidden="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hidden="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hidden="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hidden="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hidden="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hidden="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hidden="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hidden="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hidden="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hidden="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hidden="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hidden="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hidden="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hidden="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hidden="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hidden="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hidden="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hidden="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hidden="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hidden="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hidden="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hidden="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hidden="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hidden="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hidden="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hidden="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hidden="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hidden="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hidden="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hidden="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hidden="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hidden="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hidden="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hidden="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hidden="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hidden="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hidden="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hidden="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hidden="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hidden="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hidden="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hidden="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hidden="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hidden="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hidden="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hidden="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hidden="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hidden="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hidden="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hidden="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hidden="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hidden="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hidden="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hidden="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hidden="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hidden="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hidden="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hidden="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hidden="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hidden="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hidden="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hidden="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hidden="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hidden="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hidden="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hidden="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hidden="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hidden="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hidden="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hidden="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hidden="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hidden="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hidden="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hidden="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hidden="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hidden="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hidden="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hidden="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hidden="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hidden="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hidden="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hidden="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hidden="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hidden="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hidden="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hidden="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hidden="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hidden="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hidden="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hidden="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hidden="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hidden="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hidden="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hidden="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hidden="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hidden="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hidden="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hidden="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hidden="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hidden="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hidden="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hidden="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hidden="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hidden="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hidden="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hidden="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hidden="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hidden="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hidden="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hidden="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hidden="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hidden="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hidden="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hidden="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hidden="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hidden="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hidden="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hidden="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hidden="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hidden="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hidden="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hidden="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hidden="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hidden="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hidden="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hidden="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hidden="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hidden="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hidden="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hidden="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hidden="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hidden="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hidden="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hidden="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hidden="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hidden="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hidden="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hidden="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hidden="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hidden="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hidden="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hidden="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hidden="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hidden="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hidden="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hidden="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hidden="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hidden="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hidden="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hidden="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hidden="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hidden="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hidden="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hidden="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hidden="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hidden="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hidden="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hidden="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hidden="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hidden="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hidden="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hidden="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hidden="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hidden="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hidden="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hidden="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hidden="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hidden="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hidden="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hidden="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hidden="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hidden="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hidden="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hidden="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hidden="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hidden="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hidden="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hidden="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hidden="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hidden="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hidden="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hidden="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hidden="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hidden="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hidden="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hidden="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hidden="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hidden="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hidden="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hidden="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hidden="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hidden="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hidden="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hidden="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hidden="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hidden="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hidden="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hidden="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hidden="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hidden="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hidden="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hidden="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hidden="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hidden="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hidden="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hidden="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hidden="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hidden="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hidden="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hidden="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hidden="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hidden="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hidden="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hidden="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hidden="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hidden="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hidden="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hidden="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hidden="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hidden="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hidden="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hidden="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hidden="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hidden="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hidden="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hidden="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hidden="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hidden="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hidden="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hidden="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hidden="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hidden="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hidden="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hidden="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hidden="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hidden="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hidden="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hidden="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hidden="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hidden="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hidden="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hidden="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hidden="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hidden="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hidden="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hidden="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hidden="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hidden="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hidden="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hidden="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hidden="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hidden="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hidden="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hidden="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hidden="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hidden="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hidden="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hidden="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hidden="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hidden="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hidden="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hidden="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hidden="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hidden="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hidden="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hidden="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hidden="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hidden="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hidden="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hidden="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hidden="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hidden="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hidden="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hidden="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hidden="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hidden="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hidden="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hidden="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hidden="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hidden="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hidden="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hidden="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hidden="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hidden="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hidden="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hidden="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hidden="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hidden="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hidden="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hidden="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hidden="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hidden="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hidden="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hidden="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hidden="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hidden="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hidden="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hidden="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hidden="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hidden="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hidden="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hidden="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hidden="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hidden="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hidden="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hidden="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hidden="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hidden="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hidden="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hidden="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hidden="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hidden="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hidden="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hidden="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hidden="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hidden="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hidden="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hidden="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hidden="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hidden="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hidden="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hidden="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hidden="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hidden="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hidden="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hidden="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hidden="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hidden="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hidden="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hidden="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hidden="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hidden="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hidden="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hidden="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hidden="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hidden="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hidden="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hidden="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hidden="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hidden="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hidden="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hidden="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hidden="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hidden="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hidden="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hidden="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hidden="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hidden="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hidden="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hidden="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hidden="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hidden="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hidden="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hidden="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hidden="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hidden="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hidden="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hidden="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hidden="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hidden="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hidden="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hidden="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hidden="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hidden="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hidden="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hidden="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hidden="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hidden="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hidden="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hidden="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hidden="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hidden="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hidden="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hidden="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hidden="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hidden="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hidden="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hidden="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hidden="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hidden="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hidden="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hidden="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hidden="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hidden="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hidden="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hidden="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hidden="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hidden="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hidden="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hidden="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hidden="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hidden="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hidden="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hidden="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hidden="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hidden="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hidden="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hidden="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hidden="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hidden="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hidden="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hidden="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hidden="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hidden="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hidden="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hidden="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hidden="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hidden="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hidden="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hidden="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hidden="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hidden="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hidden="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hidden="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hidden="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hidden="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hidden="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hidden="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hidden="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hidden="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hidden="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hidden="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hidden="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hidden="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hidden="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hidden="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hidden="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hidden="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hidden="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hidden="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hidden="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hidden="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hidden="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hidden="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hidden="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hidden="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hidden="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hidden="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hidden="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hidden="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hidden="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hidden="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hidden="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hidden="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hidden="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hidden="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hidden="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hidden="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hidden="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hidden="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hidden="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hidden="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hidden="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hidden="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hidden="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hidden="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hidden="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hidden="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hidden="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hidden="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hidden="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hidden="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hidden="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hidden="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hidden="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hidden="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hidden="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hidden="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hidden="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hidden="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hidden="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hidden="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hidden="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hidden="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hidden="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hidden="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hidden="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hidden="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hidden="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hidden="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hidden="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hidden="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hidden="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hidden="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hidden="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hidden="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hidden="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hidden="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hidden="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hidden="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hidden="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hidden="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hidden="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hidden="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hidden="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hidden="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hidden="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hidden="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hidden="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hidden="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hidden="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hidden="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hidden="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hidden="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hidden="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hidden="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hidden="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hidden="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hidden="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hidden="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hidden="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hidden="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hidden="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hidden="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hidden="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hidden="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hidden="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hidden="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hidden="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hidden="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hidden="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hidden="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hidden="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hidden="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hidden="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hidden="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hidden="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hidden="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hidden="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hidden="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hidden="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hidden="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hidden="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hidden="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hidden="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hidden="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hidden="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hidden="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hidden="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hidden="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hidden="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hidden="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hidden="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hidden="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hidden="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hidden="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hidden="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hidden="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hidden="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sheetData>
  <mergeCells count="9">
    <mergeCell ref="R23:T23"/>
    <mergeCell ref="N27:T32"/>
    <mergeCell ref="F1:R1"/>
    <mergeCell ref="H3:L3"/>
    <mergeCell ref="N3:T3"/>
    <mergeCell ref="H5:T13"/>
    <mergeCell ref="F15:T15"/>
    <mergeCell ref="H17:N17"/>
    <mergeCell ref="U20:AA33"/>
  </mergeCells>
  <conditionalFormatting sqref="D7 D21">
    <cfRule type="cellIs" dxfId="1" priority="1" operator="lessThanOrEqual">
      <formula>5</formula>
    </cfRule>
  </conditionalFormatting>
  <conditionalFormatting sqref="D7 D21">
    <cfRule type="cellIs" dxfId="2" priority="2" operator="greaterThan">
      <formula>5</formula>
    </cfRule>
  </conditionalFormatting>
  <conditionalFormatting sqref="D7 D21">
    <cfRule type="containsBlanks" dxfId="3" priority="3">
      <formula>LEN(TRIM(D7))=0</formula>
    </cfRule>
  </conditionalFormatting>
  <conditionalFormatting sqref="D9 H21">
    <cfRule type="cellIs" dxfId="1" priority="4" operator="lessThanOrEqual">
      <formula>33</formula>
    </cfRule>
  </conditionalFormatting>
  <conditionalFormatting sqref="D9 H21">
    <cfRule type="cellIs" dxfId="2" priority="5" operator="greaterThan">
      <formula>33</formula>
    </cfRule>
  </conditionalFormatting>
  <conditionalFormatting sqref="D9 H21">
    <cfRule type="containsBlanks" dxfId="3" priority="6">
      <formula>LEN(TRIM(D9))=0</formula>
    </cfRule>
  </conditionalFormatting>
  <conditionalFormatting sqref="D11 L21">
    <cfRule type="cellIs" dxfId="1" priority="7" operator="greaterThanOrEqual">
      <formula>20</formula>
    </cfRule>
  </conditionalFormatting>
  <conditionalFormatting sqref="D11 L21">
    <cfRule type="cellIs" dxfId="2" priority="8" operator="lessThan">
      <formula>20</formula>
    </cfRule>
  </conditionalFormatting>
  <conditionalFormatting sqref="D11 L21">
    <cfRule type="containsBlanks" dxfId="3" priority="9">
      <formula>LEN(TRIM(D11))=0</formula>
    </cfRule>
  </conditionalFormatting>
  <conditionalFormatting sqref="F3 F5:F6 G5:G13 F8 F10 F12 H17:N17">
    <cfRule type="containsText" dxfId="2" priority="10" operator="containsText" text="pork">
      <formula>NOT(ISERROR(SEARCH(("pork"),(F3))))</formula>
    </cfRule>
  </conditionalFormatting>
  <conditionalFormatting sqref="F3 F5:F6 G5:G13 F8 F10 F12 H17:N17">
    <cfRule type="containsText" dxfId="2" priority="11" operator="containsText" text="alcohol">
      <formula>NOT(ISERROR(SEARCH(("alcohol"),(F3))))</formula>
    </cfRule>
  </conditionalFormatting>
  <conditionalFormatting sqref="F3 F5:F6 G5:G13 F8 F10 F12 H17:N17">
    <cfRule type="containsText" dxfId="2" priority="12" operator="containsText" text="cigar">
      <formula>NOT(ISERROR(SEARCH(("cigar"),(F3))))</formula>
    </cfRule>
  </conditionalFormatting>
  <conditionalFormatting sqref="F3 F5:F6 G5:G13 F8 F10 F12 H17:N17">
    <cfRule type="containsText" dxfId="2" priority="13" operator="containsText" text="cloning">
      <formula>NOT(ISERROR(SEARCH(("cloning"),(F3))))</formula>
    </cfRule>
  </conditionalFormatting>
  <conditionalFormatting sqref="F3 F5:F6 G5:G13 F8 F10 F12 H17:N17">
    <cfRule type="containsText" dxfId="2" priority="14" operator="containsText" text="advertising">
      <formula>NOT(ISERROR(SEARCH(("advertising"),(F3))))</formula>
    </cfRule>
  </conditionalFormatting>
  <conditionalFormatting sqref="F3 F5:F6 G5:G13 F8 F10 F12 H17:N17">
    <cfRule type="containsText" dxfId="2" priority="15" operator="containsText" text="finance">
      <formula>NOT(ISERROR(SEARCH(("finance"),(F3))))</formula>
    </cfRule>
  </conditionalFormatting>
  <conditionalFormatting sqref="F3 F5:F6 G5:G13 F8 F10 F12 H17:N17">
    <cfRule type="containsText" dxfId="2" priority="16" operator="containsText" text="insurance">
      <formula>NOT(ISERROR(SEARCH(("insurance"),(F3))))</formula>
    </cfRule>
  </conditionalFormatting>
  <conditionalFormatting sqref="F3 F5:F6 G5:G13 F8 F10 F12 H17:N17">
    <cfRule type="containsText" dxfId="2" priority="17" operator="containsText" text="porn">
      <formula>NOT(ISERROR(SEARCH(("porn"),(F3))))</formula>
    </cfRule>
  </conditionalFormatting>
  <conditionalFormatting sqref="F3 F5:F6 G5:G13 F8 F10 F12 H17:N17">
    <cfRule type="containsText" dxfId="2" priority="18" operator="containsText" text="advertisment">
      <formula>NOT(ISERROR(SEARCH(("advertisment"),(F3))))</formula>
    </cfRule>
  </conditionalFormatting>
  <conditionalFormatting sqref="F3 F5:F6 G5:G13 F8 F10 F12 H17:N17">
    <cfRule type="containsText" dxfId="2" priority="19" operator="containsText" text="club">
      <formula>NOT(ISERROR(SEARCH(("club"),(F3))))</formula>
    </cfRule>
  </conditionalFormatting>
  <conditionalFormatting sqref="F3 F5:F6 G5:G13 F8 F10 F12 H17:N17">
    <cfRule type="containsText" dxfId="2" priority="20" operator="containsText" text="photo">
      <formula>NOT(ISERROR(SEARCH(("photo"),(F3))))</formula>
    </cfRule>
  </conditionalFormatting>
  <conditionalFormatting sqref="F3 F5:F6 G5:G13 F8 F10 F12 H17:N17">
    <cfRule type="containsText" dxfId="2" priority="21" operator="containsText" text="video">
      <formula>NOT(ISERROR(SEARCH(("video"),(F3))))</formula>
    </cfRule>
  </conditionalFormatting>
  <conditionalFormatting sqref="F3 F5:F6 G5:G13 F8 F10 F12 H17:N17">
    <cfRule type="containsText" dxfId="2" priority="22" operator="containsText" text="breweries">
      <formula>NOT(ISERROR(SEARCH(("breweries"),(F3))))</formula>
    </cfRule>
  </conditionalFormatting>
  <conditionalFormatting sqref="F3 F5:F6 G5:G13 F8 F10 F12">
    <cfRule type="cellIs" dxfId="2" priority="23" operator="equal">
      <formula>"distilleries"</formula>
    </cfRule>
  </conditionalFormatting>
  <conditionalFormatting sqref="F3 F5:F6 G5:G13 F8 F10 F12 H17:N17">
    <cfRule type="containsText" dxfId="2" priority="24" operator="containsText" text="tobacco">
      <formula>NOT(ISERROR(SEARCH(("tobacco"),(F3))))</formula>
    </cfRule>
  </conditionalFormatting>
  <conditionalFormatting sqref="F3 F5:F6 G5:G13 F8 F10 F12">
    <cfRule type="containsBlanks" dxfId="3" priority="25">
      <formula>LEN(TRIM(F3))=0</formula>
    </cfRule>
  </conditionalFormatting>
  <conditionalFormatting sqref="H17:N17">
    <cfRule type="containsBlanks" dxfId="3" priority="26">
      <formula>LEN(TRIM(H17))=0</formula>
    </cfRule>
  </conditionalFormatting>
  <conditionalFormatting sqref="F3 F5:F6 G5:G13 F8 F10 F12 H17:N17">
    <cfRule type="containsText" dxfId="2" priority="27" operator="containsText" text="fintech">
      <formula>NOT(ISERROR(SEARCH(("fintech"),(F3))))</formula>
    </cfRule>
  </conditionalFormatting>
  <conditionalFormatting sqref="F3 F5:F6 G5:G13 F8 F10 F12 H17:N17">
    <cfRule type="containsText" dxfId="4" priority="28" operator="containsText" text="broker">
      <formula>NOT(ISERROR(SEARCH(("broker"),(F3))))</formula>
    </cfRule>
  </conditionalFormatting>
  <conditionalFormatting sqref="F3 F5:F6 G5:G13 F8 F10 F12 H17:N17">
    <cfRule type="containsText" dxfId="2" priority="29" operator="containsText" text="music">
      <formula>NOT(ISERROR(SEARCH(("music"),(F3))))</formula>
    </cfRule>
  </conditionalFormatting>
  <conditionalFormatting sqref="F3 F5:F6 G5:G13 F8 F10 F12 H17:N17">
    <cfRule type="containsText" dxfId="2" priority="30" operator="containsText" text="wine">
      <formula>NOT(ISERROR(SEARCH(("wine"),(F3))))</formula>
    </cfRule>
  </conditionalFormatting>
  <conditionalFormatting sqref="F3 F5:F6 G5:G13 F8 F10 F12 H17:N17">
    <cfRule type="containsText" dxfId="2" priority="31" operator="containsText" text="tattoo">
      <formula>NOT(ISERROR(SEARCH(("tattoo"),(F3))))</formula>
    </cfRule>
  </conditionalFormatting>
  <conditionalFormatting sqref="F3 F5:F6 G5:G13 F8 F10 F12 H17:N17">
    <cfRule type="containsText" dxfId="2" priority="32" operator="containsText" text=" media">
      <formula>NOT(ISERROR(SEARCH((" media"),(F3))))</formula>
    </cfRule>
  </conditionalFormatting>
  <conditionalFormatting sqref="F3 F5:F6 G5:G13 F8 F10 F12 H17:N17">
    <cfRule type="containsText" dxfId="2" priority="33" operator="containsText" text="gambling">
      <formula>NOT(ISERROR(SEARCH(("gambling"),(F3))))</formula>
    </cfRule>
  </conditionalFormatting>
  <conditionalFormatting sqref="F3 F5:F6 G5:G13 F8 F10 F12 H17:N17">
    <cfRule type="containsText" dxfId="2" priority="34" operator="containsText" text="entertainment">
      <formula>NOT(ISERROR(SEARCH(("entertainment"),(F3))))</formula>
    </cfRule>
  </conditionalFormatting>
  <conditionalFormatting sqref="F3 F5:F6 G5:G13 F8 F10 F12 H17:N17">
    <cfRule type="containsText" dxfId="2" priority="35" operator="containsText" text="bank">
      <formula>NOT(ISERROR(SEARCH(("bank"),(F3))))</formula>
    </cfRule>
  </conditionalFormatting>
  <conditionalFormatting sqref="F3 F5:F6 G5:G13 F8 F10 F12 H17:N17">
    <cfRule type="containsText" dxfId="2" priority="36" operator="containsText" text="hotel">
      <formula>NOT(ISERROR(SEARCH(("hotel"),(F3))))</formula>
    </cfRule>
  </conditionalFormatting>
  <conditionalFormatting sqref="F3 F5:F6 G5:G13 F8 F10 F12 H17:N17">
    <cfRule type="containsText" dxfId="2" priority="37" operator="containsText" text="beer">
      <formula>NOT(ISERROR(SEARCH(("beer"),(F3))))</formula>
    </cfRule>
  </conditionalFormatting>
  <conditionalFormatting sqref="F3 F5:F6 G5:G13 F8 F10 F12 H17:N17">
    <cfRule type="containsText" dxfId="2" priority="38" operator="containsText" text="liquor">
      <formula>NOT(ISERROR(SEARCH(("liquor"),(F3))))</formula>
    </cfRule>
  </conditionalFormatting>
  <conditionalFormatting sqref="F3 F5:F6 G5:G13 F8 F10 F12 H17:N17">
    <cfRule type="containsText" dxfId="2" priority="39" operator="containsText" text="gaming">
      <formula>NOT(ISERROR(SEARCH(("gaming"),(F3))))</formula>
    </cfRule>
  </conditionalFormatting>
  <conditionalFormatting sqref="F3 F5:F6 G5:G13 F8 F10 F12 H17:N17">
    <cfRule type="containsText" dxfId="2" priority="40" operator="containsText" text="ritual/religious">
      <formula>NOT(ISERROR(SEARCH(("ritual/religious"),(F3))))</formula>
    </cfRule>
  </conditionalFormatting>
  <conditionalFormatting sqref="F3 F5:F6 G5:G13 F8 F10 F12 H17:N17">
    <cfRule type="containsText" dxfId="2" priority="41" operator="containsText" text="BFSI">
      <formula>NOT(ISERROR(SEARCH(("BFSI"),(F3))))</formula>
    </cfRule>
  </conditionalFormatting>
  <conditionalFormatting sqref="F5 F7 F9 F11 F13">
    <cfRule type="containsText" dxfId="1" priority="42" operator="containsText" text="Pass">
      <formula>NOT(ISERROR(SEARCH(("Pass"),(F5))))</formula>
    </cfRule>
  </conditionalFormatting>
  <conditionalFormatting sqref="F5 F7 F9 F11 F13">
    <cfRule type="containsText" dxfId="2" priority="43" operator="containsText" text="Fail">
      <formula>NOT(ISERROR(SEARCH(("Fail"),(F5))))</formula>
    </cfRule>
  </conditionalFormatting>
  <conditionalFormatting sqref="F15:H15">
    <cfRule type="containsText" dxfId="2" priority="44" operator="containsText" text="Non-Compliant">
      <formula>NOT(ISERROR(SEARCH(("Non-Compliant"),(F15))))</formula>
    </cfRule>
  </conditionalFormatting>
  <conditionalFormatting sqref="F15:H15">
    <cfRule type="containsText" dxfId="1" priority="45" operator="containsText" text="Compliant">
      <formula>NOT(ISERROR(SEARCH(("Compliant"),(F15))))</formula>
    </cfRule>
  </conditionalFormatting>
  <conditionalFormatting sqref="P21">
    <cfRule type="containsBlanks" dxfId="3" priority="46">
      <formula>LEN(TRIM(P21))=0</formula>
    </cfRule>
  </conditionalFormatting>
  <conditionalFormatting sqref="P21">
    <cfRule type="cellIs" dxfId="1" priority="47" operator="lessThan">
      <formula>"d5"</formula>
    </cfRule>
  </conditionalFormatting>
  <conditionalFormatting sqref="P21">
    <cfRule type="cellIs" dxfId="2" priority="48" operator="greaterThan">
      <formula>"d5"</formula>
    </cfRule>
  </conditionalFormatting>
  <conditionalFormatting sqref="D13">
    <cfRule type="containsBlanks" dxfId="3" priority="49">
      <formula>LEN(TRIM(D13))=0</formula>
    </cfRule>
  </conditionalFormatting>
  <conditionalFormatting sqref="D13">
    <cfRule type="cellIs" dxfId="1" priority="50" operator="lessThan">
      <formula>"D5"</formula>
    </cfRule>
  </conditionalFormatting>
  <conditionalFormatting sqref="D13">
    <cfRule type="cellIs" dxfId="2" priority="51" operator="greaterThan">
      <formula>"D5"</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4.75"/>
  </cols>
  <sheetData>
    <row r="1" hidden="1">
      <c r="A1" s="7" t="str">
        <f>Shariah!D3</f>
        <v>mindteck</v>
      </c>
      <c r="B1" s="3"/>
      <c r="C1" s="8" t="s">
        <v>22</v>
      </c>
      <c r="D1" s="9"/>
      <c r="E1" s="9"/>
      <c r="F1" s="8" t="s">
        <v>28</v>
      </c>
      <c r="G1" s="3"/>
      <c r="H1" s="10"/>
      <c r="I1" s="3"/>
      <c r="J1" s="3"/>
      <c r="K1" s="3"/>
      <c r="L1" s="3"/>
      <c r="M1" s="3"/>
      <c r="N1" s="3"/>
      <c r="O1" s="3"/>
      <c r="P1" s="3"/>
      <c r="Q1" s="3"/>
      <c r="R1" s="3"/>
      <c r="S1" s="3"/>
      <c r="T1" s="3"/>
      <c r="U1" s="3"/>
      <c r="V1" s="3"/>
      <c r="W1" s="3"/>
      <c r="X1" s="3"/>
      <c r="Y1" s="3"/>
      <c r="Z1" s="3"/>
    </row>
    <row r="2" hidden="1">
      <c r="A2" s="4" t="s">
        <v>38</v>
      </c>
      <c r="B2" s="13" t="str">
        <f>Shariah!D15</f>
        <v/>
      </c>
      <c r="C2" s="3"/>
      <c r="D2" s="3"/>
      <c r="E2" s="3"/>
      <c r="F2" s="3"/>
      <c r="G2" s="3"/>
      <c r="H2" s="2"/>
      <c r="I2" s="3"/>
      <c r="J2" s="3"/>
      <c r="K2" s="3"/>
      <c r="L2" s="3"/>
      <c r="M2" s="3"/>
      <c r="N2" s="3"/>
      <c r="O2" s="3"/>
      <c r="P2" s="3"/>
      <c r="Q2" s="3"/>
      <c r="R2" s="3"/>
      <c r="S2" s="3"/>
      <c r="T2" s="3"/>
      <c r="U2" s="3"/>
      <c r="V2" s="3"/>
      <c r="W2" s="3"/>
      <c r="X2" s="3"/>
      <c r="Y2" s="3"/>
      <c r="Z2" s="3"/>
    </row>
    <row r="3" hidden="1">
      <c r="A3" s="4" t="s">
        <v>50</v>
      </c>
      <c r="B3" s="15">
        <f>IFERROR(__xludf.DUMMYFUNCTION("IMPORTXML(B5,C1)"),178.0)</f>
        <v>178</v>
      </c>
      <c r="C3" s="3"/>
      <c r="D3" s="3"/>
      <c r="E3" s="16"/>
      <c r="F3" s="3"/>
      <c r="G3" s="3"/>
      <c r="H3" s="3"/>
      <c r="I3" s="3"/>
      <c r="J3" s="3"/>
      <c r="K3" s="3"/>
      <c r="L3" s="3"/>
      <c r="M3" s="3"/>
      <c r="N3" s="3"/>
      <c r="O3" s="3"/>
      <c r="P3" s="3"/>
      <c r="Q3" s="3"/>
      <c r="R3" s="3"/>
      <c r="S3" s="3"/>
      <c r="T3" s="3"/>
      <c r="U3" s="3"/>
      <c r="V3" s="3"/>
      <c r="W3" s="3"/>
      <c r="X3" s="3"/>
      <c r="Y3" s="3"/>
      <c r="Z3" s="3"/>
    </row>
    <row r="4" hidden="1">
      <c r="A4" s="4" t="s">
        <v>67</v>
      </c>
      <c r="B4" s="3" t="str">
        <f>IFERROR(__xludf.DUMMYFUNCTION("IMPORTXML(B5,F1)"),"Mindteck (India) Ltd")</f>
        <v>Mindteck (India) Ltd</v>
      </c>
      <c r="C4" s="3"/>
      <c r="D4" s="3"/>
      <c r="E4" s="3"/>
      <c r="F4" s="3"/>
      <c r="G4" s="3"/>
      <c r="H4" s="2"/>
      <c r="I4" s="3"/>
      <c r="J4" s="3"/>
      <c r="K4" s="3"/>
      <c r="L4" s="3"/>
      <c r="M4" s="3"/>
      <c r="N4" s="3"/>
      <c r="O4" s="3"/>
      <c r="P4" s="3"/>
      <c r="Q4" s="3"/>
      <c r="R4" s="3"/>
      <c r="S4" s="3"/>
      <c r="T4" s="3"/>
      <c r="U4" s="3"/>
      <c r="V4" s="3"/>
      <c r="W4" s="3"/>
      <c r="X4" s="3"/>
      <c r="Y4" s="3"/>
      <c r="Z4" s="3"/>
    </row>
    <row r="5" hidden="1">
      <c r="A5" s="20" t="str">
        <f>"https://www.screener.in/company/"&amp;A1&amp;"/consolidated/"</f>
        <v>https://www.screener.in/company/mindteck/consolidated/</v>
      </c>
      <c r="B5" s="20" t="str">
        <f>"https://www.screener.in/company/"&amp;A1&amp;"/"</f>
        <v>https://www.screener.in/company/mindteck/</v>
      </c>
      <c r="C5" s="3"/>
      <c r="D5" s="3"/>
      <c r="E5" s="3"/>
      <c r="F5" s="3"/>
      <c r="G5" s="3"/>
      <c r="H5" s="3"/>
      <c r="I5" s="3"/>
      <c r="J5" s="3"/>
      <c r="K5" s="3"/>
      <c r="L5" s="3"/>
      <c r="M5" s="3"/>
      <c r="N5" s="3"/>
      <c r="O5" s="3"/>
      <c r="P5" s="3"/>
      <c r="Q5" s="3"/>
      <c r="R5" s="3"/>
      <c r="S5" s="3"/>
      <c r="T5" s="3"/>
      <c r="U5" s="3"/>
      <c r="V5" s="3"/>
      <c r="W5" s="3"/>
      <c r="X5" s="3"/>
      <c r="Y5" s="3"/>
      <c r="Z5" s="3"/>
    </row>
    <row r="6" hidden="1">
      <c r="A6" s="4" t="s">
        <v>90</v>
      </c>
      <c r="B6" s="28" t="str">
        <f t="array" ref="B6">INDEX(11:11, 1, MAX(IF(11:11&lt;&gt;"", COLUMN(11:11)-1, 0)))</f>
        <v>Mar 2026</v>
      </c>
      <c r="C6" s="15" t="str">
        <f t="array" ref="C6">trim(INDEX(11:11, 1, MAX(IF(11:11&lt;&gt;"", COLUMN(11:11), 0))))</f>
        <v>TTM</v>
      </c>
      <c r="D6" s="4" t="s">
        <v>115</v>
      </c>
      <c r="E6" s="4" t="s">
        <v>118</v>
      </c>
      <c r="F6" s="4" t="s">
        <v>119</v>
      </c>
      <c r="G6" s="3"/>
      <c r="H6" s="2"/>
      <c r="I6" s="3"/>
      <c r="J6" s="3"/>
      <c r="K6" s="3"/>
      <c r="L6" s="3"/>
      <c r="M6" s="3"/>
      <c r="N6" s="3"/>
      <c r="O6" s="3"/>
      <c r="P6" s="3"/>
      <c r="Q6" s="3"/>
      <c r="R6" s="3"/>
      <c r="S6" s="3"/>
      <c r="T6" s="3"/>
      <c r="U6" s="3"/>
      <c r="V6" s="3"/>
      <c r="W6" s="3"/>
      <c r="X6" s="3"/>
      <c r="Y6" s="3"/>
      <c r="Z6" s="3"/>
    </row>
    <row r="7" hidden="1">
      <c r="A7" s="2" t="s">
        <v>125</v>
      </c>
      <c r="B7" s="28">
        <f t="array" ref="B7">INDEX(INDIRECT(D10 &amp; ":" &amp; D10), 1, MAX(IF(INDIRECT(D10 &amp; ":" &amp; D10)&lt;&gt;"", COLUMN(INDIRECT(D10 &amp; ":" &amp; D10))-1, 0)))</f>
        <v>7</v>
      </c>
      <c r="C7" s="28">
        <f t="array" ref="C7">INDEX(INDIRECT(D10 &amp; ":" &amp; D10), 1, MAX(IF(INDIRECT(D10 &amp; ":" &amp; D10)&lt;&gt;"", COLUMN(INDIRECT(D10 &amp; ":" &amp; D10)), 0)))</f>
        <v>7</v>
      </c>
      <c r="D7" s="28">
        <f t="shared" ref="D7:D9" si="1">IF($C$6="TTM", B7,C7)</f>
        <v>7</v>
      </c>
      <c r="E7" s="28">
        <f>IF(D7&lt;=0,D8,D7)</f>
        <v>7</v>
      </c>
      <c r="F7" s="3">
        <f>E7/D9*100</f>
        <v>1.71990172</v>
      </c>
      <c r="G7" s="37">
        <f>IF(ISERROR(F7),F26,F7)</f>
        <v>1.71990172</v>
      </c>
      <c r="H7" s="39" t="str">
        <f>if(G7&lt;=5, "Pass","Fail")</f>
        <v>Pass</v>
      </c>
      <c r="I7" s="3"/>
      <c r="J7" s="3"/>
      <c r="K7" s="3"/>
      <c r="L7" s="3"/>
      <c r="M7" s="3"/>
      <c r="N7" s="3"/>
      <c r="O7" s="3"/>
      <c r="P7" s="3"/>
      <c r="Q7" s="3"/>
      <c r="R7" s="3"/>
      <c r="S7" s="3"/>
      <c r="T7" s="3"/>
      <c r="U7" s="3"/>
      <c r="V7" s="3"/>
      <c r="W7" s="3"/>
      <c r="X7" s="3"/>
      <c r="Y7" s="3"/>
      <c r="Z7" s="3"/>
    </row>
    <row r="8" hidden="1">
      <c r="A8" s="2" t="s">
        <v>183</v>
      </c>
      <c r="B8" s="28">
        <f t="array" ref="B8">INDEX(INDIRECT(C10 &amp; ":" &amp; C10), 1, MAX(IF(INDIRECT(C10 &amp; ":" &amp; C10)&lt;&gt;"", COLUMN(INDIRECT(C10 &amp; ":" &amp; C10))-1, 0)))</f>
        <v>1</v>
      </c>
      <c r="C8" s="28">
        <f t="array" ref="C8">INDEX(INDIRECT(C10 &amp; ":" &amp; C10), 1, MAX(IF(INDIRECT(C10 &amp; ":" &amp; C10)&lt;&gt;"", COLUMN(INDIRECT(C10 &amp; ":" &amp; C10)), 0)))</f>
        <v>1</v>
      </c>
      <c r="D8" s="28">
        <f t="shared" si="1"/>
        <v>1</v>
      </c>
      <c r="E8" s="3"/>
      <c r="F8" s="3"/>
      <c r="G8" s="3"/>
      <c r="H8" s="3"/>
      <c r="I8" s="3"/>
      <c r="J8" s="3"/>
      <c r="K8" s="3"/>
      <c r="L8" s="3"/>
      <c r="M8" s="3"/>
      <c r="N8" s="3"/>
      <c r="O8" s="3"/>
      <c r="P8" s="3"/>
      <c r="Q8" s="3"/>
      <c r="R8" s="3"/>
      <c r="S8" s="3"/>
      <c r="T8" s="3"/>
      <c r="U8" s="3"/>
      <c r="V8" s="3"/>
      <c r="W8" s="3"/>
      <c r="X8" s="3"/>
      <c r="Y8" s="3"/>
      <c r="Z8" s="3"/>
    </row>
    <row r="9" hidden="1">
      <c r="A9" s="2" t="s">
        <v>212</v>
      </c>
      <c r="B9" s="28">
        <f t="array" ref="B9">INDEX(INDIRECT(B10 &amp; ":" &amp; B10), 1, MAX(IF(INDIRECT(B10 &amp; ":" &amp; B10)&lt;&gt;"", COLUMN(INDIRECT(B10 &amp; ":" &amp; B10))-1, 0)))</f>
        <v>407</v>
      </c>
      <c r="C9" s="28">
        <f t="array" ref="C9">INDEX(INDIRECT(B10 &amp; ":" &amp; B10), 1, MAX(IF(INDIRECT(B10 &amp; ":" &amp; B10)&lt;&gt;"", COLUMN(INDIRECT(B10 &amp; ":" &amp; B10)), 0)))</f>
        <v>410</v>
      </c>
      <c r="D9" s="28">
        <f t="shared" si="1"/>
        <v>407</v>
      </c>
      <c r="E9" s="3"/>
      <c r="F9" s="3"/>
      <c r="G9" s="3"/>
      <c r="H9" s="3"/>
      <c r="I9" s="3"/>
      <c r="J9" s="3"/>
      <c r="K9" s="3"/>
      <c r="L9" s="3"/>
      <c r="M9" s="3"/>
      <c r="N9" s="3"/>
      <c r="O9" s="3"/>
      <c r="P9" s="3"/>
      <c r="Q9" s="3"/>
      <c r="R9" s="3"/>
      <c r="S9" s="3"/>
      <c r="T9" s="3"/>
      <c r="U9" s="3"/>
      <c r="V9" s="3"/>
      <c r="W9" s="3"/>
      <c r="X9" s="3"/>
      <c r="Y9" s="3"/>
      <c r="Z9" s="3"/>
    </row>
    <row r="10" hidden="1">
      <c r="A10" s="48" t="s">
        <v>237</v>
      </c>
      <c r="B10" s="28">
        <f>iferror(row()+match("Sales +",A12:A23, 0)+1,E10)</f>
        <v>12</v>
      </c>
      <c r="C10" s="28">
        <f>row()+match("Interest",A12:A23, 0)+1</f>
        <v>17</v>
      </c>
      <c r="D10" s="28">
        <f>row()+match("Other Income +",A12:A23, 0)+1</f>
        <v>16</v>
      </c>
      <c r="E10" s="28" t="str">
        <f>row()+match("Revenue",A12:A23, 0)+1</f>
        <v>#N/A</v>
      </c>
      <c r="F10" s="50"/>
      <c r="G10" s="50"/>
      <c r="H10" s="50"/>
      <c r="I10" s="50"/>
      <c r="J10" s="50"/>
      <c r="K10" s="50"/>
      <c r="L10" s="50"/>
      <c r="M10" s="50"/>
      <c r="N10" s="50"/>
      <c r="O10" s="50"/>
      <c r="P10" s="50"/>
      <c r="Q10" s="50"/>
      <c r="R10" s="50"/>
      <c r="S10" s="50"/>
      <c r="T10" s="50"/>
      <c r="U10" s="50"/>
      <c r="V10" s="50"/>
      <c r="W10" s="50"/>
      <c r="X10" s="50"/>
      <c r="Y10" s="50"/>
      <c r="Z10" s="50"/>
    </row>
    <row r="11" hidden="1">
      <c r="A11" s="50" t="str">
        <f>IFERROR(__xludf.DUMMYFUNCTION("query(IMPORTHTML($A$5,""table"",2),""SELECT *"",1)"),"")</f>
        <v/>
      </c>
      <c r="B11" s="50" t="str">
        <f>IFERROR(__xludf.DUMMYFUNCTION("""COMPUTED_VALUE"""),"Mar 2015")</f>
        <v>Mar 2015</v>
      </c>
      <c r="C11" s="50" t="str">
        <f>IFERROR(__xludf.DUMMYFUNCTION("""COMPUTED_VALUE"""),"Mar 2016")</f>
        <v>Mar 2016</v>
      </c>
      <c r="D11" s="50" t="str">
        <f>IFERROR(__xludf.DUMMYFUNCTION("""COMPUTED_VALUE"""),"Mar 2017")</f>
        <v>Mar 2017</v>
      </c>
      <c r="E11" s="50" t="str">
        <f>IFERROR(__xludf.DUMMYFUNCTION("""COMPUTED_VALUE"""),"Mar 2018")</f>
        <v>Mar 2018</v>
      </c>
      <c r="F11" s="50" t="str">
        <f>IFERROR(__xludf.DUMMYFUNCTION("""COMPUTED_VALUE"""),"Mar 2019")</f>
        <v>Mar 2019</v>
      </c>
      <c r="G11" s="50" t="str">
        <f>IFERROR(__xludf.DUMMYFUNCTION("""COMPUTED_VALUE"""),"Mar 2020")</f>
        <v>Mar 2020</v>
      </c>
      <c r="H11" s="50" t="str">
        <f>IFERROR(__xludf.DUMMYFUNCTION("""COMPUTED_VALUE"""),"Mar 2021")</f>
        <v>Mar 2021</v>
      </c>
      <c r="I11" s="50" t="str">
        <f>IFERROR(__xludf.DUMMYFUNCTION("""COMPUTED_VALUE"""),"Mar 2022")</f>
        <v>Mar 2022</v>
      </c>
      <c r="J11" s="50" t="str">
        <f>IFERROR(__xludf.DUMMYFUNCTION("""COMPUTED_VALUE"""),"Mar 2023")</f>
        <v>Mar 2023</v>
      </c>
      <c r="K11" s="50" t="str">
        <f>IFERROR(__xludf.DUMMYFUNCTION("""COMPUTED_VALUE"""),"Mar 2024")</f>
        <v>Mar 2024</v>
      </c>
      <c r="L11" s="50" t="str">
        <f>IFERROR(__xludf.DUMMYFUNCTION("""COMPUTED_VALUE"""),"Mar 2025")</f>
        <v>Mar 2025</v>
      </c>
      <c r="M11" s="50" t="str">
        <f>IFERROR(__xludf.DUMMYFUNCTION("""COMPUTED_VALUE"""),"Mar 2026")</f>
        <v>Mar 2026</v>
      </c>
      <c r="N11" s="50" t="str">
        <f>IFERROR(__xludf.DUMMYFUNCTION("""COMPUTED_VALUE"""),"TTM")</f>
        <v>TTM</v>
      </c>
      <c r="O11" s="50"/>
      <c r="P11" s="50"/>
      <c r="Q11" s="50"/>
      <c r="R11" s="50"/>
      <c r="S11" s="50"/>
      <c r="T11" s="50"/>
      <c r="U11" s="50"/>
      <c r="V11" s="50"/>
      <c r="W11" s="50"/>
      <c r="X11" s="50"/>
      <c r="Y11" s="50"/>
      <c r="Z11" s="50"/>
    </row>
    <row r="12" hidden="1">
      <c r="A12" s="50" t="str">
        <f>IFERROR(__xludf.DUMMYFUNCTION("""COMPUTED_VALUE"""),"Sales +")</f>
        <v>Sales +</v>
      </c>
      <c r="B12" s="50">
        <f>IFERROR(__xludf.DUMMYFUNCTION("""COMPUTED_VALUE"""),319.0)</f>
        <v>319</v>
      </c>
      <c r="C12" s="50">
        <f>IFERROR(__xludf.DUMMYFUNCTION("""COMPUTED_VALUE"""),312.0)</f>
        <v>312</v>
      </c>
      <c r="D12" s="50">
        <f>IFERROR(__xludf.DUMMYFUNCTION("""COMPUTED_VALUE"""),342.0)</f>
        <v>342</v>
      </c>
      <c r="E12" s="50">
        <f>IFERROR(__xludf.DUMMYFUNCTION("""COMPUTED_VALUE"""),297.0)</f>
        <v>297</v>
      </c>
      <c r="F12" s="50">
        <f>IFERROR(__xludf.DUMMYFUNCTION("""COMPUTED_VALUE"""),299.0)</f>
        <v>299</v>
      </c>
      <c r="G12" s="50">
        <f>IFERROR(__xludf.DUMMYFUNCTION("""COMPUTED_VALUE"""),276.0)</f>
        <v>276</v>
      </c>
      <c r="H12" s="50">
        <f>IFERROR(__xludf.DUMMYFUNCTION("""COMPUTED_VALUE"""),287.0)</f>
        <v>287</v>
      </c>
      <c r="I12" s="50">
        <f>IFERROR(__xludf.DUMMYFUNCTION("""COMPUTED_VALUE"""),299.0)</f>
        <v>299</v>
      </c>
      <c r="J12" s="50">
        <f>IFERROR(__xludf.DUMMYFUNCTION("""COMPUTED_VALUE"""),337.0)</f>
        <v>337</v>
      </c>
      <c r="K12" s="50">
        <f>IFERROR(__xludf.DUMMYFUNCTION("""COMPUTED_VALUE"""),386.0)</f>
        <v>386</v>
      </c>
      <c r="L12" s="50">
        <f>IFERROR(__xludf.DUMMYFUNCTION("""COMPUTED_VALUE"""),424.0)</f>
        <v>424</v>
      </c>
      <c r="M12" s="50">
        <f>IFERROR(__xludf.DUMMYFUNCTION("""COMPUTED_VALUE"""),407.0)</f>
        <v>407</v>
      </c>
      <c r="N12" s="50">
        <f>IFERROR(__xludf.DUMMYFUNCTION("""COMPUTED_VALUE"""),410.0)</f>
        <v>410</v>
      </c>
      <c r="O12" s="50"/>
      <c r="P12" s="50"/>
      <c r="Q12" s="50"/>
      <c r="R12" s="50"/>
      <c r="S12" s="50"/>
      <c r="T12" s="50"/>
      <c r="U12" s="50"/>
      <c r="V12" s="50"/>
      <c r="W12" s="50"/>
      <c r="X12" s="50"/>
      <c r="Y12" s="50"/>
      <c r="Z12" s="50"/>
    </row>
    <row r="13" hidden="1">
      <c r="A13" s="50" t="str">
        <f>IFERROR(__xludf.DUMMYFUNCTION("""COMPUTED_VALUE"""),"Expenses +")</f>
        <v>Expenses +</v>
      </c>
      <c r="B13" s="50">
        <f>IFERROR(__xludf.DUMMYFUNCTION("""COMPUTED_VALUE"""),290.0)</f>
        <v>290</v>
      </c>
      <c r="C13" s="50">
        <f>IFERROR(__xludf.DUMMYFUNCTION("""COMPUTED_VALUE"""),291.0)</f>
        <v>291</v>
      </c>
      <c r="D13" s="50">
        <f>IFERROR(__xludf.DUMMYFUNCTION("""COMPUTED_VALUE"""),331.0)</f>
        <v>331</v>
      </c>
      <c r="E13" s="50">
        <f>IFERROR(__xludf.DUMMYFUNCTION("""COMPUTED_VALUE"""),296.0)</f>
        <v>296</v>
      </c>
      <c r="F13" s="50">
        <f>IFERROR(__xludf.DUMMYFUNCTION("""COMPUTED_VALUE"""),295.0)</f>
        <v>295</v>
      </c>
      <c r="G13" s="50">
        <f>IFERROR(__xludf.DUMMYFUNCTION("""COMPUTED_VALUE"""),272.0)</f>
        <v>272</v>
      </c>
      <c r="H13" s="50">
        <f>IFERROR(__xludf.DUMMYFUNCTION("""COMPUTED_VALUE"""),267.0)</f>
        <v>267</v>
      </c>
      <c r="I13" s="50">
        <f>IFERROR(__xludf.DUMMYFUNCTION("""COMPUTED_VALUE"""),278.0)</f>
        <v>278</v>
      </c>
      <c r="J13" s="50">
        <f>IFERROR(__xludf.DUMMYFUNCTION("""COMPUTED_VALUE"""),310.0)</f>
        <v>310</v>
      </c>
      <c r="K13" s="50">
        <f>IFERROR(__xludf.DUMMYFUNCTION("""COMPUTED_VALUE"""),353.0)</f>
        <v>353</v>
      </c>
      <c r="L13" s="50">
        <f>IFERROR(__xludf.DUMMYFUNCTION("""COMPUTED_VALUE"""),389.0)</f>
        <v>389</v>
      </c>
      <c r="M13" s="50">
        <f>IFERROR(__xludf.DUMMYFUNCTION("""COMPUTED_VALUE"""),369.0)</f>
        <v>369</v>
      </c>
      <c r="N13" s="50">
        <f>IFERROR(__xludf.DUMMYFUNCTION("""COMPUTED_VALUE"""),374.0)</f>
        <v>374</v>
      </c>
      <c r="O13" s="50"/>
      <c r="P13" s="50"/>
      <c r="Q13" s="50"/>
      <c r="R13" s="50"/>
      <c r="S13" s="50"/>
      <c r="T13" s="50"/>
      <c r="U13" s="50"/>
      <c r="V13" s="50"/>
      <c r="W13" s="50"/>
      <c r="X13" s="50"/>
      <c r="Y13" s="50"/>
      <c r="Z13" s="50"/>
    </row>
    <row r="14" hidden="1">
      <c r="A14" s="50" t="str">
        <f>IFERROR(__xludf.DUMMYFUNCTION("""COMPUTED_VALUE"""),"Operating Profit")</f>
        <v>Operating Profit</v>
      </c>
      <c r="B14" s="50">
        <f>IFERROR(__xludf.DUMMYFUNCTION("""COMPUTED_VALUE"""),29.0)</f>
        <v>29</v>
      </c>
      <c r="C14" s="50">
        <f>IFERROR(__xludf.DUMMYFUNCTION("""COMPUTED_VALUE"""),21.0)</f>
        <v>21</v>
      </c>
      <c r="D14" s="50">
        <f>IFERROR(__xludf.DUMMYFUNCTION("""COMPUTED_VALUE"""),11.0)</f>
        <v>11</v>
      </c>
      <c r="E14" s="50">
        <f>IFERROR(__xludf.DUMMYFUNCTION("""COMPUTED_VALUE"""),1.0)</f>
        <v>1</v>
      </c>
      <c r="F14" s="50">
        <f>IFERROR(__xludf.DUMMYFUNCTION("""COMPUTED_VALUE"""),4.0)</f>
        <v>4</v>
      </c>
      <c r="G14" s="50">
        <f>IFERROR(__xludf.DUMMYFUNCTION("""COMPUTED_VALUE"""),4.0)</f>
        <v>4</v>
      </c>
      <c r="H14" s="50">
        <f>IFERROR(__xludf.DUMMYFUNCTION("""COMPUTED_VALUE"""),20.0)</f>
        <v>20</v>
      </c>
      <c r="I14" s="50">
        <f>IFERROR(__xludf.DUMMYFUNCTION("""COMPUTED_VALUE"""),21.0)</f>
        <v>21</v>
      </c>
      <c r="J14" s="50">
        <f>IFERROR(__xludf.DUMMYFUNCTION("""COMPUTED_VALUE"""),27.0)</f>
        <v>27</v>
      </c>
      <c r="K14" s="50">
        <f>IFERROR(__xludf.DUMMYFUNCTION("""COMPUTED_VALUE"""),32.0)</f>
        <v>32</v>
      </c>
      <c r="L14" s="50">
        <f>IFERROR(__xludf.DUMMYFUNCTION("""COMPUTED_VALUE"""),35.0)</f>
        <v>35</v>
      </c>
      <c r="M14" s="50">
        <f>IFERROR(__xludf.DUMMYFUNCTION("""COMPUTED_VALUE"""),38.0)</f>
        <v>38</v>
      </c>
      <c r="N14" s="50">
        <f>IFERROR(__xludf.DUMMYFUNCTION("""COMPUTED_VALUE"""),36.0)</f>
        <v>36</v>
      </c>
      <c r="O14" s="50"/>
      <c r="P14" s="50"/>
      <c r="Q14" s="50"/>
      <c r="R14" s="50"/>
      <c r="S14" s="50"/>
      <c r="T14" s="50"/>
      <c r="U14" s="50"/>
      <c r="V14" s="50"/>
      <c r="W14" s="50"/>
      <c r="X14" s="50"/>
      <c r="Y14" s="50"/>
      <c r="Z14" s="50"/>
    </row>
    <row r="15" hidden="1">
      <c r="A15" s="50" t="str">
        <f>IFERROR(__xludf.DUMMYFUNCTION("""COMPUTED_VALUE"""),"OPM %")</f>
        <v>OPM %</v>
      </c>
      <c r="B15" s="50">
        <f>IFERROR(__xludf.DUMMYFUNCTION("""COMPUTED_VALUE"""),0.09)</f>
        <v>0.09</v>
      </c>
      <c r="C15" s="50">
        <f>IFERROR(__xludf.DUMMYFUNCTION("""COMPUTED_VALUE"""),0.07)</f>
        <v>0.07</v>
      </c>
      <c r="D15" s="50">
        <f>IFERROR(__xludf.DUMMYFUNCTION("""COMPUTED_VALUE"""),0.032)</f>
        <v>0.032</v>
      </c>
      <c r="E15" s="50">
        <f>IFERROR(__xludf.DUMMYFUNCTION("""COMPUTED_VALUE"""),0.004)</f>
        <v>0.004</v>
      </c>
      <c r="F15" s="50">
        <f>IFERROR(__xludf.DUMMYFUNCTION("""COMPUTED_VALUE"""),0.015)</f>
        <v>0.015</v>
      </c>
      <c r="G15" s="50">
        <f>IFERROR(__xludf.DUMMYFUNCTION("""COMPUTED_VALUE"""),0.016)</f>
        <v>0.016</v>
      </c>
      <c r="H15" s="50">
        <f>IFERROR(__xludf.DUMMYFUNCTION("""COMPUTED_VALUE"""),0.07)</f>
        <v>0.07</v>
      </c>
      <c r="I15" s="50">
        <f>IFERROR(__xludf.DUMMYFUNCTION("""COMPUTED_VALUE"""),0.07)</f>
        <v>0.07</v>
      </c>
      <c r="J15" s="50">
        <f>IFERROR(__xludf.DUMMYFUNCTION("""COMPUTED_VALUE"""),0.08)</f>
        <v>0.08</v>
      </c>
      <c r="K15" s="50">
        <f>IFERROR(__xludf.DUMMYFUNCTION("""COMPUTED_VALUE"""),0.08)</f>
        <v>0.08</v>
      </c>
      <c r="L15" s="50">
        <f>IFERROR(__xludf.DUMMYFUNCTION("""COMPUTED_VALUE"""),0.08)</f>
        <v>0.08</v>
      </c>
      <c r="M15" s="50">
        <f>IFERROR(__xludf.DUMMYFUNCTION("""COMPUTED_VALUE"""),0.09)</f>
        <v>0.09</v>
      </c>
      <c r="N15" s="50">
        <f>IFERROR(__xludf.DUMMYFUNCTION("""COMPUTED_VALUE"""),0.09)</f>
        <v>0.09</v>
      </c>
      <c r="O15" s="50"/>
      <c r="P15" s="50"/>
      <c r="Q15" s="50"/>
      <c r="R15" s="50"/>
      <c r="S15" s="50"/>
      <c r="T15" s="50"/>
      <c r="U15" s="50"/>
      <c r="V15" s="50"/>
      <c r="W15" s="50"/>
      <c r="X15" s="50"/>
      <c r="Y15" s="50"/>
      <c r="Z15" s="50"/>
    </row>
    <row r="16" hidden="1">
      <c r="A16" s="50" t="str">
        <f>IFERROR(__xludf.DUMMYFUNCTION("""COMPUTED_VALUE"""),"Other Income +")</f>
        <v>Other Income +</v>
      </c>
      <c r="B16" s="50">
        <f>IFERROR(__xludf.DUMMYFUNCTION("""COMPUTED_VALUE"""),1.0)</f>
        <v>1</v>
      </c>
      <c r="C16" s="50">
        <f>IFERROR(__xludf.DUMMYFUNCTION("""COMPUTED_VALUE"""),2.0)</f>
        <v>2</v>
      </c>
      <c r="D16" s="50">
        <f>IFERROR(__xludf.DUMMYFUNCTION("""COMPUTED_VALUE"""),3.0)</f>
        <v>3</v>
      </c>
      <c r="E16" s="50">
        <f>IFERROR(__xludf.DUMMYFUNCTION("""COMPUTED_VALUE"""),0.0)</f>
        <v>0</v>
      </c>
      <c r="F16" s="50">
        <f>IFERROR(__xludf.DUMMYFUNCTION("""COMPUTED_VALUE"""),3.0)</f>
        <v>3</v>
      </c>
      <c r="G16" s="50">
        <f>IFERROR(__xludf.DUMMYFUNCTION("""COMPUTED_VALUE"""),-59.0)</f>
        <v>-59</v>
      </c>
      <c r="H16" s="50">
        <f>IFERROR(__xludf.DUMMYFUNCTION("""COMPUTED_VALUE"""),5.0)</f>
        <v>5</v>
      </c>
      <c r="I16" s="50">
        <f>IFERROR(__xludf.DUMMYFUNCTION("""COMPUTED_VALUE"""),23.0)</f>
        <v>23</v>
      </c>
      <c r="J16" s="50">
        <f>IFERROR(__xludf.DUMMYFUNCTION("""COMPUTED_VALUE"""),4.0)</f>
        <v>4</v>
      </c>
      <c r="K16" s="50">
        <f>IFERROR(__xludf.DUMMYFUNCTION("""COMPUTED_VALUE"""),6.0)</f>
        <v>6</v>
      </c>
      <c r="L16" s="50">
        <f>IFERROR(__xludf.DUMMYFUNCTION("""COMPUTED_VALUE"""),6.0)</f>
        <v>6</v>
      </c>
      <c r="M16" s="50">
        <f>IFERROR(__xludf.DUMMYFUNCTION("""COMPUTED_VALUE"""),7.0)</f>
        <v>7</v>
      </c>
      <c r="N16" s="50">
        <f>IFERROR(__xludf.DUMMYFUNCTION("""COMPUTED_VALUE"""),7.0)</f>
        <v>7</v>
      </c>
      <c r="O16" s="50"/>
      <c r="P16" s="50"/>
      <c r="Q16" s="50"/>
      <c r="R16" s="50"/>
      <c r="S16" s="50"/>
      <c r="T16" s="50"/>
      <c r="U16" s="50"/>
      <c r="V16" s="50"/>
      <c r="W16" s="50"/>
      <c r="X16" s="50"/>
      <c r="Y16" s="50"/>
      <c r="Z16" s="50"/>
    </row>
    <row r="17" hidden="1">
      <c r="A17" s="50" t="str">
        <f>IFERROR(__xludf.DUMMYFUNCTION("""COMPUTED_VALUE"""),"Interest")</f>
        <v>Interest</v>
      </c>
      <c r="B17" s="50">
        <f>IFERROR(__xludf.DUMMYFUNCTION("""COMPUTED_VALUE"""),0.0)</f>
        <v>0</v>
      </c>
      <c r="C17" s="50">
        <f>IFERROR(__xludf.DUMMYFUNCTION("""COMPUTED_VALUE"""),0.0)</f>
        <v>0</v>
      </c>
      <c r="D17" s="50">
        <f>IFERROR(__xludf.DUMMYFUNCTION("""COMPUTED_VALUE"""),0.0)</f>
        <v>0</v>
      </c>
      <c r="E17" s="50">
        <f>IFERROR(__xludf.DUMMYFUNCTION("""COMPUTED_VALUE"""),1.0)</f>
        <v>1</v>
      </c>
      <c r="F17" s="50">
        <f>IFERROR(__xludf.DUMMYFUNCTION("""COMPUTED_VALUE"""),1.0)</f>
        <v>1</v>
      </c>
      <c r="G17" s="50">
        <f>IFERROR(__xludf.DUMMYFUNCTION("""COMPUTED_VALUE"""),2.0)</f>
        <v>2</v>
      </c>
      <c r="H17" s="50">
        <f>IFERROR(__xludf.DUMMYFUNCTION("""COMPUTED_VALUE"""),2.0)</f>
        <v>2</v>
      </c>
      <c r="I17" s="50">
        <f>IFERROR(__xludf.DUMMYFUNCTION("""COMPUTED_VALUE"""),1.0)</f>
        <v>1</v>
      </c>
      <c r="J17" s="50">
        <f>IFERROR(__xludf.DUMMYFUNCTION("""COMPUTED_VALUE"""),1.0)</f>
        <v>1</v>
      </c>
      <c r="K17" s="50">
        <f>IFERROR(__xludf.DUMMYFUNCTION("""COMPUTED_VALUE"""),1.0)</f>
        <v>1</v>
      </c>
      <c r="L17" s="50">
        <f>IFERROR(__xludf.DUMMYFUNCTION("""COMPUTED_VALUE"""),1.0)</f>
        <v>1</v>
      </c>
      <c r="M17" s="50">
        <f>IFERROR(__xludf.DUMMYFUNCTION("""COMPUTED_VALUE"""),1.0)</f>
        <v>1</v>
      </c>
      <c r="N17" s="50">
        <f>IFERROR(__xludf.DUMMYFUNCTION("""COMPUTED_VALUE"""),1.0)</f>
        <v>1</v>
      </c>
      <c r="O17" s="50"/>
      <c r="P17" s="50"/>
      <c r="Q17" s="50"/>
      <c r="R17" s="50"/>
      <c r="S17" s="50"/>
      <c r="T17" s="50"/>
      <c r="U17" s="50"/>
      <c r="V17" s="50"/>
      <c r="W17" s="50"/>
      <c r="X17" s="50"/>
      <c r="Y17" s="50"/>
      <c r="Z17" s="50"/>
    </row>
    <row r="18" hidden="1">
      <c r="A18" s="50" t="str">
        <f>IFERROR(__xludf.DUMMYFUNCTION("""COMPUTED_VALUE"""),"Depreciation")</f>
        <v>Depreciation</v>
      </c>
      <c r="B18" s="50">
        <f>IFERROR(__xludf.DUMMYFUNCTION("""COMPUTED_VALUE"""),2.0)</f>
        <v>2</v>
      </c>
      <c r="C18" s="50">
        <f>IFERROR(__xludf.DUMMYFUNCTION("""COMPUTED_VALUE"""),2.0)</f>
        <v>2</v>
      </c>
      <c r="D18" s="50">
        <f>IFERROR(__xludf.DUMMYFUNCTION("""COMPUTED_VALUE"""),2.0)</f>
        <v>2</v>
      </c>
      <c r="E18" s="50">
        <f>IFERROR(__xludf.DUMMYFUNCTION("""COMPUTED_VALUE"""),1.0)</f>
        <v>1</v>
      </c>
      <c r="F18" s="50">
        <f>IFERROR(__xludf.DUMMYFUNCTION("""COMPUTED_VALUE"""),2.0)</f>
        <v>2</v>
      </c>
      <c r="G18" s="50">
        <f>IFERROR(__xludf.DUMMYFUNCTION("""COMPUTED_VALUE"""),7.0)</f>
        <v>7</v>
      </c>
      <c r="H18" s="50">
        <f>IFERROR(__xludf.DUMMYFUNCTION("""COMPUTED_VALUE"""),6.0)</f>
        <v>6</v>
      </c>
      <c r="I18" s="50">
        <f>IFERROR(__xludf.DUMMYFUNCTION("""COMPUTED_VALUE"""),5.0)</f>
        <v>5</v>
      </c>
      <c r="J18" s="50">
        <f>IFERROR(__xludf.DUMMYFUNCTION("""COMPUTED_VALUE"""),5.0)</f>
        <v>5</v>
      </c>
      <c r="K18" s="50">
        <f>IFERROR(__xludf.DUMMYFUNCTION("""COMPUTED_VALUE"""),4.0)</f>
        <v>4</v>
      </c>
      <c r="L18" s="50">
        <f>IFERROR(__xludf.DUMMYFUNCTION("""COMPUTED_VALUE"""),5.0)</f>
        <v>5</v>
      </c>
      <c r="M18" s="50">
        <f>IFERROR(__xludf.DUMMYFUNCTION("""COMPUTED_VALUE"""),5.0)</f>
        <v>5</v>
      </c>
      <c r="N18" s="50">
        <f>IFERROR(__xludf.DUMMYFUNCTION("""COMPUTED_VALUE"""),5.0)</f>
        <v>5</v>
      </c>
      <c r="O18" s="50"/>
      <c r="P18" s="50"/>
      <c r="Q18" s="50"/>
      <c r="R18" s="50"/>
      <c r="S18" s="50"/>
      <c r="T18" s="50"/>
      <c r="U18" s="50"/>
      <c r="V18" s="50"/>
      <c r="W18" s="50"/>
      <c r="X18" s="50"/>
      <c r="Y18" s="50"/>
      <c r="Z18" s="50"/>
    </row>
    <row r="19" hidden="1">
      <c r="A19" s="50" t="str">
        <f>IFERROR(__xludf.DUMMYFUNCTION("""COMPUTED_VALUE"""),"Profit before tax")</f>
        <v>Profit before tax</v>
      </c>
      <c r="B19" s="50">
        <f>IFERROR(__xludf.DUMMYFUNCTION("""COMPUTED_VALUE"""),28.0)</f>
        <v>28</v>
      </c>
      <c r="C19" s="50">
        <f>IFERROR(__xludf.DUMMYFUNCTION("""COMPUTED_VALUE"""),21.0)</f>
        <v>21</v>
      </c>
      <c r="D19" s="50">
        <f>IFERROR(__xludf.DUMMYFUNCTION("""COMPUTED_VALUE"""),11.0)</f>
        <v>11</v>
      </c>
      <c r="E19" s="50">
        <f>IFERROR(__xludf.DUMMYFUNCTION("""COMPUTED_VALUE"""),0.0)</f>
        <v>0</v>
      </c>
      <c r="F19" s="50">
        <f>IFERROR(__xludf.DUMMYFUNCTION("""COMPUTED_VALUE"""),4.0)</f>
        <v>4</v>
      </c>
      <c r="G19" s="50">
        <f>IFERROR(__xludf.DUMMYFUNCTION("""COMPUTED_VALUE"""),-64.0)</f>
        <v>-64</v>
      </c>
      <c r="H19" s="50">
        <f>IFERROR(__xludf.DUMMYFUNCTION("""COMPUTED_VALUE"""),16.0)</f>
        <v>16</v>
      </c>
      <c r="I19" s="50">
        <f>IFERROR(__xludf.DUMMYFUNCTION("""COMPUTED_VALUE"""),38.0)</f>
        <v>38</v>
      </c>
      <c r="J19" s="50">
        <f>IFERROR(__xludf.DUMMYFUNCTION("""COMPUTED_VALUE"""),26.0)</f>
        <v>26</v>
      </c>
      <c r="K19" s="50">
        <f>IFERROR(__xludf.DUMMYFUNCTION("""COMPUTED_VALUE"""),34.0)</f>
        <v>34</v>
      </c>
      <c r="L19" s="50">
        <f>IFERROR(__xludf.DUMMYFUNCTION("""COMPUTED_VALUE"""),35.0)</f>
        <v>35</v>
      </c>
      <c r="M19" s="50">
        <f>IFERROR(__xludf.DUMMYFUNCTION("""COMPUTED_VALUE"""),39.0)</f>
        <v>39</v>
      </c>
      <c r="N19" s="50">
        <f>IFERROR(__xludf.DUMMYFUNCTION("""COMPUTED_VALUE"""),38.0)</f>
        <v>38</v>
      </c>
      <c r="O19" s="50"/>
      <c r="P19" s="50"/>
      <c r="Q19" s="50"/>
      <c r="R19" s="50"/>
      <c r="S19" s="50"/>
      <c r="T19" s="50"/>
      <c r="U19" s="50"/>
      <c r="V19" s="50"/>
      <c r="W19" s="50"/>
      <c r="X19" s="50"/>
      <c r="Y19" s="50"/>
      <c r="Z19" s="50"/>
    </row>
    <row r="20" hidden="1">
      <c r="A20" s="50" t="str">
        <f>IFERROR(__xludf.DUMMYFUNCTION("""COMPUTED_VALUE"""),"Tax %")</f>
        <v>Tax %</v>
      </c>
      <c r="B20" s="50">
        <f>IFERROR(__xludf.DUMMYFUNCTION("""COMPUTED_VALUE"""),0.31)</f>
        <v>0.31</v>
      </c>
      <c r="C20" s="50">
        <f>IFERROR(__xludf.DUMMYFUNCTION("""COMPUTED_VALUE"""),-0.25)</f>
        <v>-0.25</v>
      </c>
      <c r="D20" s="50">
        <f>IFERROR(__xludf.DUMMYFUNCTION("""COMPUTED_VALUE"""),0.19)</f>
        <v>0.19</v>
      </c>
      <c r="E20" s="50">
        <f>IFERROR(__xludf.DUMMYFUNCTION("""COMPUTED_VALUE"""),46.08)</f>
        <v>46.08</v>
      </c>
      <c r="F20" s="50">
        <f>IFERROR(__xludf.DUMMYFUNCTION("""COMPUTED_VALUE"""),0.37)</f>
        <v>0.37</v>
      </c>
      <c r="G20" s="50">
        <f>IFERROR(__xludf.DUMMYFUNCTION("""COMPUTED_VALUE"""),0.01)</f>
        <v>0.01</v>
      </c>
      <c r="H20" s="50">
        <f>IFERROR(__xludf.DUMMYFUNCTION("""COMPUTED_VALUE"""),0.33)</f>
        <v>0.33</v>
      </c>
      <c r="I20" s="50">
        <f>IFERROR(__xludf.DUMMYFUNCTION("""COMPUTED_VALUE"""),0.13)</f>
        <v>0.13</v>
      </c>
      <c r="J20" s="50">
        <f>IFERROR(__xludf.DUMMYFUNCTION("""COMPUTED_VALUE"""),0.2)</f>
        <v>0.2</v>
      </c>
      <c r="K20" s="50">
        <f>IFERROR(__xludf.DUMMYFUNCTION("""COMPUTED_VALUE"""),0.19)</f>
        <v>0.19</v>
      </c>
      <c r="L20" s="50">
        <f>IFERROR(__xludf.DUMMYFUNCTION("""COMPUTED_VALUE"""),0.19)</f>
        <v>0.19</v>
      </c>
      <c r="M20" s="50">
        <f>IFERROR(__xludf.DUMMYFUNCTION("""COMPUTED_VALUE"""),0.19)</f>
        <v>0.19</v>
      </c>
      <c r="N20" s="50"/>
      <c r="O20" s="50"/>
      <c r="P20" s="50"/>
      <c r="Q20" s="50"/>
      <c r="R20" s="50"/>
      <c r="S20" s="50"/>
      <c r="T20" s="50"/>
      <c r="U20" s="50"/>
      <c r="V20" s="50"/>
      <c r="W20" s="50"/>
      <c r="X20" s="50"/>
      <c r="Y20" s="50"/>
      <c r="Z20" s="50"/>
    </row>
    <row r="21" hidden="1">
      <c r="A21" s="50" t="str">
        <f>IFERROR(__xludf.DUMMYFUNCTION("""COMPUTED_VALUE"""),"Net Profit +")</f>
        <v>Net Profit +</v>
      </c>
      <c r="B21" s="50">
        <f>IFERROR(__xludf.DUMMYFUNCTION("""COMPUTED_VALUE"""),19.0)</f>
        <v>19</v>
      </c>
      <c r="C21" s="50">
        <f>IFERROR(__xludf.DUMMYFUNCTION("""COMPUTED_VALUE"""),26.0)</f>
        <v>26</v>
      </c>
      <c r="D21" s="50">
        <f>IFERROR(__xludf.DUMMYFUNCTION("""COMPUTED_VALUE"""),9.0)</f>
        <v>9</v>
      </c>
      <c r="E21" s="50">
        <f>IFERROR(__xludf.DUMMYFUNCTION("""COMPUTED_VALUE"""),-6.0)</f>
        <v>-6</v>
      </c>
      <c r="F21" s="50">
        <f>IFERROR(__xludf.DUMMYFUNCTION("""COMPUTED_VALUE"""),3.0)</f>
        <v>3</v>
      </c>
      <c r="G21" s="50">
        <f>IFERROR(__xludf.DUMMYFUNCTION("""COMPUTED_VALUE"""),-65.0)</f>
        <v>-65</v>
      </c>
      <c r="H21" s="50">
        <f>IFERROR(__xludf.DUMMYFUNCTION("""COMPUTED_VALUE"""),11.0)</f>
        <v>11</v>
      </c>
      <c r="I21" s="50">
        <f>IFERROR(__xludf.DUMMYFUNCTION("""COMPUTED_VALUE"""),33.0)</f>
        <v>33</v>
      </c>
      <c r="J21" s="50">
        <f>IFERROR(__xludf.DUMMYFUNCTION("""COMPUTED_VALUE"""),21.0)</f>
        <v>21</v>
      </c>
      <c r="K21" s="50">
        <f>IFERROR(__xludf.DUMMYFUNCTION("""COMPUTED_VALUE"""),27.0)</f>
        <v>27</v>
      </c>
      <c r="L21" s="50">
        <f>IFERROR(__xludf.DUMMYFUNCTION("""COMPUTED_VALUE"""),29.0)</f>
        <v>29</v>
      </c>
      <c r="M21" s="50">
        <f>IFERROR(__xludf.DUMMYFUNCTION("""COMPUTED_VALUE"""),32.0)</f>
        <v>32</v>
      </c>
      <c r="N21" s="50">
        <f>IFERROR(__xludf.DUMMYFUNCTION("""COMPUTED_VALUE"""),31.0)</f>
        <v>31</v>
      </c>
      <c r="O21" s="50"/>
      <c r="P21" s="50"/>
      <c r="Q21" s="50"/>
      <c r="R21" s="50"/>
      <c r="S21" s="50"/>
      <c r="T21" s="50"/>
      <c r="U21" s="50"/>
      <c r="V21" s="50"/>
      <c r="W21" s="50"/>
      <c r="X21" s="50"/>
      <c r="Y21" s="50"/>
      <c r="Z21" s="50"/>
    </row>
    <row r="22" hidden="1">
      <c r="A22" s="50" t="str">
        <f>IFERROR(__xludf.DUMMYFUNCTION("""COMPUTED_VALUE"""),"EPS in Rs")</f>
        <v>EPS in Rs</v>
      </c>
      <c r="B22" s="50">
        <f>IFERROR(__xludf.DUMMYFUNCTION("""COMPUTED_VALUE"""),6.13)</f>
        <v>6.13</v>
      </c>
      <c r="C22" s="50">
        <f>IFERROR(__xludf.DUMMYFUNCTION("""COMPUTED_VALUE"""),8.23)</f>
        <v>8.23</v>
      </c>
      <c r="D22" s="50">
        <f>IFERROR(__xludf.DUMMYFUNCTION("""COMPUTED_VALUE"""),2.93)</f>
        <v>2.93</v>
      </c>
      <c r="E22" s="50">
        <f>IFERROR(__xludf.DUMMYFUNCTION("""COMPUTED_VALUE"""),-1.77)</f>
        <v>-1.77</v>
      </c>
      <c r="F22" s="50">
        <f>IFERROR(__xludf.DUMMYFUNCTION("""COMPUTED_VALUE"""),0.86)</f>
        <v>0.86</v>
      </c>
      <c r="G22" s="50">
        <f>IFERROR(__xludf.DUMMYFUNCTION("""COMPUTED_VALUE"""),-20.25)</f>
        <v>-20.25</v>
      </c>
      <c r="H22" s="50">
        <f>IFERROR(__xludf.DUMMYFUNCTION("""COMPUTED_VALUE"""),3.39)</f>
        <v>3.39</v>
      </c>
      <c r="I22" s="50">
        <f>IFERROR(__xludf.DUMMYFUNCTION("""COMPUTED_VALUE"""),10.38)</f>
        <v>10.38</v>
      </c>
      <c r="J22" s="50">
        <f>IFERROR(__xludf.DUMMYFUNCTION("""COMPUTED_VALUE"""),6.57)</f>
        <v>6.57</v>
      </c>
      <c r="K22" s="50">
        <f>IFERROR(__xludf.DUMMYFUNCTION("""COMPUTED_VALUE"""),8.62)</f>
        <v>8.62</v>
      </c>
      <c r="L22" s="50">
        <f>IFERROR(__xludf.DUMMYFUNCTION("""COMPUTED_VALUE"""),8.99)</f>
        <v>8.99</v>
      </c>
      <c r="M22" s="50">
        <f>IFERROR(__xludf.DUMMYFUNCTION("""COMPUTED_VALUE"""),9.86)</f>
        <v>9.86</v>
      </c>
      <c r="N22" s="50">
        <f>IFERROR(__xludf.DUMMYFUNCTION("""COMPUTED_VALUE"""),9.75)</f>
        <v>9.75</v>
      </c>
      <c r="O22" s="50"/>
      <c r="P22" s="50"/>
      <c r="Q22" s="50"/>
      <c r="R22" s="50"/>
      <c r="S22" s="50"/>
      <c r="T22" s="50"/>
      <c r="U22" s="50"/>
      <c r="V22" s="50"/>
      <c r="W22" s="50"/>
      <c r="X22" s="50"/>
      <c r="Y22" s="50"/>
      <c r="Z22" s="50"/>
    </row>
    <row r="23" hidden="1">
      <c r="A23" s="50" t="str">
        <f>IFERROR(__xludf.DUMMYFUNCTION("""COMPUTED_VALUE"""),"Dividend Payout %")</f>
        <v>Dividend Payout %</v>
      </c>
      <c r="B23" s="50">
        <f>IFERROR(__xludf.DUMMYFUNCTION("""COMPUTED_VALUE"""),0.13)</f>
        <v>0.13</v>
      </c>
      <c r="C23" s="50">
        <f>IFERROR(__xludf.DUMMYFUNCTION("""COMPUTED_VALUE"""),0.1)</f>
        <v>0.1</v>
      </c>
      <c r="D23" s="50">
        <f>IFERROR(__xludf.DUMMYFUNCTION("""COMPUTED_VALUE"""),0.27)</f>
        <v>0.27</v>
      </c>
      <c r="E23" s="50">
        <f>IFERROR(__xludf.DUMMYFUNCTION("""COMPUTED_VALUE"""),-0.45)</f>
        <v>-0.45</v>
      </c>
      <c r="F23" s="50">
        <f>IFERROR(__xludf.DUMMYFUNCTION("""COMPUTED_VALUE"""),0.92)</f>
        <v>0.92</v>
      </c>
      <c r="G23" s="50">
        <f>IFERROR(__xludf.DUMMYFUNCTION("""COMPUTED_VALUE"""),0.0)</f>
        <v>0</v>
      </c>
      <c r="H23" s="50">
        <f>IFERROR(__xludf.DUMMYFUNCTION("""COMPUTED_VALUE"""),0.0)</f>
        <v>0</v>
      </c>
      <c r="I23" s="50">
        <f>IFERROR(__xludf.DUMMYFUNCTION("""COMPUTED_VALUE"""),0.08)</f>
        <v>0.08</v>
      </c>
      <c r="J23" s="50">
        <f>IFERROR(__xludf.DUMMYFUNCTION("""COMPUTED_VALUE"""),0.12)</f>
        <v>0.12</v>
      </c>
      <c r="K23" s="50">
        <f>IFERROR(__xludf.DUMMYFUNCTION("""COMPUTED_VALUE"""),0.09)</f>
        <v>0.09</v>
      </c>
      <c r="L23" s="50">
        <f>IFERROR(__xludf.DUMMYFUNCTION("""COMPUTED_VALUE"""),0.11)</f>
        <v>0.11</v>
      </c>
      <c r="M23" s="50">
        <f>IFERROR(__xludf.DUMMYFUNCTION("""COMPUTED_VALUE"""),0.1)</f>
        <v>0.1</v>
      </c>
      <c r="N23" s="50"/>
      <c r="O23" s="50"/>
      <c r="P23" s="50"/>
      <c r="Q23" s="50"/>
      <c r="R23" s="50"/>
      <c r="S23" s="50"/>
      <c r="T23" s="50"/>
      <c r="U23" s="50"/>
      <c r="V23" s="50"/>
      <c r="W23" s="50"/>
      <c r="X23" s="50"/>
      <c r="Y23" s="50"/>
      <c r="Z23" s="50"/>
    </row>
    <row r="24" hidden="1">
      <c r="A24" s="3"/>
      <c r="B24" s="3"/>
      <c r="C24" s="3"/>
      <c r="D24" s="3"/>
      <c r="E24" s="3"/>
      <c r="F24" s="3"/>
      <c r="G24" s="3"/>
      <c r="H24" s="3"/>
      <c r="I24" s="3"/>
      <c r="J24" s="3"/>
      <c r="K24" s="3"/>
      <c r="L24" s="3"/>
      <c r="M24" s="3"/>
      <c r="N24" s="3"/>
      <c r="O24" s="3"/>
      <c r="P24" s="3"/>
      <c r="Q24" s="3"/>
      <c r="R24" s="3"/>
      <c r="S24" s="3"/>
      <c r="T24" s="3"/>
      <c r="U24" s="3"/>
      <c r="V24" s="3"/>
      <c r="W24" s="3"/>
      <c r="X24" s="3"/>
      <c r="Y24" s="3"/>
      <c r="Z24" s="3"/>
    </row>
    <row r="25" hidden="1">
      <c r="A25" s="4" t="s">
        <v>90</v>
      </c>
      <c r="B25" s="28" t="str">
        <f t="array" ref="B25">INDEX(30:30, 1, MAX(IF(30:30&lt;&gt;"", COLUMN(30:30)-1, 0)))</f>
        <v>Mar 2026</v>
      </c>
      <c r="C25" s="15" t="str">
        <f t="array" ref="C25">trim(INDEX(30:30, 1, MAX(IF(30:30&lt;&gt;"", COLUMN(30:30), 0))))</f>
        <v>TTM</v>
      </c>
      <c r="D25" s="4" t="s">
        <v>115</v>
      </c>
      <c r="E25" s="4" t="s">
        <v>118</v>
      </c>
      <c r="F25" s="4" t="s">
        <v>119</v>
      </c>
      <c r="G25" s="3"/>
      <c r="H25" s="3"/>
      <c r="I25" s="3"/>
      <c r="J25" s="3"/>
      <c r="K25" s="3"/>
      <c r="L25" s="3"/>
      <c r="M25" s="3"/>
      <c r="N25" s="3"/>
      <c r="O25" s="3"/>
      <c r="P25" s="3"/>
      <c r="Q25" s="3"/>
      <c r="R25" s="3"/>
      <c r="S25" s="3"/>
      <c r="T25" s="3"/>
      <c r="U25" s="3"/>
      <c r="V25" s="3"/>
      <c r="W25" s="3"/>
      <c r="X25" s="3"/>
      <c r="Y25" s="3"/>
      <c r="Z25" s="3"/>
    </row>
    <row r="26" hidden="1">
      <c r="A26" s="2" t="s">
        <v>125</v>
      </c>
      <c r="B26" s="28">
        <f t="array" ref="B26">INDEX(INDIRECT(D29 &amp; ":" &amp; D29), 1, MAX(IF(INDIRECT(D29 &amp; ":" &amp; D29)&lt;&gt;"", COLUMN(INDIRECT(D29 &amp; ":" &amp; D29))-1, 0)))</f>
        <v>3</v>
      </c>
      <c r="C26" s="28">
        <f t="array" ref="C26">INDEX(INDIRECT(D29 &amp; ":" &amp; D29), 1, MAX(IF(INDIRECT(D29 &amp; ":" &amp; D29)&lt;&gt;"", COLUMN(INDIRECT(D29 &amp; ":" &amp; D29)), 0)))</f>
        <v>3</v>
      </c>
      <c r="D26" s="28">
        <f t="shared" ref="D26:D28" si="2">IF($C$25="TTM", B26,C26)</f>
        <v>3</v>
      </c>
      <c r="E26" s="28">
        <f>IF(D26&lt;=0,D27,D26)</f>
        <v>3</v>
      </c>
      <c r="F26" s="3">
        <f>E26/D28*100</f>
        <v>2</v>
      </c>
      <c r="G26" s="3"/>
      <c r="H26" s="3"/>
      <c r="I26" s="3"/>
      <c r="J26" s="3"/>
      <c r="K26" s="3"/>
      <c r="L26" s="3"/>
      <c r="M26" s="3"/>
      <c r="N26" s="3"/>
      <c r="O26" s="3"/>
      <c r="P26" s="3"/>
      <c r="Q26" s="3"/>
      <c r="R26" s="3"/>
      <c r="S26" s="3"/>
      <c r="T26" s="3"/>
      <c r="U26" s="3"/>
      <c r="V26" s="3"/>
      <c r="W26" s="3"/>
      <c r="X26" s="3"/>
      <c r="Y26" s="3"/>
      <c r="Z26" s="3"/>
    </row>
    <row r="27" hidden="1">
      <c r="A27" s="2" t="s">
        <v>183</v>
      </c>
      <c r="B27" s="28">
        <f t="array" ref="B27">INDEX(INDIRECT(C29 &amp; ":" &amp; C29), 1, MAX(IF(INDIRECT(C29 &amp; ":" &amp; C29)&lt;&gt;"", COLUMN(INDIRECT(C29 &amp; ":" &amp; C29))-1, 0)))</f>
        <v>1</v>
      </c>
      <c r="C27" s="28">
        <f t="array" ref="C27">INDEX(INDIRECT(C29 &amp; ":" &amp; C29), 1, MAX(IF(INDIRECT(C29 &amp; ":" &amp; C29)&lt;&gt;"", COLUMN(INDIRECT(C29 &amp; ":" &amp; C29)), 0)))</f>
        <v>0</v>
      </c>
      <c r="D27" s="28">
        <f t="shared" si="2"/>
        <v>1</v>
      </c>
      <c r="E27" s="3"/>
      <c r="F27" s="3"/>
      <c r="G27" s="3"/>
      <c r="H27" s="3"/>
      <c r="I27" s="3"/>
      <c r="J27" s="3"/>
      <c r="K27" s="3"/>
      <c r="L27" s="3"/>
      <c r="M27" s="3"/>
      <c r="N27" s="3"/>
      <c r="O27" s="3"/>
      <c r="P27" s="3"/>
      <c r="Q27" s="3"/>
      <c r="R27" s="3"/>
      <c r="S27" s="3"/>
      <c r="T27" s="3"/>
      <c r="U27" s="3"/>
      <c r="V27" s="3"/>
      <c r="W27" s="3"/>
      <c r="X27" s="3"/>
      <c r="Y27" s="3"/>
      <c r="Z27" s="3"/>
    </row>
    <row r="28" hidden="1">
      <c r="A28" s="2" t="s">
        <v>212</v>
      </c>
      <c r="B28" s="28">
        <f t="array" ref="B28">INDEX(INDIRECT(B29 &amp; ":" &amp; B29), 1, MAX(IF(INDIRECT(B29 &amp; ":" &amp; B29)&lt;&gt;"", COLUMN(INDIRECT(B29 &amp; ":" &amp; B29))-1, 0)))</f>
        <v>150</v>
      </c>
      <c r="C28" s="28">
        <f t="array" ref="C28">INDEX(INDIRECT(B29 &amp; ":" &amp; B29), 1, MAX(IF(INDIRECT(B29 &amp; ":" &amp; B29)&lt;&gt;"", COLUMN(INDIRECT(B29 &amp; ":" &amp; B29)), 0)))</f>
        <v>148</v>
      </c>
      <c r="D28" s="28">
        <f t="shared" si="2"/>
        <v>150</v>
      </c>
      <c r="E28" s="3"/>
      <c r="F28" s="3"/>
      <c r="G28" s="3"/>
      <c r="H28" s="3"/>
      <c r="I28" s="3"/>
      <c r="J28" s="3"/>
      <c r="K28" s="3"/>
      <c r="L28" s="3"/>
      <c r="M28" s="3"/>
      <c r="N28" s="3"/>
      <c r="O28" s="3"/>
      <c r="P28" s="3"/>
      <c r="Q28" s="3"/>
      <c r="R28" s="3"/>
      <c r="S28" s="3"/>
      <c r="T28" s="3"/>
      <c r="U28" s="3"/>
      <c r="V28" s="3"/>
      <c r="W28" s="3"/>
      <c r="X28" s="3"/>
      <c r="Y28" s="3"/>
      <c r="Z28" s="3"/>
    </row>
    <row r="29" hidden="1">
      <c r="A29" s="28"/>
      <c r="B29" s="28">
        <f>iferror(row()+match("Sales +",A31:A42, 0)+1,E29)</f>
        <v>31</v>
      </c>
      <c r="C29" s="28">
        <f>row()+match("Interest",A31:A42, 0)+1</f>
        <v>36</v>
      </c>
      <c r="D29" s="28">
        <f>row()+match("Other Income +",A31:A42, 0)+1</f>
        <v>35</v>
      </c>
      <c r="E29" s="28" t="str">
        <f>row()+match("Revenue",A31:A42, 0)+1</f>
        <v>#N/A</v>
      </c>
      <c r="F29" s="50"/>
      <c r="G29" s="50"/>
      <c r="H29" s="50"/>
      <c r="I29" s="50"/>
      <c r="J29" s="50"/>
      <c r="K29" s="50"/>
      <c r="L29" s="50"/>
      <c r="M29" s="50"/>
      <c r="N29" s="50"/>
      <c r="O29" s="50"/>
      <c r="P29" s="50"/>
      <c r="Q29" s="50"/>
      <c r="R29" s="50"/>
      <c r="S29" s="50"/>
      <c r="T29" s="50"/>
      <c r="U29" s="50"/>
      <c r="V29" s="50"/>
      <c r="W29" s="50"/>
      <c r="X29" s="50"/>
      <c r="Y29" s="50"/>
      <c r="Z29" s="50"/>
    </row>
    <row r="30" hidden="1">
      <c r="A30" s="28" t="str">
        <f>IFERROR(__xludf.DUMMYFUNCTION("query(IMPORTHTML($B$5,""table"",2),""SELECT *"",1)"),"")</f>
        <v/>
      </c>
      <c r="B30" s="50" t="str">
        <f>IFERROR(__xludf.DUMMYFUNCTION("""COMPUTED_VALUE"""),"Mar 2015")</f>
        <v>Mar 2015</v>
      </c>
      <c r="C30" s="50" t="str">
        <f>IFERROR(__xludf.DUMMYFUNCTION("""COMPUTED_VALUE"""),"Mar 2016")</f>
        <v>Mar 2016</v>
      </c>
      <c r="D30" s="50" t="str">
        <f>IFERROR(__xludf.DUMMYFUNCTION("""COMPUTED_VALUE"""),"Mar 2017")</f>
        <v>Mar 2017</v>
      </c>
      <c r="E30" s="50" t="str">
        <f>IFERROR(__xludf.DUMMYFUNCTION("""COMPUTED_VALUE"""),"Mar 2018")</f>
        <v>Mar 2018</v>
      </c>
      <c r="F30" s="50" t="str">
        <f>IFERROR(__xludf.DUMMYFUNCTION("""COMPUTED_VALUE"""),"Mar 2019")</f>
        <v>Mar 2019</v>
      </c>
      <c r="G30" s="50" t="str">
        <f>IFERROR(__xludf.DUMMYFUNCTION("""COMPUTED_VALUE"""),"Mar 2020")</f>
        <v>Mar 2020</v>
      </c>
      <c r="H30" s="50" t="str">
        <f>IFERROR(__xludf.DUMMYFUNCTION("""COMPUTED_VALUE"""),"Mar 2021")</f>
        <v>Mar 2021</v>
      </c>
      <c r="I30" s="50" t="str">
        <f>IFERROR(__xludf.DUMMYFUNCTION("""COMPUTED_VALUE"""),"Mar 2022")</f>
        <v>Mar 2022</v>
      </c>
      <c r="J30" s="50" t="str">
        <f>IFERROR(__xludf.DUMMYFUNCTION("""COMPUTED_VALUE"""),"Mar 2023")</f>
        <v>Mar 2023</v>
      </c>
      <c r="K30" s="50" t="str">
        <f>IFERROR(__xludf.DUMMYFUNCTION("""COMPUTED_VALUE"""),"Mar 2024")</f>
        <v>Mar 2024</v>
      </c>
      <c r="L30" s="50" t="str">
        <f>IFERROR(__xludf.DUMMYFUNCTION("""COMPUTED_VALUE"""),"Mar 2025")</f>
        <v>Mar 2025</v>
      </c>
      <c r="M30" s="50" t="str">
        <f>IFERROR(__xludf.DUMMYFUNCTION("""COMPUTED_VALUE"""),"Mar 2026")</f>
        <v>Mar 2026</v>
      </c>
      <c r="N30" s="50" t="str">
        <f>IFERROR(__xludf.DUMMYFUNCTION("""COMPUTED_VALUE"""),"TTM")</f>
        <v>TTM</v>
      </c>
      <c r="O30" s="50"/>
      <c r="P30" s="50"/>
      <c r="Q30" s="50"/>
      <c r="R30" s="50"/>
      <c r="S30" s="50"/>
      <c r="T30" s="50"/>
      <c r="U30" s="50"/>
      <c r="V30" s="50"/>
      <c r="W30" s="50"/>
      <c r="X30" s="50"/>
      <c r="Y30" s="50"/>
      <c r="Z30" s="50"/>
    </row>
    <row r="31" hidden="1">
      <c r="A31" s="50" t="str">
        <f>IFERROR(__xludf.DUMMYFUNCTION("""COMPUTED_VALUE"""),"Sales +")</f>
        <v>Sales +</v>
      </c>
      <c r="B31" s="50">
        <f>IFERROR(__xludf.DUMMYFUNCTION("""COMPUTED_VALUE"""),80.0)</f>
        <v>80</v>
      </c>
      <c r="C31" s="50">
        <f>IFERROR(__xludf.DUMMYFUNCTION("""COMPUTED_VALUE"""),87.0)</f>
        <v>87</v>
      </c>
      <c r="D31" s="50">
        <f>IFERROR(__xludf.DUMMYFUNCTION("""COMPUTED_VALUE"""),84.0)</f>
        <v>84</v>
      </c>
      <c r="E31" s="50">
        <f>IFERROR(__xludf.DUMMYFUNCTION("""COMPUTED_VALUE"""),88.0)</f>
        <v>88</v>
      </c>
      <c r="F31" s="50">
        <f>IFERROR(__xludf.DUMMYFUNCTION("""COMPUTED_VALUE"""),108.0)</f>
        <v>108</v>
      </c>
      <c r="G31" s="50">
        <f>IFERROR(__xludf.DUMMYFUNCTION("""COMPUTED_VALUE"""),92.0)</f>
        <v>92</v>
      </c>
      <c r="H31" s="50">
        <f>IFERROR(__xludf.DUMMYFUNCTION("""COMPUTED_VALUE"""),104.0)</f>
        <v>104</v>
      </c>
      <c r="I31" s="50">
        <f>IFERROR(__xludf.DUMMYFUNCTION("""COMPUTED_VALUE"""),114.0)</f>
        <v>114</v>
      </c>
      <c r="J31" s="50">
        <f>IFERROR(__xludf.DUMMYFUNCTION("""COMPUTED_VALUE"""),130.0)</f>
        <v>130</v>
      </c>
      <c r="K31" s="50">
        <f>IFERROR(__xludf.DUMMYFUNCTION("""COMPUTED_VALUE"""),140.0)</f>
        <v>140</v>
      </c>
      <c r="L31" s="50">
        <f>IFERROR(__xludf.DUMMYFUNCTION("""COMPUTED_VALUE"""),155.0)</f>
        <v>155</v>
      </c>
      <c r="M31" s="50">
        <f>IFERROR(__xludf.DUMMYFUNCTION("""COMPUTED_VALUE"""),150.0)</f>
        <v>150</v>
      </c>
      <c r="N31" s="50">
        <f>IFERROR(__xludf.DUMMYFUNCTION("""COMPUTED_VALUE"""),148.0)</f>
        <v>148</v>
      </c>
      <c r="O31" s="50"/>
      <c r="P31" s="50"/>
      <c r="Q31" s="50"/>
      <c r="R31" s="50"/>
      <c r="S31" s="50"/>
      <c r="T31" s="50"/>
      <c r="U31" s="50"/>
      <c r="V31" s="50"/>
      <c r="W31" s="50"/>
      <c r="X31" s="50"/>
      <c r="Y31" s="50"/>
      <c r="Z31" s="50"/>
    </row>
    <row r="32" hidden="1">
      <c r="A32" s="50" t="str">
        <f>IFERROR(__xludf.DUMMYFUNCTION("""COMPUTED_VALUE"""),"Expenses +")</f>
        <v>Expenses +</v>
      </c>
      <c r="B32" s="50">
        <f>IFERROR(__xludf.DUMMYFUNCTION("""COMPUTED_VALUE"""),62.0)</f>
        <v>62</v>
      </c>
      <c r="C32" s="50">
        <f>IFERROR(__xludf.DUMMYFUNCTION("""COMPUTED_VALUE"""),74.0)</f>
        <v>74</v>
      </c>
      <c r="D32" s="50">
        <f>IFERROR(__xludf.DUMMYFUNCTION("""COMPUTED_VALUE"""),78.0)</f>
        <v>78</v>
      </c>
      <c r="E32" s="50">
        <f>IFERROR(__xludf.DUMMYFUNCTION("""COMPUTED_VALUE"""),85.0)</f>
        <v>85</v>
      </c>
      <c r="F32" s="50">
        <f>IFERROR(__xludf.DUMMYFUNCTION("""COMPUTED_VALUE"""),97.0)</f>
        <v>97</v>
      </c>
      <c r="G32" s="50">
        <f>IFERROR(__xludf.DUMMYFUNCTION("""COMPUTED_VALUE"""),85.0)</f>
        <v>85</v>
      </c>
      <c r="H32" s="50">
        <f>IFERROR(__xludf.DUMMYFUNCTION("""COMPUTED_VALUE"""),86.0)</f>
        <v>86</v>
      </c>
      <c r="I32" s="50">
        <f>IFERROR(__xludf.DUMMYFUNCTION("""COMPUTED_VALUE"""),98.0)</f>
        <v>98</v>
      </c>
      <c r="J32" s="50">
        <f>IFERROR(__xludf.DUMMYFUNCTION("""COMPUTED_VALUE"""),109.0)</f>
        <v>109</v>
      </c>
      <c r="K32" s="50">
        <f>IFERROR(__xludf.DUMMYFUNCTION("""COMPUTED_VALUE"""),118.0)</f>
        <v>118</v>
      </c>
      <c r="L32" s="50">
        <f>IFERROR(__xludf.DUMMYFUNCTION("""COMPUTED_VALUE"""),131.0)</f>
        <v>131</v>
      </c>
      <c r="M32" s="50">
        <f>IFERROR(__xludf.DUMMYFUNCTION("""COMPUTED_VALUE"""),124.0)</f>
        <v>124</v>
      </c>
      <c r="N32" s="50">
        <f>IFERROR(__xludf.DUMMYFUNCTION("""COMPUTED_VALUE"""),124.0)</f>
        <v>124</v>
      </c>
      <c r="O32" s="50"/>
      <c r="P32" s="50"/>
      <c r="Q32" s="50"/>
      <c r="R32" s="50"/>
      <c r="S32" s="50"/>
      <c r="T32" s="50"/>
      <c r="U32" s="50"/>
      <c r="V32" s="50"/>
      <c r="W32" s="50"/>
      <c r="X32" s="50"/>
      <c r="Y32" s="50"/>
      <c r="Z32" s="50"/>
    </row>
    <row r="33" hidden="1">
      <c r="A33" s="50" t="str">
        <f>IFERROR(__xludf.DUMMYFUNCTION("""COMPUTED_VALUE"""),"Operating Profit")</f>
        <v>Operating Profit</v>
      </c>
      <c r="B33" s="50">
        <f>IFERROR(__xludf.DUMMYFUNCTION("""COMPUTED_VALUE"""),19.0)</f>
        <v>19</v>
      </c>
      <c r="C33" s="50">
        <f>IFERROR(__xludf.DUMMYFUNCTION("""COMPUTED_VALUE"""),13.0)</f>
        <v>13</v>
      </c>
      <c r="D33" s="50">
        <f>IFERROR(__xludf.DUMMYFUNCTION("""COMPUTED_VALUE"""),6.0)</f>
        <v>6</v>
      </c>
      <c r="E33" s="50">
        <f>IFERROR(__xludf.DUMMYFUNCTION("""COMPUTED_VALUE"""),4.0)</f>
        <v>4</v>
      </c>
      <c r="F33" s="50">
        <f>IFERROR(__xludf.DUMMYFUNCTION("""COMPUTED_VALUE"""),10.0)</f>
        <v>10</v>
      </c>
      <c r="G33" s="50">
        <f>IFERROR(__xludf.DUMMYFUNCTION("""COMPUTED_VALUE"""),7.0)</f>
        <v>7</v>
      </c>
      <c r="H33" s="50">
        <f>IFERROR(__xludf.DUMMYFUNCTION("""COMPUTED_VALUE"""),18.0)</f>
        <v>18</v>
      </c>
      <c r="I33" s="50">
        <f>IFERROR(__xludf.DUMMYFUNCTION("""COMPUTED_VALUE"""),17.0)</f>
        <v>17</v>
      </c>
      <c r="J33" s="50">
        <f>IFERROR(__xludf.DUMMYFUNCTION("""COMPUTED_VALUE"""),21.0)</f>
        <v>21</v>
      </c>
      <c r="K33" s="50">
        <f>IFERROR(__xludf.DUMMYFUNCTION("""COMPUTED_VALUE"""),22.0)</f>
        <v>22</v>
      </c>
      <c r="L33" s="50">
        <f>IFERROR(__xludf.DUMMYFUNCTION("""COMPUTED_VALUE"""),25.0)</f>
        <v>25</v>
      </c>
      <c r="M33" s="50">
        <f>IFERROR(__xludf.DUMMYFUNCTION("""COMPUTED_VALUE"""),25.0)</f>
        <v>25</v>
      </c>
      <c r="N33" s="50">
        <f>IFERROR(__xludf.DUMMYFUNCTION("""COMPUTED_VALUE"""),25.0)</f>
        <v>25</v>
      </c>
      <c r="O33" s="50"/>
      <c r="P33" s="50"/>
      <c r="Q33" s="50"/>
      <c r="R33" s="50"/>
      <c r="S33" s="50"/>
      <c r="T33" s="50"/>
      <c r="U33" s="50"/>
      <c r="V33" s="50"/>
      <c r="W33" s="50"/>
      <c r="X33" s="50"/>
      <c r="Y33" s="50"/>
      <c r="Z33" s="50"/>
    </row>
    <row r="34" hidden="1">
      <c r="A34" s="50" t="str">
        <f>IFERROR(__xludf.DUMMYFUNCTION("""COMPUTED_VALUE"""),"OPM %")</f>
        <v>OPM %</v>
      </c>
      <c r="B34" s="50">
        <f>IFERROR(__xludf.DUMMYFUNCTION("""COMPUTED_VALUE"""),0.23)</f>
        <v>0.23</v>
      </c>
      <c r="C34" s="50">
        <f>IFERROR(__xludf.DUMMYFUNCTION("""COMPUTED_VALUE"""),0.15)</f>
        <v>0.15</v>
      </c>
      <c r="D34" s="50">
        <f>IFERROR(__xludf.DUMMYFUNCTION("""COMPUTED_VALUE"""),0.07)</f>
        <v>0.07</v>
      </c>
      <c r="E34" s="50">
        <f>IFERROR(__xludf.DUMMYFUNCTION("""COMPUTED_VALUE"""),0.042)</f>
        <v>0.042</v>
      </c>
      <c r="F34" s="50">
        <f>IFERROR(__xludf.DUMMYFUNCTION("""COMPUTED_VALUE"""),0.09)</f>
        <v>0.09</v>
      </c>
      <c r="G34" s="50">
        <f>IFERROR(__xludf.DUMMYFUNCTION("""COMPUTED_VALUE"""),0.08)</f>
        <v>0.08</v>
      </c>
      <c r="H34" s="50">
        <f>IFERROR(__xludf.DUMMYFUNCTION("""COMPUTED_VALUE"""),0.18)</f>
        <v>0.18</v>
      </c>
      <c r="I34" s="50">
        <f>IFERROR(__xludf.DUMMYFUNCTION("""COMPUTED_VALUE"""),0.15)</f>
        <v>0.15</v>
      </c>
      <c r="J34" s="50">
        <f>IFERROR(__xludf.DUMMYFUNCTION("""COMPUTED_VALUE"""),0.16)</f>
        <v>0.16</v>
      </c>
      <c r="K34" s="50">
        <f>IFERROR(__xludf.DUMMYFUNCTION("""COMPUTED_VALUE"""),0.16)</f>
        <v>0.16</v>
      </c>
      <c r="L34" s="50">
        <f>IFERROR(__xludf.DUMMYFUNCTION("""COMPUTED_VALUE"""),0.16)</f>
        <v>0.16</v>
      </c>
      <c r="M34" s="50">
        <f>IFERROR(__xludf.DUMMYFUNCTION("""COMPUTED_VALUE"""),0.17)</f>
        <v>0.17</v>
      </c>
      <c r="N34" s="50">
        <f>IFERROR(__xludf.DUMMYFUNCTION("""COMPUTED_VALUE"""),0.17)</f>
        <v>0.17</v>
      </c>
      <c r="O34" s="50"/>
      <c r="P34" s="50"/>
      <c r="Q34" s="50"/>
      <c r="R34" s="50"/>
      <c r="S34" s="50"/>
      <c r="T34" s="50"/>
      <c r="U34" s="50"/>
      <c r="V34" s="50"/>
      <c r="W34" s="50"/>
      <c r="X34" s="50"/>
      <c r="Y34" s="50"/>
      <c r="Z34" s="50"/>
    </row>
    <row r="35" hidden="1">
      <c r="A35" s="50" t="str">
        <f>IFERROR(__xludf.DUMMYFUNCTION("""COMPUTED_VALUE"""),"Other Income +")</f>
        <v>Other Income +</v>
      </c>
      <c r="B35" s="50">
        <f>IFERROR(__xludf.DUMMYFUNCTION("""COMPUTED_VALUE"""),1.0)</f>
        <v>1</v>
      </c>
      <c r="C35" s="50">
        <f>IFERROR(__xludf.DUMMYFUNCTION("""COMPUTED_VALUE"""),2.0)</f>
        <v>2</v>
      </c>
      <c r="D35" s="50">
        <f>IFERROR(__xludf.DUMMYFUNCTION("""COMPUTED_VALUE"""),3.0)</f>
        <v>3</v>
      </c>
      <c r="E35" s="50">
        <f>IFERROR(__xludf.DUMMYFUNCTION("""COMPUTED_VALUE"""),2.0)</f>
        <v>2</v>
      </c>
      <c r="F35" s="50">
        <f>IFERROR(__xludf.DUMMYFUNCTION("""COMPUTED_VALUE"""),2.0)</f>
        <v>2</v>
      </c>
      <c r="G35" s="50">
        <f>IFERROR(__xludf.DUMMYFUNCTION("""COMPUTED_VALUE"""),-58.0)</f>
        <v>-58</v>
      </c>
      <c r="H35" s="50">
        <f>IFERROR(__xludf.DUMMYFUNCTION("""COMPUTED_VALUE"""),3.0)</f>
        <v>3</v>
      </c>
      <c r="I35" s="50">
        <f>IFERROR(__xludf.DUMMYFUNCTION("""COMPUTED_VALUE"""),3.0)</f>
        <v>3</v>
      </c>
      <c r="J35" s="50">
        <f>IFERROR(__xludf.DUMMYFUNCTION("""COMPUTED_VALUE"""),4.0)</f>
        <v>4</v>
      </c>
      <c r="K35" s="50">
        <f>IFERROR(__xludf.DUMMYFUNCTION("""COMPUTED_VALUE"""),7.0)</f>
        <v>7</v>
      </c>
      <c r="L35" s="50">
        <f>IFERROR(__xludf.DUMMYFUNCTION("""COMPUTED_VALUE"""),5.0)</f>
        <v>5</v>
      </c>
      <c r="M35" s="50">
        <f>IFERROR(__xludf.DUMMYFUNCTION("""COMPUTED_VALUE"""),3.0)</f>
        <v>3</v>
      </c>
      <c r="N35" s="50">
        <f>IFERROR(__xludf.DUMMYFUNCTION("""COMPUTED_VALUE"""),3.0)</f>
        <v>3</v>
      </c>
      <c r="O35" s="50"/>
      <c r="P35" s="50"/>
      <c r="Q35" s="50"/>
      <c r="R35" s="50"/>
      <c r="S35" s="50"/>
      <c r="T35" s="50"/>
      <c r="U35" s="50"/>
      <c r="V35" s="50"/>
      <c r="W35" s="50"/>
      <c r="X35" s="50"/>
      <c r="Y35" s="50"/>
      <c r="Z35" s="50"/>
    </row>
    <row r="36" hidden="1">
      <c r="A36" s="50" t="str">
        <f>IFERROR(__xludf.DUMMYFUNCTION("""COMPUTED_VALUE"""),"Interest")</f>
        <v>Interest</v>
      </c>
      <c r="B36" s="50">
        <f>IFERROR(__xludf.DUMMYFUNCTION("""COMPUTED_VALUE"""),0.0)</f>
        <v>0</v>
      </c>
      <c r="C36" s="50">
        <f>IFERROR(__xludf.DUMMYFUNCTION("""COMPUTED_VALUE"""),0.0)</f>
        <v>0</v>
      </c>
      <c r="D36" s="50">
        <f>IFERROR(__xludf.DUMMYFUNCTION("""COMPUTED_VALUE"""),0.0)</f>
        <v>0</v>
      </c>
      <c r="E36" s="50">
        <f>IFERROR(__xludf.DUMMYFUNCTION("""COMPUTED_VALUE"""),0.0)</f>
        <v>0</v>
      </c>
      <c r="F36" s="50">
        <f>IFERROR(__xludf.DUMMYFUNCTION("""COMPUTED_VALUE"""),1.0)</f>
        <v>1</v>
      </c>
      <c r="G36" s="50">
        <f>IFERROR(__xludf.DUMMYFUNCTION("""COMPUTED_VALUE"""),2.0)</f>
        <v>2</v>
      </c>
      <c r="H36" s="50">
        <f>IFERROR(__xludf.DUMMYFUNCTION("""COMPUTED_VALUE"""),1.0)</f>
        <v>1</v>
      </c>
      <c r="I36" s="50">
        <f>IFERROR(__xludf.DUMMYFUNCTION("""COMPUTED_VALUE"""),0.0)</f>
        <v>0</v>
      </c>
      <c r="J36" s="50">
        <f>IFERROR(__xludf.DUMMYFUNCTION("""COMPUTED_VALUE"""),1.0)</f>
        <v>1</v>
      </c>
      <c r="K36" s="50">
        <f>IFERROR(__xludf.DUMMYFUNCTION("""COMPUTED_VALUE"""),0.0)</f>
        <v>0</v>
      </c>
      <c r="L36" s="50">
        <f>IFERROR(__xludf.DUMMYFUNCTION("""COMPUTED_VALUE"""),1.0)</f>
        <v>1</v>
      </c>
      <c r="M36" s="50">
        <f>IFERROR(__xludf.DUMMYFUNCTION("""COMPUTED_VALUE"""),1.0)</f>
        <v>1</v>
      </c>
      <c r="N36" s="50">
        <f>IFERROR(__xludf.DUMMYFUNCTION("""COMPUTED_VALUE"""),0.0)</f>
        <v>0</v>
      </c>
      <c r="O36" s="50"/>
      <c r="P36" s="50"/>
      <c r="Q36" s="50"/>
      <c r="R36" s="50"/>
      <c r="S36" s="50"/>
      <c r="T36" s="50"/>
      <c r="U36" s="50"/>
      <c r="V36" s="50"/>
      <c r="W36" s="50"/>
      <c r="X36" s="50"/>
      <c r="Y36" s="50"/>
      <c r="Z36" s="50"/>
    </row>
    <row r="37" hidden="1">
      <c r="A37" s="50" t="str">
        <f>IFERROR(__xludf.DUMMYFUNCTION("""COMPUTED_VALUE"""),"Depreciation")</f>
        <v>Depreciation</v>
      </c>
      <c r="B37" s="50">
        <f>IFERROR(__xludf.DUMMYFUNCTION("""COMPUTED_VALUE"""),2.0)</f>
        <v>2</v>
      </c>
      <c r="C37" s="50">
        <f>IFERROR(__xludf.DUMMYFUNCTION("""COMPUTED_VALUE"""),2.0)</f>
        <v>2</v>
      </c>
      <c r="D37" s="50">
        <f>IFERROR(__xludf.DUMMYFUNCTION("""COMPUTED_VALUE"""),1.0)</f>
        <v>1</v>
      </c>
      <c r="E37" s="50">
        <f>IFERROR(__xludf.DUMMYFUNCTION("""COMPUTED_VALUE"""),1.0)</f>
        <v>1</v>
      </c>
      <c r="F37" s="50">
        <f>IFERROR(__xludf.DUMMYFUNCTION("""COMPUTED_VALUE"""),2.0)</f>
        <v>2</v>
      </c>
      <c r="G37" s="50">
        <f>IFERROR(__xludf.DUMMYFUNCTION("""COMPUTED_VALUE"""),6.0)</f>
        <v>6</v>
      </c>
      <c r="H37" s="50">
        <f>IFERROR(__xludf.DUMMYFUNCTION("""COMPUTED_VALUE"""),6.0)</f>
        <v>6</v>
      </c>
      <c r="I37" s="50">
        <f>IFERROR(__xludf.DUMMYFUNCTION("""COMPUTED_VALUE"""),5.0)</f>
        <v>5</v>
      </c>
      <c r="J37" s="50">
        <f>IFERROR(__xludf.DUMMYFUNCTION("""COMPUTED_VALUE"""),4.0)</f>
        <v>4</v>
      </c>
      <c r="K37" s="50">
        <f>IFERROR(__xludf.DUMMYFUNCTION("""COMPUTED_VALUE"""),4.0)</f>
        <v>4</v>
      </c>
      <c r="L37" s="50">
        <f>IFERROR(__xludf.DUMMYFUNCTION("""COMPUTED_VALUE"""),5.0)</f>
        <v>5</v>
      </c>
      <c r="M37" s="50">
        <f>IFERROR(__xludf.DUMMYFUNCTION("""COMPUTED_VALUE"""),4.0)</f>
        <v>4</v>
      </c>
      <c r="N37" s="50">
        <f>IFERROR(__xludf.DUMMYFUNCTION("""COMPUTED_VALUE"""),4.0)</f>
        <v>4</v>
      </c>
      <c r="O37" s="50"/>
      <c r="P37" s="50"/>
      <c r="Q37" s="50"/>
      <c r="R37" s="50"/>
      <c r="S37" s="50"/>
      <c r="T37" s="50"/>
      <c r="U37" s="50"/>
      <c r="V37" s="50"/>
      <c r="W37" s="50"/>
      <c r="X37" s="50"/>
      <c r="Y37" s="50"/>
      <c r="Z37" s="50"/>
    </row>
    <row r="38" hidden="1">
      <c r="A38" s="50" t="str">
        <f>IFERROR(__xludf.DUMMYFUNCTION("""COMPUTED_VALUE"""),"Profit before tax")</f>
        <v>Profit before tax</v>
      </c>
      <c r="B38" s="50">
        <f>IFERROR(__xludf.DUMMYFUNCTION("""COMPUTED_VALUE"""),18.0)</f>
        <v>18</v>
      </c>
      <c r="C38" s="50">
        <f>IFERROR(__xludf.DUMMYFUNCTION("""COMPUTED_VALUE"""),14.0)</f>
        <v>14</v>
      </c>
      <c r="D38" s="50">
        <f>IFERROR(__xludf.DUMMYFUNCTION("""COMPUTED_VALUE"""),7.0)</f>
        <v>7</v>
      </c>
      <c r="E38" s="50">
        <f>IFERROR(__xludf.DUMMYFUNCTION("""COMPUTED_VALUE"""),4.0)</f>
        <v>4</v>
      </c>
      <c r="F38" s="50">
        <f>IFERROR(__xludf.DUMMYFUNCTION("""COMPUTED_VALUE"""),10.0)</f>
        <v>10</v>
      </c>
      <c r="G38" s="50">
        <f>IFERROR(__xludf.DUMMYFUNCTION("""COMPUTED_VALUE"""),-59.0)</f>
        <v>-59</v>
      </c>
      <c r="H38" s="50">
        <f>IFERROR(__xludf.DUMMYFUNCTION("""COMPUTED_VALUE"""),14.0)</f>
        <v>14</v>
      </c>
      <c r="I38" s="50">
        <f>IFERROR(__xludf.DUMMYFUNCTION("""COMPUTED_VALUE"""),15.0)</f>
        <v>15</v>
      </c>
      <c r="J38" s="50">
        <f>IFERROR(__xludf.DUMMYFUNCTION("""COMPUTED_VALUE"""),20.0)</f>
        <v>20</v>
      </c>
      <c r="K38" s="50">
        <f>IFERROR(__xludf.DUMMYFUNCTION("""COMPUTED_VALUE"""),24.0)</f>
        <v>24</v>
      </c>
      <c r="L38" s="50">
        <f>IFERROR(__xludf.DUMMYFUNCTION("""COMPUTED_VALUE"""),25.0)</f>
        <v>25</v>
      </c>
      <c r="M38" s="50">
        <f>IFERROR(__xludf.DUMMYFUNCTION("""COMPUTED_VALUE"""),24.0)</f>
        <v>24</v>
      </c>
      <c r="N38" s="50">
        <f>IFERROR(__xludf.DUMMYFUNCTION("""COMPUTED_VALUE"""),23.0)</f>
        <v>23</v>
      </c>
      <c r="O38" s="50"/>
      <c r="P38" s="50"/>
      <c r="Q38" s="50"/>
      <c r="R38" s="50"/>
      <c r="S38" s="50"/>
      <c r="T38" s="50"/>
      <c r="U38" s="50"/>
      <c r="V38" s="50"/>
      <c r="W38" s="50"/>
      <c r="X38" s="50"/>
      <c r="Y38" s="50"/>
      <c r="Z38" s="50"/>
    </row>
    <row r="39" hidden="1">
      <c r="A39" s="50" t="str">
        <f>IFERROR(__xludf.DUMMYFUNCTION("""COMPUTED_VALUE"""),"Tax %")</f>
        <v>Tax %</v>
      </c>
      <c r="B39" s="50">
        <f>IFERROR(__xludf.DUMMYFUNCTION("""COMPUTED_VALUE"""),0.36)</f>
        <v>0.36</v>
      </c>
      <c r="C39" s="50">
        <f>IFERROR(__xludf.DUMMYFUNCTION("""COMPUTED_VALUE"""),0.39)</f>
        <v>0.39</v>
      </c>
      <c r="D39" s="50">
        <f>IFERROR(__xludf.DUMMYFUNCTION("""COMPUTED_VALUE"""),0.37)</f>
        <v>0.37</v>
      </c>
      <c r="E39" s="50">
        <f>IFERROR(__xludf.DUMMYFUNCTION("""COMPUTED_VALUE"""),0.55)</f>
        <v>0.55</v>
      </c>
      <c r="F39" s="50">
        <f>IFERROR(__xludf.DUMMYFUNCTION("""COMPUTED_VALUE"""),0.3)</f>
        <v>0.3</v>
      </c>
      <c r="G39" s="50">
        <f>IFERROR(__xludf.DUMMYFUNCTION("""COMPUTED_VALUE"""),0.01)</f>
        <v>0.01</v>
      </c>
      <c r="H39" s="50">
        <f>IFERROR(__xludf.DUMMYFUNCTION("""COMPUTED_VALUE"""),0.39)</f>
        <v>0.39</v>
      </c>
      <c r="I39" s="50">
        <f>IFERROR(__xludf.DUMMYFUNCTION("""COMPUTED_VALUE"""),0.26)</f>
        <v>0.26</v>
      </c>
      <c r="J39" s="50">
        <f>IFERROR(__xludf.DUMMYFUNCTION("""COMPUTED_VALUE"""),0.24)</f>
        <v>0.24</v>
      </c>
      <c r="K39" s="50">
        <f>IFERROR(__xludf.DUMMYFUNCTION("""COMPUTED_VALUE"""),0.23)</f>
        <v>0.23</v>
      </c>
      <c r="L39" s="50">
        <f>IFERROR(__xludf.DUMMYFUNCTION("""COMPUTED_VALUE"""),0.25)</f>
        <v>0.25</v>
      </c>
      <c r="M39" s="50">
        <f>IFERROR(__xludf.DUMMYFUNCTION("""COMPUTED_VALUE"""),0.26)</f>
        <v>0.26</v>
      </c>
      <c r="N39" s="50"/>
      <c r="O39" s="50"/>
      <c r="P39" s="50"/>
      <c r="Q39" s="50"/>
      <c r="R39" s="50"/>
      <c r="S39" s="50"/>
      <c r="T39" s="50"/>
      <c r="U39" s="50"/>
      <c r="V39" s="50"/>
      <c r="W39" s="50"/>
      <c r="X39" s="50"/>
      <c r="Y39" s="50"/>
      <c r="Z39" s="50"/>
    </row>
    <row r="40" hidden="1">
      <c r="A40" s="50" t="str">
        <f>IFERROR(__xludf.DUMMYFUNCTION("""COMPUTED_VALUE"""),"Net Profit +")</f>
        <v>Net Profit +</v>
      </c>
      <c r="B40" s="50">
        <f>IFERROR(__xludf.DUMMYFUNCTION("""COMPUTED_VALUE"""),11.0)</f>
        <v>11</v>
      </c>
      <c r="C40" s="50">
        <f>IFERROR(__xludf.DUMMYFUNCTION("""COMPUTED_VALUE"""),8.0)</f>
        <v>8</v>
      </c>
      <c r="D40" s="50">
        <f>IFERROR(__xludf.DUMMYFUNCTION("""COMPUTED_VALUE"""),4.0)</f>
        <v>4</v>
      </c>
      <c r="E40" s="50">
        <f>IFERROR(__xludf.DUMMYFUNCTION("""COMPUTED_VALUE"""),2.0)</f>
        <v>2</v>
      </c>
      <c r="F40" s="50">
        <f>IFERROR(__xludf.DUMMYFUNCTION("""COMPUTED_VALUE"""),7.0)</f>
        <v>7</v>
      </c>
      <c r="G40" s="50">
        <f>IFERROR(__xludf.DUMMYFUNCTION("""COMPUTED_VALUE"""),-59.0)</f>
        <v>-59</v>
      </c>
      <c r="H40" s="50">
        <f>IFERROR(__xludf.DUMMYFUNCTION("""COMPUTED_VALUE"""),9.0)</f>
        <v>9</v>
      </c>
      <c r="I40" s="50">
        <f>IFERROR(__xludf.DUMMYFUNCTION("""COMPUTED_VALUE"""),11.0)</f>
        <v>11</v>
      </c>
      <c r="J40" s="50">
        <f>IFERROR(__xludf.DUMMYFUNCTION("""COMPUTED_VALUE"""),15.0)</f>
        <v>15</v>
      </c>
      <c r="K40" s="50">
        <f>IFERROR(__xludf.DUMMYFUNCTION("""COMPUTED_VALUE"""),18.0)</f>
        <v>18</v>
      </c>
      <c r="L40" s="50">
        <f>IFERROR(__xludf.DUMMYFUNCTION("""COMPUTED_VALUE"""),19.0)</f>
        <v>19</v>
      </c>
      <c r="M40" s="50">
        <f>IFERROR(__xludf.DUMMYFUNCTION("""COMPUTED_VALUE"""),17.0)</f>
        <v>17</v>
      </c>
      <c r="N40" s="50">
        <f>IFERROR(__xludf.DUMMYFUNCTION("""COMPUTED_VALUE"""),17.0)</f>
        <v>17</v>
      </c>
      <c r="O40" s="50"/>
      <c r="P40" s="50"/>
      <c r="Q40" s="50"/>
      <c r="R40" s="50"/>
      <c r="S40" s="50"/>
      <c r="T40" s="50"/>
      <c r="U40" s="50"/>
      <c r="V40" s="50"/>
      <c r="W40" s="50"/>
      <c r="X40" s="50"/>
      <c r="Y40" s="50"/>
      <c r="Z40" s="50"/>
    </row>
    <row r="41" hidden="1">
      <c r="A41" s="50" t="str">
        <f>IFERROR(__xludf.DUMMYFUNCTION("""COMPUTED_VALUE"""),"EPS in Rs")</f>
        <v>EPS in Rs</v>
      </c>
      <c r="B41" s="50">
        <f>IFERROR(__xludf.DUMMYFUNCTION("""COMPUTED_VALUE"""),3.67)</f>
        <v>3.67</v>
      </c>
      <c r="C41" s="50">
        <f>IFERROR(__xludf.DUMMYFUNCTION("""COMPUTED_VALUE"""),2.6)</f>
        <v>2.6</v>
      </c>
      <c r="D41" s="50">
        <f>IFERROR(__xludf.DUMMYFUNCTION("""COMPUTED_VALUE"""),1.39)</f>
        <v>1.39</v>
      </c>
      <c r="E41" s="50">
        <f>IFERROR(__xludf.DUMMYFUNCTION("""COMPUTED_VALUE"""),0.6)</f>
        <v>0.6</v>
      </c>
      <c r="F41" s="50">
        <f>IFERROR(__xludf.DUMMYFUNCTION("""COMPUTED_VALUE"""),2.25)</f>
        <v>2.25</v>
      </c>
      <c r="G41" s="50">
        <f>IFERROR(__xludf.DUMMYFUNCTION("""COMPUTED_VALUE"""),-18.51)</f>
        <v>-18.51</v>
      </c>
      <c r="H41" s="50">
        <f>IFERROR(__xludf.DUMMYFUNCTION("""COMPUTED_VALUE"""),2.67)</f>
        <v>2.67</v>
      </c>
      <c r="I41" s="50">
        <f>IFERROR(__xludf.DUMMYFUNCTION("""COMPUTED_VALUE"""),3.42)</f>
        <v>3.42</v>
      </c>
      <c r="J41" s="50">
        <f>IFERROR(__xludf.DUMMYFUNCTION("""COMPUTED_VALUE"""),4.71)</f>
        <v>4.71</v>
      </c>
      <c r="K41" s="50">
        <f>IFERROR(__xludf.DUMMYFUNCTION("""COMPUTED_VALUE"""),5.76)</f>
        <v>5.76</v>
      </c>
      <c r="L41" s="50">
        <f>IFERROR(__xludf.DUMMYFUNCTION("""COMPUTED_VALUE"""),5.9)</f>
        <v>5.9</v>
      </c>
      <c r="M41" s="50">
        <f>IFERROR(__xludf.DUMMYFUNCTION("""COMPUTED_VALUE"""),5.45)</f>
        <v>5.45</v>
      </c>
      <c r="N41" s="50">
        <f>IFERROR(__xludf.DUMMYFUNCTION("""COMPUTED_VALUE"""),5.18)</f>
        <v>5.18</v>
      </c>
      <c r="O41" s="50"/>
      <c r="P41" s="50"/>
      <c r="Q41" s="50"/>
      <c r="R41" s="50"/>
      <c r="S41" s="50"/>
      <c r="T41" s="50"/>
      <c r="U41" s="50"/>
      <c r="V41" s="50"/>
      <c r="W41" s="50"/>
      <c r="X41" s="50"/>
      <c r="Y41" s="50"/>
      <c r="Z41" s="50"/>
    </row>
    <row r="42" hidden="1">
      <c r="A42" s="50" t="str">
        <f>IFERROR(__xludf.DUMMYFUNCTION("""COMPUTED_VALUE"""),"Dividend Payout %")</f>
        <v>Dividend Payout %</v>
      </c>
      <c r="B42" s="50">
        <f>IFERROR(__xludf.DUMMYFUNCTION("""COMPUTED_VALUE"""),0.22)</f>
        <v>0.22</v>
      </c>
      <c r="C42" s="50">
        <f>IFERROR(__xludf.DUMMYFUNCTION("""COMPUTED_VALUE"""),0.31)</f>
        <v>0.31</v>
      </c>
      <c r="D42" s="50">
        <f>IFERROR(__xludf.DUMMYFUNCTION("""COMPUTED_VALUE"""),0.58)</f>
        <v>0.58</v>
      </c>
      <c r="E42" s="50">
        <f>IFERROR(__xludf.DUMMYFUNCTION("""COMPUTED_VALUE"""),1.34)</f>
        <v>1.34</v>
      </c>
      <c r="F42" s="50">
        <f>IFERROR(__xludf.DUMMYFUNCTION("""COMPUTED_VALUE"""),0.36)</f>
        <v>0.36</v>
      </c>
      <c r="G42" s="50">
        <f>IFERROR(__xludf.DUMMYFUNCTION("""COMPUTED_VALUE"""),0.0)</f>
        <v>0</v>
      </c>
      <c r="H42" s="50">
        <f>IFERROR(__xludf.DUMMYFUNCTION("""COMPUTED_VALUE"""),0.0)</f>
        <v>0</v>
      </c>
      <c r="I42" s="50">
        <f>IFERROR(__xludf.DUMMYFUNCTION("""COMPUTED_VALUE"""),0.23)</f>
        <v>0.23</v>
      </c>
      <c r="J42" s="50">
        <f>IFERROR(__xludf.DUMMYFUNCTION("""COMPUTED_VALUE"""),0.17)</f>
        <v>0.17</v>
      </c>
      <c r="K42" s="50">
        <f>IFERROR(__xludf.DUMMYFUNCTION("""COMPUTED_VALUE"""),0.14)</f>
        <v>0.14</v>
      </c>
      <c r="L42" s="50">
        <f>IFERROR(__xludf.DUMMYFUNCTION("""COMPUTED_VALUE"""),0.17)</f>
        <v>0.17</v>
      </c>
      <c r="M42" s="50">
        <f>IFERROR(__xludf.DUMMYFUNCTION("""COMPUTED_VALUE"""),0.18)</f>
        <v>0.18</v>
      </c>
      <c r="N42" s="50"/>
      <c r="O42" s="50"/>
      <c r="P42" s="50"/>
      <c r="Q42" s="50"/>
      <c r="R42" s="50"/>
      <c r="S42" s="50"/>
      <c r="T42" s="50"/>
      <c r="U42" s="50"/>
      <c r="V42" s="50"/>
      <c r="W42" s="50"/>
      <c r="X42" s="50"/>
      <c r="Y42" s="50"/>
      <c r="Z42" s="50"/>
    </row>
    <row r="43" hidden="1">
      <c r="A43" s="3"/>
      <c r="B43" s="15">
        <f>row()+match("Borrowings +",A45:A54, 0)+1</f>
        <v>47</v>
      </c>
      <c r="C43" s="15">
        <f>row()+match("Total Assets",A45:A54, 0)+1</f>
        <v>54</v>
      </c>
      <c r="D43" s="15">
        <f>row()+match("Fixed Assets +",A45:A54, 0)+1</f>
        <v>50</v>
      </c>
      <c r="E43" s="15">
        <f>row()+match("CWIP",A45:A54, 0)+1</f>
        <v>51</v>
      </c>
      <c r="F43" s="15">
        <f>row()+match("Total Liabilities",A45:A54, 0)+1</f>
        <v>49</v>
      </c>
      <c r="G43" s="15" t="str">
        <f t="array" ref="G43">INDEX(44:44, 1, MAX(IF(44:44&lt;&gt;"", COLUMN(44:44), 0)))</f>
        <v>Mar 2026</v>
      </c>
      <c r="H43" s="15" t="str">
        <f t="array" ref="H43">INDEX(56:56, 1, MAX(IF(56:56&lt;&gt;"", COLUMN(56:56), 0)))</f>
        <v>Mar 2026</v>
      </c>
      <c r="I43" s="3"/>
      <c r="J43" s="3"/>
      <c r="K43" s="3"/>
      <c r="L43" s="3"/>
      <c r="M43" s="3"/>
      <c r="N43" s="3"/>
      <c r="O43" s="3"/>
      <c r="P43" s="3"/>
      <c r="Q43" s="3"/>
      <c r="R43" s="3"/>
      <c r="S43" s="3"/>
      <c r="T43" s="3"/>
      <c r="U43" s="3"/>
      <c r="V43" s="3"/>
      <c r="W43" s="3"/>
      <c r="X43" s="3"/>
      <c r="Y43" s="3"/>
      <c r="Z43" s="3"/>
    </row>
    <row r="44" hidden="1">
      <c r="A44" s="15" t="str">
        <f>IFERROR(__xludf.DUMMYFUNCTION("query(IMPORTHTML($A$5,""table"",7),""SELECT *"",1)"),"")</f>
        <v/>
      </c>
      <c r="B44" s="3" t="str">
        <f>IFERROR(__xludf.DUMMYFUNCTION("""COMPUTED_VALUE"""),"Mar 2015")</f>
        <v>Mar 2015</v>
      </c>
      <c r="C44" s="3" t="str">
        <f>IFERROR(__xludf.DUMMYFUNCTION("""COMPUTED_VALUE"""),"Mar 2016")</f>
        <v>Mar 2016</v>
      </c>
      <c r="D44" s="3" t="str">
        <f>IFERROR(__xludf.DUMMYFUNCTION("""COMPUTED_VALUE"""),"Mar 2017")</f>
        <v>Mar 2017</v>
      </c>
      <c r="E44" s="3" t="str">
        <f>IFERROR(__xludf.DUMMYFUNCTION("""COMPUTED_VALUE"""),"Mar 2018")</f>
        <v>Mar 2018</v>
      </c>
      <c r="F44" s="3" t="str">
        <f>IFERROR(__xludf.DUMMYFUNCTION("""COMPUTED_VALUE"""),"Mar 2019")</f>
        <v>Mar 2019</v>
      </c>
      <c r="G44" s="3" t="str">
        <f>IFERROR(__xludf.DUMMYFUNCTION("""COMPUTED_VALUE"""),"Mar 2020")</f>
        <v>Mar 2020</v>
      </c>
      <c r="H44" s="3" t="str">
        <f>IFERROR(__xludf.DUMMYFUNCTION("""COMPUTED_VALUE"""),"Mar 2021")</f>
        <v>Mar 2021</v>
      </c>
      <c r="I44" s="3" t="str">
        <f>IFERROR(__xludf.DUMMYFUNCTION("""COMPUTED_VALUE"""),"Mar 2022")</f>
        <v>Mar 2022</v>
      </c>
      <c r="J44" s="3" t="str">
        <f>IFERROR(__xludf.DUMMYFUNCTION("""COMPUTED_VALUE"""),"Mar 2023")</f>
        <v>Mar 2023</v>
      </c>
      <c r="K44" s="3" t="str">
        <f>IFERROR(__xludf.DUMMYFUNCTION("""COMPUTED_VALUE"""),"Mar 2024")</f>
        <v>Mar 2024</v>
      </c>
      <c r="L44" s="3" t="str">
        <f>IFERROR(__xludf.DUMMYFUNCTION("""COMPUTED_VALUE"""),"Mar 2025")</f>
        <v>Mar 2025</v>
      </c>
      <c r="M44" s="3" t="str">
        <f>IFERROR(__xludf.DUMMYFUNCTION("""COMPUTED_VALUE"""),"Mar 2026")</f>
        <v>Mar 2026</v>
      </c>
      <c r="N44" s="3"/>
      <c r="O44" s="3"/>
      <c r="P44" s="3"/>
      <c r="Q44" s="3"/>
      <c r="R44" s="3"/>
      <c r="S44" s="3"/>
      <c r="T44" s="3"/>
      <c r="U44" s="3"/>
      <c r="V44" s="3"/>
      <c r="W44" s="3"/>
      <c r="X44" s="3"/>
      <c r="Y44" s="3"/>
      <c r="Z44" s="3"/>
    </row>
    <row r="45" hidden="1">
      <c r="A45" s="3" t="str">
        <f>IFERROR(__xludf.DUMMYFUNCTION("""COMPUTED_VALUE"""),"Equity Capital")</f>
        <v>Equity Capital</v>
      </c>
      <c r="B45" s="3">
        <f>IFERROR(__xludf.DUMMYFUNCTION("""COMPUTED_VALUE"""),25.0)</f>
        <v>25</v>
      </c>
      <c r="C45" s="3">
        <f>IFERROR(__xludf.DUMMYFUNCTION("""COMPUTED_VALUE"""),25.0)</f>
        <v>25</v>
      </c>
      <c r="D45" s="3">
        <f>IFERROR(__xludf.DUMMYFUNCTION("""COMPUTED_VALUE"""),25.0)</f>
        <v>25</v>
      </c>
      <c r="E45" s="3">
        <f>IFERROR(__xludf.DUMMYFUNCTION("""COMPUTED_VALUE"""),25.0)</f>
        <v>25</v>
      </c>
      <c r="F45" s="3">
        <f>IFERROR(__xludf.DUMMYFUNCTION("""COMPUTED_VALUE"""),25.0)</f>
        <v>25</v>
      </c>
      <c r="G45" s="3">
        <f>IFERROR(__xludf.DUMMYFUNCTION("""COMPUTED_VALUE"""),25.0)</f>
        <v>25</v>
      </c>
      <c r="H45" s="3">
        <f>IFERROR(__xludf.DUMMYFUNCTION("""COMPUTED_VALUE"""),25.0)</f>
        <v>25</v>
      </c>
      <c r="I45" s="3">
        <f>IFERROR(__xludf.DUMMYFUNCTION("""COMPUTED_VALUE"""),25.0)</f>
        <v>25</v>
      </c>
      <c r="J45" s="3">
        <f>IFERROR(__xludf.DUMMYFUNCTION("""COMPUTED_VALUE"""),25.0)</f>
        <v>25</v>
      </c>
      <c r="K45" s="3">
        <f>IFERROR(__xludf.DUMMYFUNCTION("""COMPUTED_VALUE"""),25.0)</f>
        <v>25</v>
      </c>
      <c r="L45" s="3">
        <f>IFERROR(__xludf.DUMMYFUNCTION("""COMPUTED_VALUE"""),32.0)</f>
        <v>32</v>
      </c>
      <c r="M45" s="3">
        <f>IFERROR(__xludf.DUMMYFUNCTION("""COMPUTED_VALUE"""),32.0)</f>
        <v>32</v>
      </c>
      <c r="N45" s="3"/>
      <c r="O45" s="3"/>
      <c r="P45" s="3"/>
      <c r="Q45" s="3"/>
      <c r="R45" s="3"/>
      <c r="S45" s="3"/>
      <c r="T45" s="3"/>
      <c r="U45" s="3"/>
      <c r="V45" s="3"/>
      <c r="W45" s="3"/>
      <c r="X45" s="3"/>
      <c r="Y45" s="3"/>
      <c r="Z45" s="3"/>
    </row>
    <row r="46" hidden="1">
      <c r="A46" s="3" t="str">
        <f>IFERROR(__xludf.DUMMYFUNCTION("""COMPUTED_VALUE"""),"Reserves")</f>
        <v>Reserves</v>
      </c>
      <c r="B46" s="3">
        <f>IFERROR(__xludf.DUMMYFUNCTION("""COMPUTED_VALUE"""),139.0)</f>
        <v>139</v>
      </c>
      <c r="C46" s="3">
        <f>IFERROR(__xludf.DUMMYFUNCTION("""COMPUTED_VALUE"""),165.0)</f>
        <v>165</v>
      </c>
      <c r="D46" s="3">
        <f>IFERROR(__xludf.DUMMYFUNCTION("""COMPUTED_VALUE"""),172.0)</f>
        <v>172</v>
      </c>
      <c r="E46" s="3">
        <f>IFERROR(__xludf.DUMMYFUNCTION("""COMPUTED_VALUE"""),167.0)</f>
        <v>167</v>
      </c>
      <c r="F46" s="3">
        <f>IFERROR(__xludf.DUMMYFUNCTION("""COMPUTED_VALUE"""),170.0)</f>
        <v>170</v>
      </c>
      <c r="G46" s="3">
        <f>IFERROR(__xludf.DUMMYFUNCTION("""COMPUTED_VALUE"""),104.0)</f>
        <v>104</v>
      </c>
      <c r="H46" s="3">
        <f>IFERROR(__xludf.DUMMYFUNCTION("""COMPUTED_VALUE"""),115.0)</f>
        <v>115</v>
      </c>
      <c r="I46" s="3">
        <f>IFERROR(__xludf.DUMMYFUNCTION("""COMPUTED_VALUE"""),150.0)</f>
        <v>150</v>
      </c>
      <c r="J46" s="3">
        <f>IFERROR(__xludf.DUMMYFUNCTION("""COMPUTED_VALUE"""),166.0)</f>
        <v>166</v>
      </c>
      <c r="K46" s="3">
        <f>IFERROR(__xludf.DUMMYFUNCTION("""COMPUTED_VALUE"""),196.0)</f>
        <v>196</v>
      </c>
      <c r="L46" s="3">
        <f>IFERROR(__xludf.DUMMYFUNCTION("""COMPUTED_VALUE"""),228.0)</f>
        <v>228</v>
      </c>
      <c r="M46" s="3">
        <f>IFERROR(__xludf.DUMMYFUNCTION("""COMPUTED_VALUE"""),272.0)</f>
        <v>272</v>
      </c>
      <c r="N46" s="3"/>
      <c r="O46" s="3"/>
      <c r="P46" s="3"/>
      <c r="Q46" s="3"/>
      <c r="R46" s="3"/>
      <c r="S46" s="3"/>
      <c r="T46" s="3"/>
      <c r="U46" s="3"/>
      <c r="V46" s="3"/>
      <c r="W46" s="3"/>
      <c r="X46" s="3"/>
      <c r="Y46" s="3"/>
      <c r="Z46" s="3"/>
    </row>
    <row r="47" hidden="1">
      <c r="A47" s="3" t="str">
        <f>IFERROR(__xludf.DUMMYFUNCTION("""COMPUTED_VALUE"""),"Borrowings +")</f>
        <v>Borrowings +</v>
      </c>
      <c r="B47" s="3">
        <f>IFERROR(__xludf.DUMMYFUNCTION("""COMPUTED_VALUE"""),0.0)</f>
        <v>0</v>
      </c>
      <c r="C47" s="3">
        <f>IFERROR(__xludf.DUMMYFUNCTION("""COMPUTED_VALUE"""),0.0)</f>
        <v>0</v>
      </c>
      <c r="D47" s="3">
        <f>IFERROR(__xludf.DUMMYFUNCTION("""COMPUTED_VALUE"""),1.0)</f>
        <v>1</v>
      </c>
      <c r="E47" s="3">
        <f>IFERROR(__xludf.DUMMYFUNCTION("""COMPUTED_VALUE"""),0.0)</f>
        <v>0</v>
      </c>
      <c r="F47" s="3">
        <f>IFERROR(__xludf.DUMMYFUNCTION("""COMPUTED_VALUE"""),0.0)</f>
        <v>0</v>
      </c>
      <c r="G47" s="3">
        <f>IFERROR(__xludf.DUMMYFUNCTION("""COMPUTED_VALUE"""),13.0)</f>
        <v>13</v>
      </c>
      <c r="H47" s="3">
        <f>IFERROR(__xludf.DUMMYFUNCTION("""COMPUTED_VALUE"""),26.0)</f>
        <v>26</v>
      </c>
      <c r="I47" s="3">
        <f>IFERROR(__xludf.DUMMYFUNCTION("""COMPUTED_VALUE"""),8.0)</f>
        <v>8</v>
      </c>
      <c r="J47" s="3">
        <f>IFERROR(__xludf.DUMMYFUNCTION("""COMPUTED_VALUE"""),6.0)</f>
        <v>6</v>
      </c>
      <c r="K47" s="3">
        <f>IFERROR(__xludf.DUMMYFUNCTION("""COMPUTED_VALUE"""),2.0)</f>
        <v>2</v>
      </c>
      <c r="L47" s="3">
        <f>IFERROR(__xludf.DUMMYFUNCTION("""COMPUTED_VALUE"""),7.0)</f>
        <v>7</v>
      </c>
      <c r="M47" s="3">
        <f>IFERROR(__xludf.DUMMYFUNCTION("""COMPUTED_VALUE"""),4.0)</f>
        <v>4</v>
      </c>
      <c r="N47" s="3"/>
      <c r="O47" s="3"/>
      <c r="P47" s="3"/>
      <c r="Q47" s="3"/>
      <c r="R47" s="3"/>
      <c r="S47" s="3"/>
      <c r="T47" s="3"/>
      <c r="U47" s="3"/>
      <c r="V47" s="3"/>
      <c r="W47" s="3"/>
      <c r="X47" s="3"/>
      <c r="Y47" s="3"/>
      <c r="Z47" s="3"/>
    </row>
    <row r="48" hidden="1">
      <c r="A48" s="3" t="str">
        <f>IFERROR(__xludf.DUMMYFUNCTION("""COMPUTED_VALUE"""),"Other Liabilities +")</f>
        <v>Other Liabilities +</v>
      </c>
      <c r="B48" s="3">
        <f>IFERROR(__xludf.DUMMYFUNCTION("""COMPUTED_VALUE"""),56.0)</f>
        <v>56</v>
      </c>
      <c r="C48" s="3">
        <f>IFERROR(__xludf.DUMMYFUNCTION("""COMPUTED_VALUE"""),42.0)</f>
        <v>42</v>
      </c>
      <c r="D48" s="3">
        <f>IFERROR(__xludf.DUMMYFUNCTION("""COMPUTED_VALUE"""),43.0)</f>
        <v>43</v>
      </c>
      <c r="E48" s="3">
        <f>IFERROR(__xludf.DUMMYFUNCTION("""COMPUTED_VALUE"""),44.0)</f>
        <v>44</v>
      </c>
      <c r="F48" s="3">
        <f>IFERROR(__xludf.DUMMYFUNCTION("""COMPUTED_VALUE"""),44.0)</f>
        <v>44</v>
      </c>
      <c r="G48" s="3">
        <f>IFERROR(__xludf.DUMMYFUNCTION("""COMPUTED_VALUE"""),42.0)</f>
        <v>42</v>
      </c>
      <c r="H48" s="3">
        <f>IFERROR(__xludf.DUMMYFUNCTION("""COMPUTED_VALUE"""),41.0)</f>
        <v>41</v>
      </c>
      <c r="I48" s="3">
        <f>IFERROR(__xludf.DUMMYFUNCTION("""COMPUTED_VALUE"""),46.0)</f>
        <v>46</v>
      </c>
      <c r="J48" s="3">
        <f>IFERROR(__xludf.DUMMYFUNCTION("""COMPUTED_VALUE"""),46.0)</f>
        <v>46</v>
      </c>
      <c r="K48" s="3">
        <f>IFERROR(__xludf.DUMMYFUNCTION("""COMPUTED_VALUE"""),52.0)</f>
        <v>52</v>
      </c>
      <c r="L48" s="3">
        <f>IFERROR(__xludf.DUMMYFUNCTION("""COMPUTED_VALUE"""),54.0)</f>
        <v>54</v>
      </c>
      <c r="M48" s="3">
        <f>IFERROR(__xludf.DUMMYFUNCTION("""COMPUTED_VALUE"""),62.0)</f>
        <v>62</v>
      </c>
      <c r="N48" s="3"/>
      <c r="O48" s="3"/>
      <c r="P48" s="3"/>
      <c r="Q48" s="3"/>
      <c r="R48" s="3"/>
      <c r="S48" s="3"/>
      <c r="T48" s="3"/>
      <c r="U48" s="3"/>
      <c r="V48" s="3"/>
      <c r="W48" s="3"/>
      <c r="X48" s="3"/>
      <c r="Y48" s="3"/>
      <c r="Z48" s="3"/>
    </row>
    <row r="49" hidden="1">
      <c r="A49" s="3" t="str">
        <f>IFERROR(__xludf.DUMMYFUNCTION("""COMPUTED_VALUE"""),"Total Liabilities")</f>
        <v>Total Liabilities</v>
      </c>
      <c r="B49" s="3">
        <f>IFERROR(__xludf.DUMMYFUNCTION("""COMPUTED_VALUE"""),219.0)</f>
        <v>219</v>
      </c>
      <c r="C49" s="3">
        <f>IFERROR(__xludf.DUMMYFUNCTION("""COMPUTED_VALUE"""),231.0)</f>
        <v>231</v>
      </c>
      <c r="D49" s="3">
        <f>IFERROR(__xludf.DUMMYFUNCTION("""COMPUTED_VALUE"""),240.0)</f>
        <v>240</v>
      </c>
      <c r="E49" s="3">
        <f>IFERROR(__xludf.DUMMYFUNCTION("""COMPUTED_VALUE"""),236.0)</f>
        <v>236</v>
      </c>
      <c r="F49" s="3">
        <f>IFERROR(__xludf.DUMMYFUNCTION("""COMPUTED_VALUE"""),239.0)</f>
        <v>239</v>
      </c>
      <c r="G49" s="3">
        <f>IFERROR(__xludf.DUMMYFUNCTION("""COMPUTED_VALUE"""),184.0)</f>
        <v>184</v>
      </c>
      <c r="H49" s="3">
        <f>IFERROR(__xludf.DUMMYFUNCTION("""COMPUTED_VALUE"""),207.0)</f>
        <v>207</v>
      </c>
      <c r="I49" s="3">
        <f>IFERROR(__xludf.DUMMYFUNCTION("""COMPUTED_VALUE"""),229.0)</f>
        <v>229</v>
      </c>
      <c r="J49" s="3">
        <f>IFERROR(__xludf.DUMMYFUNCTION("""COMPUTED_VALUE"""),243.0)</f>
        <v>243</v>
      </c>
      <c r="K49" s="3">
        <f>IFERROR(__xludf.DUMMYFUNCTION("""COMPUTED_VALUE"""),276.0)</f>
        <v>276</v>
      </c>
      <c r="L49" s="3">
        <f>IFERROR(__xludf.DUMMYFUNCTION("""COMPUTED_VALUE"""),322.0)</f>
        <v>322</v>
      </c>
      <c r="M49" s="3">
        <f>IFERROR(__xludf.DUMMYFUNCTION("""COMPUTED_VALUE"""),370.0)</f>
        <v>370</v>
      </c>
      <c r="N49" s="3"/>
      <c r="O49" s="3"/>
      <c r="P49" s="3"/>
      <c r="Q49" s="3"/>
      <c r="R49" s="3"/>
      <c r="S49" s="3"/>
      <c r="T49" s="3"/>
      <c r="U49" s="3"/>
      <c r="V49" s="3"/>
      <c r="W49" s="3"/>
      <c r="X49" s="3"/>
      <c r="Y49" s="3"/>
      <c r="Z49" s="3"/>
    </row>
    <row r="50" hidden="1">
      <c r="A50" s="3" t="str">
        <f>IFERROR(__xludf.DUMMYFUNCTION("""COMPUTED_VALUE"""),"Fixed Assets +")</f>
        <v>Fixed Assets +</v>
      </c>
      <c r="B50" s="3">
        <f>IFERROR(__xludf.DUMMYFUNCTION("""COMPUTED_VALUE"""),92.0)</f>
        <v>92</v>
      </c>
      <c r="C50" s="3">
        <f>IFERROR(__xludf.DUMMYFUNCTION("""COMPUTED_VALUE"""),91.0)</f>
        <v>91</v>
      </c>
      <c r="D50" s="3">
        <f>IFERROR(__xludf.DUMMYFUNCTION("""COMPUTED_VALUE"""),90.0)</f>
        <v>90</v>
      </c>
      <c r="E50" s="3">
        <f>IFERROR(__xludf.DUMMYFUNCTION("""COMPUTED_VALUE"""),97.0)</f>
        <v>97</v>
      </c>
      <c r="F50" s="3">
        <f>IFERROR(__xludf.DUMMYFUNCTION("""COMPUTED_VALUE"""),101.0)</f>
        <v>101</v>
      </c>
      <c r="G50" s="3">
        <f>IFERROR(__xludf.DUMMYFUNCTION("""COMPUTED_VALUE"""),51.0)</f>
        <v>51</v>
      </c>
      <c r="H50" s="3">
        <f>IFERROR(__xludf.DUMMYFUNCTION("""COMPUTED_VALUE"""),38.0)</f>
        <v>38</v>
      </c>
      <c r="I50" s="3">
        <f>IFERROR(__xludf.DUMMYFUNCTION("""COMPUTED_VALUE"""),38.0)</f>
        <v>38</v>
      </c>
      <c r="J50" s="3">
        <f>IFERROR(__xludf.DUMMYFUNCTION("""COMPUTED_VALUE"""),36.0)</f>
        <v>36</v>
      </c>
      <c r="K50" s="3">
        <f>IFERROR(__xludf.DUMMYFUNCTION("""COMPUTED_VALUE"""),33.0)</f>
        <v>33</v>
      </c>
      <c r="L50" s="3">
        <f>IFERROR(__xludf.DUMMYFUNCTION("""COMPUTED_VALUE"""),38.0)</f>
        <v>38</v>
      </c>
      <c r="M50" s="3">
        <f>IFERROR(__xludf.DUMMYFUNCTION("""COMPUTED_VALUE"""),33.0)</f>
        <v>33</v>
      </c>
      <c r="N50" s="3"/>
      <c r="O50" s="3"/>
      <c r="P50" s="3"/>
      <c r="Q50" s="3"/>
      <c r="R50" s="3"/>
      <c r="S50" s="3"/>
      <c r="T50" s="3"/>
      <c r="U50" s="3"/>
      <c r="V50" s="3"/>
      <c r="W50" s="3"/>
      <c r="X50" s="3"/>
      <c r="Y50" s="3"/>
      <c r="Z50" s="3"/>
    </row>
    <row r="51" hidden="1">
      <c r="A51" s="3" t="str">
        <f>IFERROR(__xludf.DUMMYFUNCTION("""COMPUTED_VALUE"""),"CWIP")</f>
        <v>CWIP</v>
      </c>
      <c r="B51" s="3">
        <f>IFERROR(__xludf.DUMMYFUNCTION("""COMPUTED_VALUE"""),0.0)</f>
        <v>0</v>
      </c>
      <c r="C51" s="3">
        <f>IFERROR(__xludf.DUMMYFUNCTION("""COMPUTED_VALUE"""),0.0)</f>
        <v>0</v>
      </c>
      <c r="D51" s="3">
        <f>IFERROR(__xludf.DUMMYFUNCTION("""COMPUTED_VALUE"""),0.0)</f>
        <v>0</v>
      </c>
      <c r="E51" s="3">
        <f>IFERROR(__xludf.DUMMYFUNCTION("""COMPUTED_VALUE"""),0.0)</f>
        <v>0</v>
      </c>
      <c r="F51" s="3">
        <f>IFERROR(__xludf.DUMMYFUNCTION("""COMPUTED_VALUE"""),0.0)</f>
        <v>0</v>
      </c>
      <c r="G51" s="3">
        <f>IFERROR(__xludf.DUMMYFUNCTION("""COMPUTED_VALUE"""),0.0)</f>
        <v>0</v>
      </c>
      <c r="H51" s="3">
        <f>IFERROR(__xludf.DUMMYFUNCTION("""COMPUTED_VALUE"""),0.0)</f>
        <v>0</v>
      </c>
      <c r="I51" s="3">
        <f>IFERROR(__xludf.DUMMYFUNCTION("""COMPUTED_VALUE"""),0.0)</f>
        <v>0</v>
      </c>
      <c r="J51" s="3">
        <f>IFERROR(__xludf.DUMMYFUNCTION("""COMPUTED_VALUE"""),0.0)</f>
        <v>0</v>
      </c>
      <c r="K51" s="3">
        <f>IFERROR(__xludf.DUMMYFUNCTION("""COMPUTED_VALUE"""),0.0)</f>
        <v>0</v>
      </c>
      <c r="L51" s="3">
        <f>IFERROR(__xludf.DUMMYFUNCTION("""COMPUTED_VALUE"""),0.0)</f>
        <v>0</v>
      </c>
      <c r="M51" s="3">
        <f>IFERROR(__xludf.DUMMYFUNCTION("""COMPUTED_VALUE"""),0.0)</f>
        <v>0</v>
      </c>
      <c r="N51" s="3"/>
      <c r="O51" s="3"/>
      <c r="P51" s="3"/>
      <c r="Q51" s="3"/>
      <c r="R51" s="3"/>
      <c r="S51" s="3"/>
      <c r="T51" s="3"/>
      <c r="U51" s="3"/>
      <c r="V51" s="3"/>
      <c r="W51" s="3"/>
      <c r="X51" s="3"/>
      <c r="Y51" s="3"/>
      <c r="Z51" s="3"/>
    </row>
    <row r="52" hidden="1">
      <c r="A52" s="3" t="str">
        <f>IFERROR(__xludf.DUMMYFUNCTION("""COMPUTED_VALUE"""),"Investments")</f>
        <v>Investments</v>
      </c>
      <c r="B52" s="3">
        <f>IFERROR(__xludf.DUMMYFUNCTION("""COMPUTED_VALUE"""),0.0)</f>
        <v>0</v>
      </c>
      <c r="C52" s="3">
        <f>IFERROR(__xludf.DUMMYFUNCTION("""COMPUTED_VALUE"""),0.0)</f>
        <v>0</v>
      </c>
      <c r="D52" s="3">
        <f>IFERROR(__xludf.DUMMYFUNCTION("""COMPUTED_VALUE"""),0.0)</f>
        <v>0</v>
      </c>
      <c r="E52" s="3">
        <f>IFERROR(__xludf.DUMMYFUNCTION("""COMPUTED_VALUE"""),8.0)</f>
        <v>8</v>
      </c>
      <c r="F52" s="3">
        <f>IFERROR(__xludf.DUMMYFUNCTION("""COMPUTED_VALUE"""),14.0)</f>
        <v>14</v>
      </c>
      <c r="G52" s="3">
        <f>IFERROR(__xludf.DUMMYFUNCTION("""COMPUTED_VALUE"""),0.0)</f>
        <v>0</v>
      </c>
      <c r="H52" s="3">
        <f>IFERROR(__xludf.DUMMYFUNCTION("""COMPUTED_VALUE"""),0.0)</f>
        <v>0</v>
      </c>
      <c r="I52" s="3">
        <f>IFERROR(__xludf.DUMMYFUNCTION("""COMPUTED_VALUE"""),0.0)</f>
        <v>0</v>
      </c>
      <c r="J52" s="3">
        <f>IFERROR(__xludf.DUMMYFUNCTION("""COMPUTED_VALUE"""),0.0)</f>
        <v>0</v>
      </c>
      <c r="K52" s="3">
        <f>IFERROR(__xludf.DUMMYFUNCTION("""COMPUTED_VALUE"""),0.0)</f>
        <v>0</v>
      </c>
      <c r="L52" s="3">
        <f>IFERROR(__xludf.DUMMYFUNCTION("""COMPUTED_VALUE"""),0.0)</f>
        <v>0</v>
      </c>
      <c r="M52" s="3">
        <f>IFERROR(__xludf.DUMMYFUNCTION("""COMPUTED_VALUE"""),56.0)</f>
        <v>56</v>
      </c>
      <c r="N52" s="3"/>
      <c r="O52" s="3"/>
      <c r="P52" s="3"/>
      <c r="Q52" s="3"/>
      <c r="R52" s="3"/>
      <c r="S52" s="3"/>
      <c r="T52" s="3"/>
      <c r="U52" s="3"/>
      <c r="V52" s="3"/>
      <c r="W52" s="3"/>
      <c r="X52" s="3"/>
      <c r="Y52" s="3"/>
      <c r="Z52" s="3"/>
    </row>
    <row r="53" hidden="1">
      <c r="A53" s="3" t="str">
        <f>IFERROR(__xludf.DUMMYFUNCTION("""COMPUTED_VALUE"""),"Other Assets +")</f>
        <v>Other Assets +</v>
      </c>
      <c r="B53" s="3">
        <f>IFERROR(__xludf.DUMMYFUNCTION("""COMPUTED_VALUE"""),127.0)</f>
        <v>127</v>
      </c>
      <c r="C53" s="3">
        <f>IFERROR(__xludf.DUMMYFUNCTION("""COMPUTED_VALUE"""),140.0)</f>
        <v>140</v>
      </c>
      <c r="D53" s="3">
        <f>IFERROR(__xludf.DUMMYFUNCTION("""COMPUTED_VALUE"""),150.0)</f>
        <v>150</v>
      </c>
      <c r="E53" s="3">
        <f>IFERROR(__xludf.DUMMYFUNCTION("""COMPUTED_VALUE"""),130.0)</f>
        <v>130</v>
      </c>
      <c r="F53" s="3">
        <f>IFERROR(__xludf.DUMMYFUNCTION("""COMPUTED_VALUE"""),125.0)</f>
        <v>125</v>
      </c>
      <c r="G53" s="3">
        <f>IFERROR(__xludf.DUMMYFUNCTION("""COMPUTED_VALUE"""),133.0)</f>
        <v>133</v>
      </c>
      <c r="H53" s="3">
        <f>IFERROR(__xludf.DUMMYFUNCTION("""COMPUTED_VALUE"""),169.0)</f>
        <v>169</v>
      </c>
      <c r="I53" s="3">
        <f>IFERROR(__xludf.DUMMYFUNCTION("""COMPUTED_VALUE"""),191.0)</f>
        <v>191</v>
      </c>
      <c r="J53" s="3">
        <f>IFERROR(__xludf.DUMMYFUNCTION("""COMPUTED_VALUE"""),207.0)</f>
        <v>207</v>
      </c>
      <c r="K53" s="3">
        <f>IFERROR(__xludf.DUMMYFUNCTION("""COMPUTED_VALUE"""),243.0)</f>
        <v>243</v>
      </c>
      <c r="L53" s="3">
        <f>IFERROR(__xludf.DUMMYFUNCTION("""COMPUTED_VALUE"""),284.0)</f>
        <v>284</v>
      </c>
      <c r="M53" s="3">
        <f>IFERROR(__xludf.DUMMYFUNCTION("""COMPUTED_VALUE"""),280.0)</f>
        <v>280</v>
      </c>
      <c r="N53" s="3"/>
      <c r="O53" s="3"/>
      <c r="P53" s="3"/>
      <c r="Q53" s="3"/>
      <c r="R53" s="3"/>
      <c r="S53" s="3"/>
      <c r="T53" s="3"/>
      <c r="U53" s="3"/>
      <c r="V53" s="3"/>
      <c r="W53" s="3"/>
      <c r="X53" s="3"/>
      <c r="Y53" s="3"/>
      <c r="Z53" s="3"/>
    </row>
    <row r="54" hidden="1">
      <c r="A54" s="3" t="str">
        <f>IFERROR(__xludf.DUMMYFUNCTION("""COMPUTED_VALUE"""),"Total Assets")</f>
        <v>Total Assets</v>
      </c>
      <c r="B54" s="3">
        <f>IFERROR(__xludf.DUMMYFUNCTION("""COMPUTED_VALUE"""),219.0)</f>
        <v>219</v>
      </c>
      <c r="C54" s="3">
        <f>IFERROR(__xludf.DUMMYFUNCTION("""COMPUTED_VALUE"""),231.0)</f>
        <v>231</v>
      </c>
      <c r="D54" s="3">
        <f>IFERROR(__xludf.DUMMYFUNCTION("""COMPUTED_VALUE"""),240.0)</f>
        <v>240</v>
      </c>
      <c r="E54" s="3">
        <f>IFERROR(__xludf.DUMMYFUNCTION("""COMPUTED_VALUE"""),236.0)</f>
        <v>236</v>
      </c>
      <c r="F54" s="3">
        <f>IFERROR(__xludf.DUMMYFUNCTION("""COMPUTED_VALUE"""),239.0)</f>
        <v>239</v>
      </c>
      <c r="G54" s="3">
        <f>IFERROR(__xludf.DUMMYFUNCTION("""COMPUTED_VALUE"""),184.0)</f>
        <v>184</v>
      </c>
      <c r="H54" s="3">
        <f>IFERROR(__xludf.DUMMYFUNCTION("""COMPUTED_VALUE"""),207.0)</f>
        <v>207</v>
      </c>
      <c r="I54" s="3">
        <f>IFERROR(__xludf.DUMMYFUNCTION("""COMPUTED_VALUE"""),229.0)</f>
        <v>229</v>
      </c>
      <c r="J54" s="3">
        <f>IFERROR(__xludf.DUMMYFUNCTION("""COMPUTED_VALUE"""),243.0)</f>
        <v>243</v>
      </c>
      <c r="K54" s="3">
        <f>IFERROR(__xludf.DUMMYFUNCTION("""COMPUTED_VALUE"""),276.0)</f>
        <v>276</v>
      </c>
      <c r="L54" s="3">
        <f>IFERROR(__xludf.DUMMYFUNCTION("""COMPUTED_VALUE"""),322.0)</f>
        <v>322</v>
      </c>
      <c r="M54" s="3">
        <f>IFERROR(__xludf.DUMMYFUNCTION("""COMPUTED_VALUE"""),370.0)</f>
        <v>370</v>
      </c>
      <c r="N54" s="3"/>
      <c r="O54" s="3"/>
      <c r="P54" s="3"/>
      <c r="Q54" s="3"/>
      <c r="R54" s="3"/>
      <c r="S54" s="3"/>
      <c r="T54" s="3"/>
      <c r="U54" s="3"/>
      <c r="V54" s="3"/>
      <c r="W54" s="3"/>
      <c r="X54" s="3"/>
      <c r="Y54" s="3"/>
      <c r="Z54" s="3"/>
    </row>
    <row r="55" hidden="1">
      <c r="A55" s="3"/>
      <c r="B55" s="15">
        <f>row()+match("Borrowings +",A57:A66, 0)+1</f>
        <v>59</v>
      </c>
      <c r="C55" s="15">
        <f>row()+match("Total Assets",A57:A66, 0)+1</f>
        <v>66</v>
      </c>
      <c r="D55" s="15">
        <f>row()+match("Fixed Assets +",A57:A66, 0)+1</f>
        <v>62</v>
      </c>
      <c r="E55" s="15">
        <f>row()+match("CWIP",A57:A66, 0)+1</f>
        <v>63</v>
      </c>
      <c r="F55" s="15">
        <f>row()+match("Total Liabilities",A57:A66, 0)+1</f>
        <v>61</v>
      </c>
      <c r="G55" s="3"/>
      <c r="H55" s="3"/>
      <c r="I55" s="3"/>
      <c r="J55" s="3"/>
      <c r="K55" s="3"/>
      <c r="L55" s="3"/>
      <c r="M55" s="3"/>
      <c r="N55" s="3"/>
      <c r="O55" s="3"/>
      <c r="P55" s="3"/>
      <c r="Q55" s="3"/>
      <c r="R55" s="3"/>
      <c r="S55" s="3"/>
      <c r="T55" s="3"/>
      <c r="U55" s="3"/>
      <c r="V55" s="3"/>
      <c r="W55" s="3"/>
      <c r="X55" s="3"/>
      <c r="Y55" s="3"/>
      <c r="Z55" s="3"/>
    </row>
    <row r="56" hidden="1">
      <c r="A56" s="15" t="str">
        <f>IFERROR(__xludf.DUMMYFUNCTION("query(IMPORTHTML($B$5,""table"",7),""SELECT *"",1)"),"")</f>
        <v/>
      </c>
      <c r="B56" s="3" t="str">
        <f>IFERROR(__xludf.DUMMYFUNCTION("""COMPUTED_VALUE"""),"Mar 2015")</f>
        <v>Mar 2015</v>
      </c>
      <c r="C56" s="3" t="str">
        <f>IFERROR(__xludf.DUMMYFUNCTION("""COMPUTED_VALUE"""),"Mar 2016")</f>
        <v>Mar 2016</v>
      </c>
      <c r="D56" s="3" t="str">
        <f>IFERROR(__xludf.DUMMYFUNCTION("""COMPUTED_VALUE"""),"Mar 2017")</f>
        <v>Mar 2017</v>
      </c>
      <c r="E56" s="3" t="str">
        <f>IFERROR(__xludf.DUMMYFUNCTION("""COMPUTED_VALUE"""),"Mar 2018")</f>
        <v>Mar 2018</v>
      </c>
      <c r="F56" s="3" t="str">
        <f>IFERROR(__xludf.DUMMYFUNCTION("""COMPUTED_VALUE"""),"Mar 2019")</f>
        <v>Mar 2019</v>
      </c>
      <c r="G56" s="3" t="str">
        <f>IFERROR(__xludf.DUMMYFUNCTION("""COMPUTED_VALUE"""),"Mar 2020")</f>
        <v>Mar 2020</v>
      </c>
      <c r="H56" s="3" t="str">
        <f>IFERROR(__xludf.DUMMYFUNCTION("""COMPUTED_VALUE"""),"Mar 2021")</f>
        <v>Mar 2021</v>
      </c>
      <c r="I56" s="3" t="str">
        <f>IFERROR(__xludf.DUMMYFUNCTION("""COMPUTED_VALUE"""),"Mar 2022")</f>
        <v>Mar 2022</v>
      </c>
      <c r="J56" s="3" t="str">
        <f>IFERROR(__xludf.DUMMYFUNCTION("""COMPUTED_VALUE"""),"Mar 2023")</f>
        <v>Mar 2023</v>
      </c>
      <c r="K56" s="3" t="str">
        <f>IFERROR(__xludf.DUMMYFUNCTION("""COMPUTED_VALUE"""),"Mar 2024")</f>
        <v>Mar 2024</v>
      </c>
      <c r="L56" s="3" t="str">
        <f>IFERROR(__xludf.DUMMYFUNCTION("""COMPUTED_VALUE"""),"Mar 2025")</f>
        <v>Mar 2025</v>
      </c>
      <c r="M56" s="3" t="str">
        <f>IFERROR(__xludf.DUMMYFUNCTION("""COMPUTED_VALUE"""),"Mar 2026")</f>
        <v>Mar 2026</v>
      </c>
      <c r="N56" s="3"/>
      <c r="O56" s="3"/>
      <c r="P56" s="3"/>
      <c r="Q56" s="3"/>
      <c r="R56" s="3"/>
      <c r="S56" s="3"/>
      <c r="T56" s="3"/>
      <c r="U56" s="3"/>
      <c r="V56" s="3"/>
      <c r="W56" s="3"/>
      <c r="X56" s="3"/>
      <c r="Y56" s="3"/>
      <c r="Z56" s="3"/>
    </row>
    <row r="57" hidden="1">
      <c r="A57" s="3" t="str">
        <f>IFERROR(__xludf.DUMMYFUNCTION("""COMPUTED_VALUE"""),"Equity Capital")</f>
        <v>Equity Capital</v>
      </c>
      <c r="B57" s="3">
        <f>IFERROR(__xludf.DUMMYFUNCTION("""COMPUTED_VALUE"""),25.0)</f>
        <v>25</v>
      </c>
      <c r="C57" s="3">
        <f>IFERROR(__xludf.DUMMYFUNCTION("""COMPUTED_VALUE"""),25.0)</f>
        <v>25</v>
      </c>
      <c r="D57" s="3">
        <f>IFERROR(__xludf.DUMMYFUNCTION("""COMPUTED_VALUE"""),25.0)</f>
        <v>25</v>
      </c>
      <c r="E57" s="3">
        <f>IFERROR(__xludf.DUMMYFUNCTION("""COMPUTED_VALUE"""),26.0)</f>
        <v>26</v>
      </c>
      <c r="F57" s="3">
        <f>IFERROR(__xludf.DUMMYFUNCTION("""COMPUTED_VALUE"""),26.0)</f>
        <v>26</v>
      </c>
      <c r="G57" s="3">
        <f>IFERROR(__xludf.DUMMYFUNCTION("""COMPUTED_VALUE"""),26.0)</f>
        <v>26</v>
      </c>
      <c r="H57" s="3">
        <f>IFERROR(__xludf.DUMMYFUNCTION("""COMPUTED_VALUE"""),26.0)</f>
        <v>26</v>
      </c>
      <c r="I57" s="3">
        <f>IFERROR(__xludf.DUMMYFUNCTION("""COMPUTED_VALUE"""),26.0)</f>
        <v>26</v>
      </c>
      <c r="J57" s="3">
        <f>IFERROR(__xludf.DUMMYFUNCTION("""COMPUTED_VALUE"""),25.0)</f>
        <v>25</v>
      </c>
      <c r="K57" s="3">
        <f>IFERROR(__xludf.DUMMYFUNCTION("""COMPUTED_VALUE"""),25.0)</f>
        <v>25</v>
      </c>
      <c r="L57" s="3">
        <f>IFERROR(__xludf.DUMMYFUNCTION("""COMPUTED_VALUE"""),32.0)</f>
        <v>32</v>
      </c>
      <c r="M57" s="3">
        <f>IFERROR(__xludf.DUMMYFUNCTION("""COMPUTED_VALUE"""),32.0)</f>
        <v>32</v>
      </c>
      <c r="N57" s="3"/>
      <c r="O57" s="3"/>
      <c r="P57" s="3"/>
      <c r="Q57" s="3"/>
      <c r="R57" s="3"/>
      <c r="S57" s="3"/>
      <c r="T57" s="3"/>
      <c r="U57" s="3"/>
      <c r="V57" s="3"/>
      <c r="W57" s="3"/>
      <c r="X57" s="3"/>
      <c r="Y57" s="3"/>
      <c r="Z57" s="3"/>
    </row>
    <row r="58" hidden="1">
      <c r="A58" s="3" t="str">
        <f>IFERROR(__xludf.DUMMYFUNCTION("""COMPUTED_VALUE"""),"Reserves")</f>
        <v>Reserves</v>
      </c>
      <c r="B58" s="3">
        <f>IFERROR(__xludf.DUMMYFUNCTION("""COMPUTED_VALUE"""),142.0)</f>
        <v>142</v>
      </c>
      <c r="C58" s="3">
        <f>IFERROR(__xludf.DUMMYFUNCTION("""COMPUTED_VALUE"""),148.0)</f>
        <v>148</v>
      </c>
      <c r="D58" s="3">
        <f>IFERROR(__xludf.DUMMYFUNCTION("""COMPUTED_VALUE"""),153.0)</f>
        <v>153</v>
      </c>
      <c r="E58" s="3">
        <f>IFERROR(__xludf.DUMMYFUNCTION("""COMPUTED_VALUE"""),154.0)</f>
        <v>154</v>
      </c>
      <c r="F58" s="3">
        <f>IFERROR(__xludf.DUMMYFUNCTION("""COMPUTED_VALUE"""),160.0)</f>
        <v>160</v>
      </c>
      <c r="G58" s="3">
        <f>IFERROR(__xludf.DUMMYFUNCTION("""COMPUTED_VALUE"""),96.0)</f>
        <v>96</v>
      </c>
      <c r="H58" s="3">
        <f>IFERROR(__xludf.DUMMYFUNCTION("""COMPUTED_VALUE"""),105.0)</f>
        <v>105</v>
      </c>
      <c r="I58" s="3">
        <f>IFERROR(__xludf.DUMMYFUNCTION("""COMPUTED_VALUE"""),116.0)</f>
        <v>116</v>
      </c>
      <c r="J58" s="3">
        <f>IFERROR(__xludf.DUMMYFUNCTION("""COMPUTED_VALUE"""),121.0)</f>
        <v>121</v>
      </c>
      <c r="K58" s="3">
        <f>IFERROR(__xludf.DUMMYFUNCTION("""COMPUTED_VALUE"""),138.0)</f>
        <v>138</v>
      </c>
      <c r="L58" s="3">
        <f>IFERROR(__xludf.DUMMYFUNCTION("""COMPUTED_VALUE"""),157.0)</f>
        <v>157</v>
      </c>
      <c r="M58" s="3">
        <f>IFERROR(__xludf.DUMMYFUNCTION("""COMPUTED_VALUE"""),172.0)</f>
        <v>172</v>
      </c>
      <c r="N58" s="3"/>
      <c r="O58" s="3"/>
      <c r="P58" s="3"/>
      <c r="Q58" s="3"/>
      <c r="R58" s="3"/>
      <c r="S58" s="3"/>
      <c r="T58" s="3"/>
      <c r="U58" s="3"/>
      <c r="V58" s="3"/>
      <c r="W58" s="3"/>
      <c r="X58" s="3"/>
      <c r="Y58" s="3"/>
      <c r="Z58" s="3"/>
    </row>
    <row r="59" hidden="1">
      <c r="A59" s="3" t="str">
        <f>IFERROR(__xludf.DUMMYFUNCTION("""COMPUTED_VALUE"""),"Borrowings +")</f>
        <v>Borrowings +</v>
      </c>
      <c r="B59" s="3">
        <f>IFERROR(__xludf.DUMMYFUNCTION("""COMPUTED_VALUE"""),0.0)</f>
        <v>0</v>
      </c>
      <c r="C59" s="3">
        <f>IFERROR(__xludf.DUMMYFUNCTION("""COMPUTED_VALUE"""),0.0)</f>
        <v>0</v>
      </c>
      <c r="D59" s="3">
        <f>IFERROR(__xludf.DUMMYFUNCTION("""COMPUTED_VALUE"""),1.0)</f>
        <v>1</v>
      </c>
      <c r="E59" s="3">
        <f>IFERROR(__xludf.DUMMYFUNCTION("""COMPUTED_VALUE"""),0.0)</f>
        <v>0</v>
      </c>
      <c r="F59" s="3">
        <f>IFERROR(__xludf.DUMMYFUNCTION("""COMPUTED_VALUE"""),0.0)</f>
        <v>0</v>
      </c>
      <c r="G59" s="3">
        <f>IFERROR(__xludf.DUMMYFUNCTION("""COMPUTED_VALUE"""),12.0)</f>
        <v>12</v>
      </c>
      <c r="H59" s="3">
        <f>IFERROR(__xludf.DUMMYFUNCTION("""COMPUTED_VALUE"""),7.0)</f>
        <v>7</v>
      </c>
      <c r="I59" s="3">
        <f>IFERROR(__xludf.DUMMYFUNCTION("""COMPUTED_VALUE"""),8.0)</f>
        <v>8</v>
      </c>
      <c r="J59" s="3">
        <f>IFERROR(__xludf.DUMMYFUNCTION("""COMPUTED_VALUE"""),6.0)</f>
        <v>6</v>
      </c>
      <c r="K59" s="3">
        <f>IFERROR(__xludf.DUMMYFUNCTION("""COMPUTED_VALUE"""),2.0)</f>
        <v>2</v>
      </c>
      <c r="L59" s="3">
        <f>IFERROR(__xludf.DUMMYFUNCTION("""COMPUTED_VALUE"""),7.0)</f>
        <v>7</v>
      </c>
      <c r="M59" s="3">
        <f>IFERROR(__xludf.DUMMYFUNCTION("""COMPUTED_VALUE"""),4.0)</f>
        <v>4</v>
      </c>
      <c r="N59" s="3"/>
      <c r="O59" s="3"/>
      <c r="P59" s="3"/>
      <c r="Q59" s="3"/>
      <c r="R59" s="3"/>
      <c r="S59" s="3"/>
      <c r="T59" s="3"/>
      <c r="U59" s="3"/>
      <c r="V59" s="3"/>
      <c r="W59" s="3"/>
      <c r="X59" s="3"/>
      <c r="Y59" s="3"/>
      <c r="Z59" s="3"/>
    </row>
    <row r="60" hidden="1">
      <c r="A60" s="3" t="str">
        <f>IFERROR(__xludf.DUMMYFUNCTION("""COMPUTED_VALUE"""),"Other Liabilities +")</f>
        <v>Other Liabilities +</v>
      </c>
      <c r="B60" s="3">
        <f>IFERROR(__xludf.DUMMYFUNCTION("""COMPUTED_VALUE"""),20.0)</f>
        <v>20</v>
      </c>
      <c r="C60" s="3">
        <f>IFERROR(__xludf.DUMMYFUNCTION("""COMPUTED_VALUE"""),21.0)</f>
        <v>21</v>
      </c>
      <c r="D60" s="3">
        <f>IFERROR(__xludf.DUMMYFUNCTION("""COMPUTED_VALUE"""),15.0)</f>
        <v>15</v>
      </c>
      <c r="E60" s="3">
        <f>IFERROR(__xludf.DUMMYFUNCTION("""COMPUTED_VALUE"""),23.0)</f>
        <v>23</v>
      </c>
      <c r="F60" s="3">
        <f>IFERROR(__xludf.DUMMYFUNCTION("""COMPUTED_VALUE"""),28.0)</f>
        <v>28</v>
      </c>
      <c r="G60" s="3">
        <f>IFERROR(__xludf.DUMMYFUNCTION("""COMPUTED_VALUE"""),22.0)</f>
        <v>22</v>
      </c>
      <c r="H60" s="3">
        <f>IFERROR(__xludf.DUMMYFUNCTION("""COMPUTED_VALUE"""),19.0)</f>
        <v>19</v>
      </c>
      <c r="I60" s="3">
        <f>IFERROR(__xludf.DUMMYFUNCTION("""COMPUTED_VALUE"""),20.0)</f>
        <v>20</v>
      </c>
      <c r="J60" s="3">
        <f>IFERROR(__xludf.DUMMYFUNCTION("""COMPUTED_VALUE"""),18.0)</f>
        <v>18</v>
      </c>
      <c r="K60" s="3">
        <f>IFERROR(__xludf.DUMMYFUNCTION("""COMPUTED_VALUE"""),22.0)</f>
        <v>22</v>
      </c>
      <c r="L60" s="3">
        <f>IFERROR(__xludf.DUMMYFUNCTION("""COMPUTED_VALUE"""),23.0)</f>
        <v>23</v>
      </c>
      <c r="M60" s="3">
        <f>IFERROR(__xludf.DUMMYFUNCTION("""COMPUTED_VALUE"""),32.0)</f>
        <v>32</v>
      </c>
      <c r="N60" s="3"/>
      <c r="O60" s="3"/>
      <c r="P60" s="3"/>
      <c r="Q60" s="3"/>
      <c r="R60" s="3"/>
      <c r="S60" s="3"/>
      <c r="T60" s="3"/>
      <c r="U60" s="3"/>
      <c r="V60" s="3"/>
      <c r="W60" s="3"/>
      <c r="X60" s="3"/>
      <c r="Y60" s="3"/>
      <c r="Z60" s="3"/>
    </row>
    <row r="61" hidden="1">
      <c r="A61" s="3" t="str">
        <f>IFERROR(__xludf.DUMMYFUNCTION("""COMPUTED_VALUE"""),"Total Liabilities")</f>
        <v>Total Liabilities</v>
      </c>
      <c r="B61" s="3">
        <f>IFERROR(__xludf.DUMMYFUNCTION("""COMPUTED_VALUE"""),187.0)</f>
        <v>187</v>
      </c>
      <c r="C61" s="3">
        <f>IFERROR(__xludf.DUMMYFUNCTION("""COMPUTED_VALUE"""),194.0)</f>
        <v>194</v>
      </c>
      <c r="D61" s="3">
        <f>IFERROR(__xludf.DUMMYFUNCTION("""COMPUTED_VALUE"""),195.0)</f>
        <v>195</v>
      </c>
      <c r="E61" s="3">
        <f>IFERROR(__xludf.DUMMYFUNCTION("""COMPUTED_VALUE"""),203.0)</f>
        <v>203</v>
      </c>
      <c r="F61" s="3">
        <f>IFERROR(__xludf.DUMMYFUNCTION("""COMPUTED_VALUE"""),213.0)</f>
        <v>213</v>
      </c>
      <c r="G61" s="3">
        <f>IFERROR(__xludf.DUMMYFUNCTION("""COMPUTED_VALUE"""),156.0)</f>
        <v>156</v>
      </c>
      <c r="H61" s="3">
        <f>IFERROR(__xludf.DUMMYFUNCTION("""COMPUTED_VALUE"""),157.0)</f>
        <v>157</v>
      </c>
      <c r="I61" s="3">
        <f>IFERROR(__xludf.DUMMYFUNCTION("""COMPUTED_VALUE"""),170.0)</f>
        <v>170</v>
      </c>
      <c r="J61" s="3">
        <f>IFERROR(__xludf.DUMMYFUNCTION("""COMPUTED_VALUE"""),169.0)</f>
        <v>169</v>
      </c>
      <c r="K61" s="3">
        <f>IFERROR(__xludf.DUMMYFUNCTION("""COMPUTED_VALUE"""),187.0)</f>
        <v>187</v>
      </c>
      <c r="L61" s="3">
        <f>IFERROR(__xludf.DUMMYFUNCTION("""COMPUTED_VALUE"""),219.0)</f>
        <v>219</v>
      </c>
      <c r="M61" s="3">
        <f>IFERROR(__xludf.DUMMYFUNCTION("""COMPUTED_VALUE"""),240.0)</f>
        <v>240</v>
      </c>
      <c r="N61" s="3"/>
      <c r="O61" s="3"/>
      <c r="P61" s="3"/>
      <c r="Q61" s="3"/>
      <c r="R61" s="3"/>
      <c r="S61" s="3"/>
      <c r="T61" s="3"/>
      <c r="U61" s="3"/>
      <c r="V61" s="3"/>
      <c r="W61" s="3"/>
      <c r="X61" s="3"/>
      <c r="Y61" s="3"/>
      <c r="Z61" s="3"/>
    </row>
    <row r="62" hidden="1">
      <c r="A62" s="3" t="str">
        <f>IFERROR(__xludf.DUMMYFUNCTION("""COMPUTED_VALUE"""),"Fixed Assets +")</f>
        <v>Fixed Assets +</v>
      </c>
      <c r="B62" s="3">
        <f>IFERROR(__xludf.DUMMYFUNCTION("""COMPUTED_VALUE"""),4.0)</f>
        <v>4</v>
      </c>
      <c r="C62" s="3">
        <f>IFERROR(__xludf.DUMMYFUNCTION("""COMPUTED_VALUE"""),3.0)</f>
        <v>3</v>
      </c>
      <c r="D62" s="3">
        <f>IFERROR(__xludf.DUMMYFUNCTION("""COMPUTED_VALUE"""),2.0)</f>
        <v>2</v>
      </c>
      <c r="E62" s="3">
        <f>IFERROR(__xludf.DUMMYFUNCTION("""COMPUTED_VALUE"""),9.0)</f>
        <v>9</v>
      </c>
      <c r="F62" s="3">
        <f>IFERROR(__xludf.DUMMYFUNCTION("""COMPUTED_VALUE"""),13.0)</f>
        <v>13</v>
      </c>
      <c r="G62" s="3">
        <f>IFERROR(__xludf.DUMMYFUNCTION("""COMPUTED_VALUE"""),22.0)</f>
        <v>22</v>
      </c>
      <c r="H62" s="3">
        <f>IFERROR(__xludf.DUMMYFUNCTION("""COMPUTED_VALUE"""),9.0)</f>
        <v>9</v>
      </c>
      <c r="I62" s="3">
        <f>IFERROR(__xludf.DUMMYFUNCTION("""COMPUTED_VALUE"""),10.0)</f>
        <v>10</v>
      </c>
      <c r="J62" s="3">
        <f>IFERROR(__xludf.DUMMYFUNCTION("""COMPUTED_VALUE"""),7.0)</f>
        <v>7</v>
      </c>
      <c r="K62" s="3">
        <f>IFERROR(__xludf.DUMMYFUNCTION("""COMPUTED_VALUE"""),4.0)</f>
        <v>4</v>
      </c>
      <c r="L62" s="3">
        <f>IFERROR(__xludf.DUMMYFUNCTION("""COMPUTED_VALUE"""),10.0)</f>
        <v>10</v>
      </c>
      <c r="M62" s="3">
        <f>IFERROR(__xludf.DUMMYFUNCTION("""COMPUTED_VALUE"""),5.0)</f>
        <v>5</v>
      </c>
      <c r="N62" s="3"/>
      <c r="O62" s="3"/>
      <c r="P62" s="3"/>
      <c r="Q62" s="3"/>
      <c r="R62" s="3"/>
      <c r="S62" s="3"/>
      <c r="T62" s="3"/>
      <c r="U62" s="3"/>
      <c r="V62" s="3"/>
      <c r="W62" s="3"/>
      <c r="X62" s="3"/>
      <c r="Y62" s="3"/>
      <c r="Z62" s="3"/>
    </row>
    <row r="63" hidden="1">
      <c r="A63" s="3" t="str">
        <f>IFERROR(__xludf.DUMMYFUNCTION("""COMPUTED_VALUE"""),"CWIP")</f>
        <v>CWIP</v>
      </c>
      <c r="B63" s="3">
        <f>IFERROR(__xludf.DUMMYFUNCTION("""COMPUTED_VALUE"""),0.0)</f>
        <v>0</v>
      </c>
      <c r="C63" s="3">
        <f>IFERROR(__xludf.DUMMYFUNCTION("""COMPUTED_VALUE"""),0.0)</f>
        <v>0</v>
      </c>
      <c r="D63" s="3">
        <f>IFERROR(__xludf.DUMMYFUNCTION("""COMPUTED_VALUE"""),0.0)</f>
        <v>0</v>
      </c>
      <c r="E63" s="3">
        <f>IFERROR(__xludf.DUMMYFUNCTION("""COMPUTED_VALUE"""),0.0)</f>
        <v>0</v>
      </c>
      <c r="F63" s="3">
        <f>IFERROR(__xludf.DUMMYFUNCTION("""COMPUTED_VALUE"""),0.0)</f>
        <v>0</v>
      </c>
      <c r="G63" s="3">
        <f>IFERROR(__xludf.DUMMYFUNCTION("""COMPUTED_VALUE"""),0.0)</f>
        <v>0</v>
      </c>
      <c r="H63" s="3">
        <f>IFERROR(__xludf.DUMMYFUNCTION("""COMPUTED_VALUE"""),0.0)</f>
        <v>0</v>
      </c>
      <c r="I63" s="3">
        <f>IFERROR(__xludf.DUMMYFUNCTION("""COMPUTED_VALUE"""),0.0)</f>
        <v>0</v>
      </c>
      <c r="J63" s="3">
        <f>IFERROR(__xludf.DUMMYFUNCTION("""COMPUTED_VALUE"""),0.0)</f>
        <v>0</v>
      </c>
      <c r="K63" s="3">
        <f>IFERROR(__xludf.DUMMYFUNCTION("""COMPUTED_VALUE"""),0.0)</f>
        <v>0</v>
      </c>
      <c r="L63" s="3">
        <f>IFERROR(__xludf.DUMMYFUNCTION("""COMPUTED_VALUE"""),0.0)</f>
        <v>0</v>
      </c>
      <c r="M63" s="3">
        <f>IFERROR(__xludf.DUMMYFUNCTION("""COMPUTED_VALUE"""),0.0)</f>
        <v>0</v>
      </c>
      <c r="N63" s="3"/>
      <c r="O63" s="3"/>
      <c r="P63" s="3"/>
      <c r="Q63" s="3"/>
      <c r="R63" s="3"/>
      <c r="S63" s="3"/>
      <c r="T63" s="3"/>
      <c r="U63" s="3"/>
      <c r="V63" s="3"/>
      <c r="W63" s="3"/>
      <c r="X63" s="3"/>
      <c r="Y63" s="3"/>
      <c r="Z63" s="3"/>
    </row>
    <row r="64" hidden="1">
      <c r="A64" s="3" t="str">
        <f>IFERROR(__xludf.DUMMYFUNCTION("""COMPUTED_VALUE"""),"Investments")</f>
        <v>Investments</v>
      </c>
      <c r="B64" s="3">
        <f>IFERROR(__xludf.DUMMYFUNCTION("""COMPUTED_VALUE"""),123.0)</f>
        <v>123</v>
      </c>
      <c r="C64" s="3">
        <f>IFERROR(__xludf.DUMMYFUNCTION("""COMPUTED_VALUE"""),123.0)</f>
        <v>123</v>
      </c>
      <c r="D64" s="3">
        <f>IFERROR(__xludf.DUMMYFUNCTION("""COMPUTED_VALUE"""),123.0)</f>
        <v>123</v>
      </c>
      <c r="E64" s="3">
        <f>IFERROR(__xludf.DUMMYFUNCTION("""COMPUTED_VALUE"""),132.0)</f>
        <v>132</v>
      </c>
      <c r="F64" s="3">
        <f>IFERROR(__xludf.DUMMYFUNCTION("""COMPUTED_VALUE"""),137.0)</f>
        <v>137</v>
      </c>
      <c r="G64" s="3">
        <f>IFERROR(__xludf.DUMMYFUNCTION("""COMPUTED_VALUE"""),68.0)</f>
        <v>68</v>
      </c>
      <c r="H64" s="3">
        <f>IFERROR(__xludf.DUMMYFUNCTION("""COMPUTED_VALUE"""),67.0)</f>
        <v>67</v>
      </c>
      <c r="I64" s="3">
        <f>IFERROR(__xludf.DUMMYFUNCTION("""COMPUTED_VALUE"""),67.0)</f>
        <v>67</v>
      </c>
      <c r="J64" s="3">
        <f>IFERROR(__xludf.DUMMYFUNCTION("""COMPUTED_VALUE"""),67.0)</f>
        <v>67</v>
      </c>
      <c r="K64" s="3">
        <f>IFERROR(__xludf.DUMMYFUNCTION("""COMPUTED_VALUE"""),67.0)</f>
        <v>67</v>
      </c>
      <c r="L64" s="3">
        <f>IFERROR(__xludf.DUMMYFUNCTION("""COMPUTED_VALUE"""),67.0)</f>
        <v>67</v>
      </c>
      <c r="M64" s="3">
        <f>IFERROR(__xludf.DUMMYFUNCTION("""COMPUTED_VALUE"""),67.0)</f>
        <v>67</v>
      </c>
      <c r="N64" s="3"/>
      <c r="O64" s="3"/>
      <c r="P64" s="3"/>
      <c r="Q64" s="3"/>
      <c r="R64" s="3"/>
      <c r="S64" s="3"/>
      <c r="T64" s="3"/>
      <c r="U64" s="3"/>
      <c r="V64" s="3"/>
      <c r="W64" s="3"/>
      <c r="X64" s="3"/>
      <c r="Y64" s="3"/>
      <c r="Z64" s="3"/>
    </row>
    <row r="65" hidden="1">
      <c r="A65" s="3" t="str">
        <f>IFERROR(__xludf.DUMMYFUNCTION("""COMPUTED_VALUE"""),"Other Assets +")</f>
        <v>Other Assets +</v>
      </c>
      <c r="B65" s="3">
        <f>IFERROR(__xludf.DUMMYFUNCTION("""COMPUTED_VALUE"""),60.0)</f>
        <v>60</v>
      </c>
      <c r="C65" s="3">
        <f>IFERROR(__xludf.DUMMYFUNCTION("""COMPUTED_VALUE"""),68.0)</f>
        <v>68</v>
      </c>
      <c r="D65" s="3">
        <f>IFERROR(__xludf.DUMMYFUNCTION("""COMPUTED_VALUE"""),69.0)</f>
        <v>69</v>
      </c>
      <c r="E65" s="3">
        <f>IFERROR(__xludf.DUMMYFUNCTION("""COMPUTED_VALUE"""),62.0)</f>
        <v>62</v>
      </c>
      <c r="F65" s="3">
        <f>IFERROR(__xludf.DUMMYFUNCTION("""COMPUTED_VALUE"""),63.0)</f>
        <v>63</v>
      </c>
      <c r="G65" s="3">
        <f>IFERROR(__xludf.DUMMYFUNCTION("""COMPUTED_VALUE"""),66.0)</f>
        <v>66</v>
      </c>
      <c r="H65" s="3">
        <f>IFERROR(__xludf.DUMMYFUNCTION("""COMPUTED_VALUE"""),81.0)</f>
        <v>81</v>
      </c>
      <c r="I65" s="3">
        <f>IFERROR(__xludf.DUMMYFUNCTION("""COMPUTED_VALUE"""),93.0)</f>
        <v>93</v>
      </c>
      <c r="J65" s="3">
        <f>IFERROR(__xludf.DUMMYFUNCTION("""COMPUTED_VALUE"""),95.0)</f>
        <v>95</v>
      </c>
      <c r="K65" s="3">
        <f>IFERROR(__xludf.DUMMYFUNCTION("""COMPUTED_VALUE"""),115.0)</f>
        <v>115</v>
      </c>
      <c r="L65" s="3">
        <f>IFERROR(__xludf.DUMMYFUNCTION("""COMPUTED_VALUE"""),142.0)</f>
        <v>142</v>
      </c>
      <c r="M65" s="3">
        <f>IFERROR(__xludf.DUMMYFUNCTION("""COMPUTED_VALUE"""),168.0)</f>
        <v>168</v>
      </c>
      <c r="N65" s="3"/>
      <c r="O65" s="3"/>
      <c r="P65" s="3"/>
      <c r="Q65" s="3"/>
      <c r="R65" s="3"/>
      <c r="S65" s="3"/>
      <c r="T65" s="3"/>
      <c r="U65" s="3"/>
      <c r="V65" s="3"/>
      <c r="W65" s="3"/>
      <c r="X65" s="3"/>
      <c r="Y65" s="3"/>
      <c r="Z65" s="3"/>
    </row>
    <row r="66" hidden="1">
      <c r="A66" s="3" t="str">
        <f>IFERROR(__xludf.DUMMYFUNCTION("""COMPUTED_VALUE"""),"Total Assets")</f>
        <v>Total Assets</v>
      </c>
      <c r="B66" s="3">
        <f>IFERROR(__xludf.DUMMYFUNCTION("""COMPUTED_VALUE"""),187.0)</f>
        <v>187</v>
      </c>
      <c r="C66" s="3">
        <f>IFERROR(__xludf.DUMMYFUNCTION("""COMPUTED_VALUE"""),194.0)</f>
        <v>194</v>
      </c>
      <c r="D66" s="3">
        <f>IFERROR(__xludf.DUMMYFUNCTION("""COMPUTED_VALUE"""),195.0)</f>
        <v>195</v>
      </c>
      <c r="E66" s="3">
        <f>IFERROR(__xludf.DUMMYFUNCTION("""COMPUTED_VALUE"""),203.0)</f>
        <v>203</v>
      </c>
      <c r="F66" s="3">
        <f>IFERROR(__xludf.DUMMYFUNCTION("""COMPUTED_VALUE"""),213.0)</f>
        <v>213</v>
      </c>
      <c r="G66" s="3">
        <f>IFERROR(__xludf.DUMMYFUNCTION("""COMPUTED_VALUE"""),156.0)</f>
        <v>156</v>
      </c>
      <c r="H66" s="3">
        <f>IFERROR(__xludf.DUMMYFUNCTION("""COMPUTED_VALUE"""),157.0)</f>
        <v>157</v>
      </c>
      <c r="I66" s="3">
        <f>IFERROR(__xludf.DUMMYFUNCTION("""COMPUTED_VALUE"""),170.0)</f>
        <v>170</v>
      </c>
      <c r="J66" s="3">
        <f>IFERROR(__xludf.DUMMYFUNCTION("""COMPUTED_VALUE"""),169.0)</f>
        <v>169</v>
      </c>
      <c r="K66" s="3">
        <f>IFERROR(__xludf.DUMMYFUNCTION("""COMPUTED_VALUE"""),187.0)</f>
        <v>187</v>
      </c>
      <c r="L66" s="3">
        <f>IFERROR(__xludf.DUMMYFUNCTION("""COMPUTED_VALUE"""),219.0)</f>
        <v>219</v>
      </c>
      <c r="M66" s="3">
        <f>IFERROR(__xludf.DUMMYFUNCTION("""COMPUTED_VALUE"""),240.0)</f>
        <v>240</v>
      </c>
      <c r="N66" s="3"/>
      <c r="O66" s="3"/>
      <c r="P66" s="3"/>
      <c r="Q66" s="3"/>
      <c r="R66" s="3"/>
      <c r="S66" s="3"/>
      <c r="T66" s="3"/>
      <c r="U66" s="3"/>
      <c r="V66" s="3"/>
      <c r="W66" s="3"/>
      <c r="X66" s="3"/>
      <c r="Y66" s="3"/>
      <c r="Z66" s="3"/>
    </row>
    <row r="67" hidden="1">
      <c r="A67" s="3"/>
      <c r="B67" s="3"/>
      <c r="C67" s="3"/>
      <c r="D67" s="3"/>
      <c r="E67" s="3"/>
      <c r="F67" s="3"/>
      <c r="G67" s="3"/>
      <c r="H67" s="3"/>
      <c r="I67" s="3"/>
      <c r="J67" s="3"/>
      <c r="K67" s="3"/>
      <c r="L67" s="3"/>
      <c r="M67" s="3"/>
      <c r="N67" s="3"/>
      <c r="O67" s="3"/>
      <c r="P67" s="3"/>
      <c r="Q67" s="3"/>
      <c r="R67" s="3"/>
      <c r="S67" s="3"/>
      <c r="T67" s="3"/>
      <c r="U67" s="3"/>
      <c r="V67" s="3"/>
      <c r="W67" s="3"/>
      <c r="X67" s="3"/>
      <c r="Y67" s="3"/>
      <c r="Z67" s="3"/>
    </row>
    <row r="68" hidden="1">
      <c r="A68" s="4" t="s">
        <v>119</v>
      </c>
      <c r="B68" s="15">
        <f t="shared" ref="B68:C68" si="3">iferror(B69/B70*100,"")</f>
        <v>1.081081081</v>
      </c>
      <c r="C68" s="15">
        <f t="shared" si="3"/>
        <v>1.666666667</v>
      </c>
      <c r="D68" s="4" t="s">
        <v>1467</v>
      </c>
      <c r="E68" s="85">
        <f>IF(H43&gt;G43,iferror(C68,B68),if(H43=G43,iferror(B68,C68),C68))</f>
        <v>1.081081081</v>
      </c>
      <c r="F68" s="13" t="str">
        <f>if(E68&lt;=33, "Pass","Fail")</f>
        <v>Pass</v>
      </c>
      <c r="G68" s="3"/>
      <c r="H68" s="3"/>
      <c r="I68" s="3"/>
      <c r="J68" s="3"/>
      <c r="K68" s="3"/>
      <c r="L68" s="3"/>
      <c r="M68" s="3"/>
      <c r="N68" s="3"/>
      <c r="O68" s="3"/>
      <c r="P68" s="3"/>
      <c r="Q68" s="3"/>
      <c r="R68" s="3"/>
      <c r="S68" s="3"/>
      <c r="T68" s="3"/>
      <c r="U68" s="3"/>
      <c r="V68" s="3"/>
      <c r="W68" s="3"/>
      <c r="X68" s="3"/>
      <c r="Y68" s="3"/>
      <c r="Z68" s="3"/>
    </row>
    <row r="69" hidden="1">
      <c r="A69" s="2" t="s">
        <v>1487</v>
      </c>
      <c r="B69" s="15">
        <f t="array" ref="B69">INDEX(INDIRECT(B43 &amp; ":" &amp; B43), 1, MAX(IF(INDIRECT(B43 &amp; ":" &amp; B43)&lt;&gt;"", COLUMN(INDIRECT(B43 &amp; ":" &amp; B43)), 0)))</f>
        <v>4</v>
      </c>
      <c r="C69" s="15">
        <f t="array" ref="C69">INDEX(INDIRECT(B55 &amp; ":" &amp; B55), 1, MAX(IF(INDIRECT(B55 &amp; ":" &amp; B55)&lt;&gt;"", COLUMN(INDIRECT(B55 &amp; ":" &amp; B55)), 0)))</f>
        <v>4</v>
      </c>
      <c r="D69" s="3"/>
      <c r="E69" s="3"/>
      <c r="F69" s="3"/>
      <c r="G69" s="3"/>
      <c r="H69" s="3"/>
      <c r="I69" s="3"/>
      <c r="J69" s="3"/>
      <c r="K69" s="3"/>
      <c r="L69" s="3"/>
      <c r="M69" s="3"/>
      <c r="N69" s="3"/>
      <c r="O69" s="3"/>
      <c r="P69" s="3"/>
      <c r="Q69" s="3"/>
      <c r="R69" s="3"/>
      <c r="S69" s="3"/>
      <c r="T69" s="3"/>
      <c r="U69" s="3"/>
      <c r="V69" s="3"/>
      <c r="W69" s="3"/>
      <c r="X69" s="3"/>
      <c r="Y69" s="3"/>
      <c r="Z69" s="3"/>
    </row>
    <row r="70" hidden="1">
      <c r="A70" s="1" t="s">
        <v>1512</v>
      </c>
      <c r="B70" s="15">
        <f t="array" ref="B70">INDEX(INDIRECT(C43 &amp; ":" &amp; C43), 1, MAX(IF(INDIRECT(C43 &amp; ":" &amp; C43)&lt;&gt;"", COLUMN(INDIRECT(C43 &amp; ":" &amp; C43)), 0)))</f>
        <v>370</v>
      </c>
      <c r="C70" s="86">
        <f t="array" ref="C70">INDEX(INDIRECT(C55 &amp; ":" &amp; C55), 1, MAX(IF(INDIRECT(C55 &amp; ":" &amp; C55)&lt;&gt;"", COLUMN(INDIRECT(C55 &amp; ":" &amp; C55)), 0)))</f>
        <v>240</v>
      </c>
      <c r="D70" s="3"/>
      <c r="E70" s="3"/>
      <c r="F70" s="3"/>
      <c r="G70" s="3"/>
      <c r="H70" s="3"/>
      <c r="I70" s="3"/>
      <c r="J70" s="3"/>
      <c r="K70" s="3"/>
      <c r="L70" s="3"/>
      <c r="M70" s="3"/>
      <c r="N70" s="3"/>
      <c r="O70" s="3"/>
      <c r="P70" s="3"/>
      <c r="Q70" s="3"/>
      <c r="R70" s="3"/>
      <c r="S70" s="3"/>
      <c r="T70" s="3"/>
      <c r="U70" s="3"/>
      <c r="V70" s="3"/>
      <c r="W70" s="3"/>
      <c r="X70" s="3"/>
      <c r="Y70" s="3"/>
      <c r="Z70" s="3"/>
    </row>
    <row r="71" hidden="1">
      <c r="A71" s="2" t="s">
        <v>1537</v>
      </c>
      <c r="B71" s="15">
        <f t="shared" ref="B71:C71" si="4">iferror(B72/B70*100,"")</f>
        <v>8.918918919</v>
      </c>
      <c r="C71" s="15">
        <f t="shared" si="4"/>
        <v>2.083333333</v>
      </c>
      <c r="D71" s="3"/>
      <c r="E71" s="87">
        <f>IF(H43&gt;G43,iferror(C71,B71),if(H43=G43,iferror(B71,C71),C71))</f>
        <v>8.918918919</v>
      </c>
      <c r="F71" s="85" t="str">
        <f>if(E71&gt;=20, "Pass","Fail")</f>
        <v>Fail</v>
      </c>
      <c r="G71" s="3"/>
      <c r="H71" s="3"/>
      <c r="I71" s="3"/>
      <c r="J71" s="3"/>
      <c r="K71" s="3"/>
      <c r="L71" s="3"/>
      <c r="M71" s="3"/>
      <c r="N71" s="3"/>
      <c r="O71" s="3"/>
      <c r="P71" s="3"/>
      <c r="Q71" s="3"/>
      <c r="R71" s="3"/>
      <c r="S71" s="3"/>
      <c r="T71" s="3"/>
      <c r="U71" s="3"/>
      <c r="V71" s="3"/>
      <c r="W71" s="3"/>
      <c r="X71" s="3"/>
      <c r="Y71" s="3"/>
      <c r="Z71" s="3"/>
    </row>
    <row r="72" hidden="1">
      <c r="A72" s="1" t="s">
        <v>1562</v>
      </c>
      <c r="B72" s="3">
        <f t="shared" ref="B72:C72" si="5">B73+B74+B77</f>
        <v>33</v>
      </c>
      <c r="C72" s="3">
        <f t="shared" si="5"/>
        <v>5</v>
      </c>
      <c r="D72" s="3"/>
      <c r="E72" s="15"/>
      <c r="F72" s="3"/>
      <c r="G72" s="3"/>
      <c r="H72" s="3"/>
      <c r="I72" s="3"/>
      <c r="J72" s="3"/>
      <c r="K72" s="3"/>
      <c r="L72" s="3"/>
      <c r="M72" s="3"/>
      <c r="N72" s="3"/>
      <c r="O72" s="3"/>
      <c r="P72" s="3"/>
      <c r="Q72" s="3"/>
      <c r="R72" s="3"/>
      <c r="S72" s="3"/>
      <c r="T72" s="3"/>
      <c r="U72" s="3"/>
      <c r="V72" s="3"/>
      <c r="W72" s="3"/>
      <c r="X72" s="3"/>
      <c r="Y72" s="3"/>
      <c r="Z72" s="3"/>
    </row>
    <row r="73" hidden="1">
      <c r="A73" s="2" t="s">
        <v>1573</v>
      </c>
      <c r="B73" s="15">
        <f t="array" ref="B73">INDEX(INDIRECT(D43 &amp; ":" &amp; D43), 1, MAX(IF(INDIRECT(D43 &amp; ":" &amp; D43)&lt;&gt;"", COLUMN(INDIRECT(D43 &amp; ":" &amp; D43)), 0)))</f>
        <v>33</v>
      </c>
      <c r="C73" s="15">
        <f t="array" ref="C73">INDEX(INDIRECT(D55 &amp; ":" &amp; D55), 1, MAX(IF(INDIRECT(D55 &amp; ":" &amp; D55)&lt;&gt;"", COLUMN(INDIRECT(D55 &amp; ":" &amp; D55)), 0)))</f>
        <v>5</v>
      </c>
      <c r="D73" s="3"/>
      <c r="E73" s="3"/>
      <c r="F73" s="3"/>
      <c r="G73" s="3"/>
      <c r="H73" s="3"/>
      <c r="I73" s="3"/>
      <c r="J73" s="3"/>
      <c r="K73" s="3"/>
      <c r="L73" s="3"/>
      <c r="M73" s="3"/>
      <c r="N73" s="3"/>
      <c r="O73" s="3"/>
      <c r="P73" s="3"/>
      <c r="Q73" s="3"/>
      <c r="R73" s="3"/>
      <c r="S73" s="3"/>
      <c r="T73" s="3"/>
      <c r="U73" s="3"/>
      <c r="V73" s="3"/>
      <c r="W73" s="3"/>
      <c r="X73" s="3"/>
      <c r="Y73" s="3"/>
      <c r="Z73" s="3"/>
    </row>
    <row r="74" hidden="1">
      <c r="A74" s="2" t="s">
        <v>499</v>
      </c>
      <c r="B74" s="15">
        <f t="array" ref="B74">INDEX(INDIRECT(E43 &amp; ":" &amp; E43), 1, MAX(IF(INDIRECT(E43 &amp; ":" &amp; E43)&lt;&gt;"", COLUMN(INDIRECT(E43 &amp; ":" &amp; E43)), 0)))</f>
        <v>0</v>
      </c>
      <c r="C74" s="15">
        <f t="array" ref="C74">INDEX(INDIRECT(E55 &amp; ":" &amp; E55), 1, MAX(IF(INDIRECT(E55 &amp; ":" &amp; E55)&lt;&gt;"", COLUMN(INDIRECT(E55 &amp; ":" &amp; E55)), 0)))</f>
        <v>0</v>
      </c>
      <c r="D74" s="3"/>
      <c r="E74" s="3"/>
      <c r="F74" s="3"/>
      <c r="G74" s="3"/>
      <c r="H74" s="3"/>
      <c r="I74" s="3"/>
      <c r="J74" s="3"/>
      <c r="K74" s="3"/>
      <c r="L74" s="3"/>
      <c r="M74" s="3"/>
      <c r="N74" s="3"/>
      <c r="O74" s="3"/>
      <c r="P74" s="3"/>
      <c r="Q74" s="3"/>
      <c r="R74" s="3"/>
      <c r="S74" s="3"/>
      <c r="T74" s="3"/>
      <c r="U74" s="3"/>
      <c r="V74" s="3"/>
      <c r="W74" s="3"/>
      <c r="X74" s="3"/>
      <c r="Y74" s="3"/>
      <c r="Z74" s="3"/>
    </row>
    <row r="75" hidden="1">
      <c r="A75" s="2"/>
      <c r="B75" s="4" t="s">
        <v>1624</v>
      </c>
      <c r="C75" s="3"/>
      <c r="D75" s="3"/>
      <c r="E75" s="3"/>
      <c r="F75" s="3"/>
      <c r="G75" s="3"/>
      <c r="H75" s="3"/>
      <c r="I75" s="3"/>
      <c r="J75" s="3"/>
      <c r="K75" s="3"/>
      <c r="L75" s="3"/>
      <c r="M75" s="3"/>
      <c r="N75" s="3"/>
      <c r="O75" s="3"/>
      <c r="P75" s="3"/>
      <c r="Q75" s="3"/>
      <c r="R75" s="3"/>
      <c r="S75" s="3"/>
      <c r="T75" s="3"/>
      <c r="U75" s="3"/>
      <c r="V75" s="3"/>
      <c r="W75" s="3"/>
      <c r="X75" s="3"/>
      <c r="Y75" s="3"/>
      <c r="Z75" s="3"/>
    </row>
    <row r="76" hidden="1">
      <c r="A76" s="2"/>
      <c r="B76" s="3">
        <f>IFERROR(__xludf.DUMMYFUNCTION("iferror(IMPORTXML(A$5,$B$75),0)"),0.0)</f>
        <v>0</v>
      </c>
      <c r="C76" s="3">
        <f>IFERROR(__xludf.DUMMYFUNCTION("iferror(IMPORTXML(B$5,$B$75),0)"),0.0)</f>
        <v>0</v>
      </c>
      <c r="D76" s="3"/>
      <c r="E76" s="3"/>
      <c r="F76" s="3"/>
      <c r="G76" s="3"/>
      <c r="H76" s="3"/>
      <c r="I76" s="3"/>
      <c r="J76" s="3"/>
      <c r="K76" s="3"/>
      <c r="L76" s="3"/>
      <c r="M76" s="3"/>
      <c r="N76" s="3"/>
      <c r="O76" s="3"/>
      <c r="P76" s="3"/>
      <c r="Q76" s="3"/>
      <c r="R76" s="3"/>
      <c r="S76" s="3"/>
      <c r="T76" s="3"/>
      <c r="U76" s="3"/>
      <c r="V76" s="3"/>
      <c r="W76" s="3"/>
      <c r="X76" s="3"/>
      <c r="Y76" s="3"/>
      <c r="Z76" s="3"/>
    </row>
    <row r="77" hidden="1">
      <c r="A77" s="88" t="s">
        <v>301</v>
      </c>
      <c r="B77" s="89">
        <f>if(B2&lt;&gt;"",B2,D9*B76/365)</f>
        <v>0</v>
      </c>
      <c r="C77" s="89">
        <f>if(B2&lt;&gt;"",B2,D28*C76/365)</f>
        <v>0</v>
      </c>
      <c r="D77" s="89"/>
      <c r="E77" s="3"/>
      <c r="F77" s="3"/>
      <c r="G77" s="3"/>
      <c r="H77" s="3"/>
      <c r="I77" s="3"/>
      <c r="J77" s="3"/>
      <c r="K77" s="3"/>
      <c r="L77" s="3"/>
      <c r="M77" s="3"/>
      <c r="N77" s="3"/>
      <c r="O77" s="3"/>
      <c r="P77" s="3"/>
      <c r="Q77" s="3"/>
      <c r="R77" s="3"/>
      <c r="S77" s="3"/>
      <c r="T77" s="3"/>
      <c r="U77" s="3"/>
      <c r="V77" s="3"/>
      <c r="W77" s="3"/>
      <c r="X77" s="3"/>
      <c r="Y77" s="3"/>
      <c r="Z77" s="3"/>
    </row>
    <row r="78" hidden="1">
      <c r="A78" s="2" t="s">
        <v>462</v>
      </c>
      <c r="B78" s="15">
        <f t="array" ref="B78">iferror(INDEX(INDIRECT(F43 &amp; ":" &amp; F43), 1, MAX(IF(INDIRECT(F43 &amp; ":" &amp; F43)&lt;&gt;"", COLUMN(INDIRECT(F43 &amp; ":" &amp; F43)), 0))),"")</f>
        <v>370</v>
      </c>
      <c r="C78" s="15">
        <f t="array" ref="C78">iferror(INDEX(INDIRECT(F55 &amp; ":" &amp; F55), 1, MAX(IF(INDIRECT(F55 &amp; ":" &amp; F55)&lt;&gt;"", COLUMN(INDIRECT(F55 &amp; ":" &amp; F55)), 0))),"")</f>
        <v>240</v>
      </c>
      <c r="D78" s="3"/>
      <c r="E78" s="4" t="s">
        <v>1699</v>
      </c>
      <c r="F78" s="90">
        <f>IF(H43&gt;G43,iferror(C79,B79),if(H43=G43,iferror(B79,C79),C79))</f>
        <v>-33</v>
      </c>
      <c r="G78" s="90"/>
      <c r="H78" s="85" t="str">
        <f>if(F78&lt;F80, "Pass", "Fail")</f>
        <v>Pass</v>
      </c>
      <c r="I78" s="3"/>
      <c r="J78" s="3"/>
      <c r="K78" s="3"/>
      <c r="L78" s="3"/>
      <c r="M78" s="3"/>
      <c r="N78" s="3"/>
      <c r="O78" s="3"/>
      <c r="P78" s="3"/>
      <c r="Q78" s="3"/>
      <c r="R78" s="3"/>
      <c r="S78" s="3"/>
      <c r="T78" s="3"/>
      <c r="U78" s="3"/>
      <c r="V78" s="3"/>
      <c r="W78" s="3"/>
      <c r="X78" s="3"/>
      <c r="Y78" s="3"/>
      <c r="Z78" s="3"/>
    </row>
    <row r="79" hidden="1">
      <c r="A79" s="2" t="s">
        <v>1725</v>
      </c>
      <c r="B79" s="3">
        <f t="shared" ref="B79:C79" si="6">B70-B72-B78</f>
        <v>-33</v>
      </c>
      <c r="C79" s="3">
        <f t="shared" si="6"/>
        <v>-5</v>
      </c>
      <c r="D79" s="3"/>
      <c r="E79" s="4" t="s">
        <v>1732</v>
      </c>
      <c r="F79" s="91">
        <f>IFERROR(__xludf.DUMMYFUNCTION("GOOGLEFINANCE(G79&amp;"":""&amp;A1,""marketcap"")/10000000"),543.22157)</f>
        <v>543.22157</v>
      </c>
      <c r="G79" s="3" t="str">
        <f>if(ISNUMBER(A1),"BOM","NSE")</f>
        <v>NSE</v>
      </c>
      <c r="H79" s="3"/>
      <c r="I79" s="3"/>
      <c r="J79" s="3"/>
      <c r="K79" s="3"/>
      <c r="L79" s="3"/>
      <c r="M79" s="3"/>
      <c r="N79" s="3"/>
      <c r="O79" s="3"/>
      <c r="P79" s="3"/>
      <c r="Q79" s="3"/>
      <c r="R79" s="3"/>
      <c r="S79" s="3"/>
      <c r="T79" s="3"/>
      <c r="U79" s="3"/>
      <c r="V79" s="3"/>
      <c r="W79" s="3"/>
      <c r="X79" s="3"/>
      <c r="Y79" s="3"/>
      <c r="Z79" s="3"/>
    </row>
    <row r="80" hidden="1">
      <c r="A80" s="2"/>
      <c r="B80" s="4" t="s">
        <v>1750</v>
      </c>
      <c r="C80" s="3"/>
      <c r="D80" s="3"/>
      <c r="E80" s="3"/>
      <c r="F80" s="92">
        <f>IFERROR(__xludf.DUMMYFUNCTION("IF(ISERROR(F79),IMPORTXML(B5,B80),F79)"),543.22157)</f>
        <v>543.22157</v>
      </c>
      <c r="G80" s="93"/>
      <c r="H80" s="3"/>
      <c r="I80" s="3"/>
      <c r="J80" s="3"/>
      <c r="K80" s="3"/>
      <c r="L80" s="3"/>
      <c r="M80" s="3"/>
      <c r="N80" s="3"/>
      <c r="O80" s="3"/>
      <c r="P80" s="3"/>
      <c r="Q80" s="3"/>
      <c r="R80" s="3"/>
      <c r="S80" s="3"/>
      <c r="T80" s="3"/>
      <c r="U80" s="3"/>
      <c r="V80" s="3"/>
      <c r="W80" s="3"/>
      <c r="X80" s="3"/>
      <c r="Y80" s="3"/>
      <c r="Z80" s="3"/>
    </row>
    <row r="81" hidden="1">
      <c r="A81" s="2" t="s">
        <v>1762</v>
      </c>
      <c r="B81" s="3"/>
      <c r="C81" s="15"/>
      <c r="D81" s="3"/>
      <c r="E81" s="3"/>
      <c r="F81" s="3"/>
      <c r="G81" s="3"/>
      <c r="H81" s="3"/>
      <c r="I81" s="3"/>
      <c r="J81" s="3"/>
      <c r="K81" s="3"/>
      <c r="L81" s="3"/>
      <c r="M81" s="3"/>
      <c r="N81" s="3"/>
      <c r="O81" s="3"/>
      <c r="P81" s="3"/>
      <c r="Q81" s="3"/>
      <c r="R81" s="3"/>
      <c r="S81" s="3"/>
      <c r="T81" s="3"/>
      <c r="U81" s="3"/>
      <c r="V81" s="3"/>
      <c r="W81" s="3"/>
      <c r="X81" s="3"/>
      <c r="Y81" s="3"/>
      <c r="Z81" s="3"/>
    </row>
    <row r="82" hidden="1">
      <c r="A82" s="3"/>
      <c r="B82" s="3"/>
      <c r="C82" s="3"/>
      <c r="D82" s="3"/>
      <c r="E82" s="3"/>
      <c r="F82" s="3"/>
      <c r="G82" s="3"/>
      <c r="H82" s="3"/>
      <c r="I82" s="3"/>
      <c r="J82" s="3"/>
      <c r="K82" s="3"/>
      <c r="L82" s="3"/>
      <c r="M82" s="3"/>
      <c r="N82" s="3"/>
      <c r="O82" s="3"/>
      <c r="P82" s="3"/>
      <c r="Q82" s="3"/>
      <c r="R82" s="3"/>
      <c r="S82" s="3"/>
      <c r="T82" s="3"/>
      <c r="U82" s="3"/>
      <c r="V82" s="3"/>
      <c r="W82" s="3"/>
      <c r="X82" s="3"/>
      <c r="Y82" s="3"/>
      <c r="Z82" s="3"/>
    </row>
    <row r="83" hidden="1">
      <c r="A83" s="3"/>
      <c r="B83" s="3"/>
      <c r="C83" s="3"/>
      <c r="D83" s="3"/>
      <c r="E83" s="3"/>
      <c r="F83" s="3"/>
      <c r="G83" s="3"/>
      <c r="H83" s="3"/>
      <c r="I83" s="3"/>
      <c r="J83" s="3"/>
      <c r="K83" s="3"/>
      <c r="L83" s="3"/>
      <c r="M83" s="3"/>
      <c r="N83" s="3"/>
      <c r="O83" s="3"/>
      <c r="P83" s="3"/>
      <c r="Q83" s="3"/>
      <c r="R83" s="3"/>
      <c r="S83" s="3"/>
      <c r="T83" s="3"/>
      <c r="U83" s="3"/>
      <c r="V83" s="3"/>
      <c r="W83" s="3"/>
      <c r="X83" s="3"/>
      <c r="Y83" s="3"/>
      <c r="Z83" s="3"/>
    </row>
    <row r="84" hidden="1">
      <c r="A84" s="94" t="s">
        <v>1779</v>
      </c>
      <c r="B84" s="3"/>
      <c r="C84" s="3"/>
      <c r="D84" s="3"/>
      <c r="E84" s="3"/>
      <c r="F84" s="4" t="s">
        <v>1782</v>
      </c>
      <c r="G84" s="8" t="s">
        <v>1784</v>
      </c>
      <c r="H84" s="3" t="str">
        <f>IFERROR(__xludf.DUMMYFUNCTION("IMPORTXML($B$5,G84)"),"#REF!")</f>
        <v>#REF!</v>
      </c>
      <c r="I84" s="3"/>
      <c r="J84" s="3"/>
      <c r="K84" s="3"/>
      <c r="L84" s="3"/>
      <c r="M84" s="3"/>
      <c r="N84" s="3"/>
      <c r="O84" s="3"/>
      <c r="P84" s="3"/>
      <c r="Q84" s="3"/>
      <c r="R84" s="3"/>
      <c r="S84" s="3"/>
      <c r="T84" s="3"/>
      <c r="U84" s="3"/>
      <c r="V84" s="3"/>
      <c r="W84" s="3"/>
      <c r="X84" s="3"/>
      <c r="Y84" s="3"/>
      <c r="Z84" s="3"/>
    </row>
    <row r="85" hidden="1">
      <c r="A85" s="94" t="s">
        <v>1792</v>
      </c>
      <c r="B85" s="3"/>
      <c r="C85" s="3"/>
      <c r="D85" s="3"/>
      <c r="E85" s="3"/>
      <c r="F85" s="4" t="s">
        <v>1794</v>
      </c>
      <c r="G85" s="8" t="s">
        <v>1795</v>
      </c>
      <c r="H85" s="3" t="str">
        <f>IFERROR(__xludf.DUMMYFUNCTION("IMPORTXML($B$5,G85)"),"Information Technology")</f>
        <v>Information Technology</v>
      </c>
      <c r="I85" s="3"/>
      <c r="J85" s="3"/>
      <c r="K85" s="3"/>
      <c r="L85" s="3"/>
      <c r="M85" s="3"/>
      <c r="N85" s="3"/>
      <c r="O85" s="3"/>
      <c r="P85" s="3"/>
      <c r="Q85" s="3"/>
      <c r="R85" s="3"/>
      <c r="S85" s="3"/>
      <c r="T85" s="3"/>
      <c r="U85" s="3"/>
      <c r="V85" s="3"/>
      <c r="W85" s="3"/>
      <c r="X85" s="3"/>
      <c r="Y85" s="3"/>
      <c r="Z85" s="3"/>
    </row>
    <row r="86" hidden="1">
      <c r="A86" s="94" t="s">
        <v>1802</v>
      </c>
      <c r="B86" s="3"/>
      <c r="C86" s="3"/>
      <c r="D86" s="3"/>
      <c r="E86" s="3"/>
      <c r="F86" s="4" t="s">
        <v>1804</v>
      </c>
      <c r="G86" s="95" t="s">
        <v>1807</v>
      </c>
      <c r="H86" s="3" t="str">
        <f>IFERROR(__xludf.DUMMYFUNCTION("IMPORTXML($B$5,G86) &amp; iferror(VLOOKUP(Shariah!D3,list!A:B,2,0),"""")"),"Incorporated in 1991, Mindteck Ltd is in the business of rendering 
engineering and IT services")</f>
        <v>Incorporated in 1991, Mindteck Ltd is in the business of rendering 
engineering and IT services</v>
      </c>
      <c r="I86" s="3"/>
      <c r="J86" s="3"/>
      <c r="K86" s="3"/>
      <c r="L86" s="3"/>
      <c r="M86" s="3"/>
      <c r="N86" s="3"/>
      <c r="O86" s="3"/>
      <c r="P86" s="3"/>
      <c r="Q86" s="3"/>
      <c r="R86" s="3"/>
      <c r="S86" s="3"/>
      <c r="T86" s="3"/>
      <c r="U86" s="3"/>
      <c r="V86" s="3"/>
      <c r="W86" s="3"/>
      <c r="X86" s="3"/>
      <c r="Y86" s="3"/>
      <c r="Z86" s="3"/>
    </row>
    <row r="87" hidden="1">
      <c r="A87" s="9" t="s">
        <v>1821</v>
      </c>
      <c r="B87" s="3"/>
      <c r="C87" s="3"/>
      <c r="D87" s="3"/>
      <c r="E87" s="3"/>
      <c r="F87" s="3"/>
      <c r="G87" s="3"/>
      <c r="H87" s="3"/>
      <c r="I87" s="3"/>
      <c r="J87" s="3"/>
      <c r="K87" s="3"/>
      <c r="L87" s="3"/>
      <c r="M87" s="3"/>
      <c r="N87" s="3"/>
      <c r="O87" s="3"/>
      <c r="P87" s="3"/>
      <c r="Q87" s="3"/>
      <c r="R87" s="3"/>
      <c r="S87" s="3"/>
      <c r="T87" s="3"/>
      <c r="U87" s="3"/>
      <c r="V87" s="3"/>
      <c r="W87" s="3"/>
      <c r="X87" s="3"/>
      <c r="Y87" s="3"/>
      <c r="Z87" s="3"/>
    </row>
    <row r="88" hidden="1">
      <c r="A88" s="9" t="s">
        <v>1829</v>
      </c>
      <c r="B88" s="3"/>
      <c r="C88" s="3"/>
      <c r="D88" s="3"/>
      <c r="E88" s="3"/>
      <c r="F88" s="3"/>
      <c r="G88" s="3"/>
      <c r="H88" s="3"/>
      <c r="I88" s="3"/>
      <c r="J88" s="3"/>
      <c r="K88" s="3"/>
      <c r="L88" s="3"/>
      <c r="M88" s="3"/>
      <c r="N88" s="3"/>
      <c r="O88" s="3"/>
      <c r="P88" s="3"/>
      <c r="Q88" s="3"/>
      <c r="R88" s="3"/>
      <c r="S88" s="3"/>
      <c r="T88" s="3"/>
      <c r="U88" s="3"/>
      <c r="V88" s="3"/>
      <c r="W88" s="3"/>
      <c r="X88" s="3"/>
      <c r="Y88" s="3"/>
      <c r="Z88" s="3"/>
    </row>
    <row r="89" hidden="1">
      <c r="A89" s="9" t="s">
        <v>1836</v>
      </c>
      <c r="B89" s="3"/>
      <c r="C89" s="3"/>
      <c r="D89" s="3"/>
      <c r="E89" s="3"/>
      <c r="F89" s="4" t="s">
        <v>1838</v>
      </c>
      <c r="G89" s="3" t="str">
        <f>IF(SUMPRODUCT(--ISNUMBER(SEARCH($A$84:$A$111, H86)))&gt;0, "Fail", "Pass")</f>
        <v>Pass</v>
      </c>
      <c r="H89" s="3"/>
      <c r="I89" s="3"/>
      <c r="J89" s="3"/>
      <c r="K89" s="3"/>
      <c r="L89" s="3"/>
      <c r="M89" s="3"/>
      <c r="N89" s="3"/>
      <c r="O89" s="3"/>
      <c r="P89" s="3"/>
      <c r="Q89" s="3"/>
      <c r="R89" s="3"/>
      <c r="S89" s="3"/>
      <c r="T89" s="3"/>
      <c r="U89" s="3"/>
      <c r="V89" s="3"/>
      <c r="W89" s="3"/>
      <c r="X89" s="3"/>
      <c r="Y89" s="3"/>
      <c r="Z89" s="3"/>
    </row>
    <row r="90" hidden="1">
      <c r="A90" s="9" t="s">
        <v>1859</v>
      </c>
      <c r="B90" s="3"/>
      <c r="C90" s="3"/>
      <c r="D90" s="3"/>
      <c r="E90" s="3"/>
      <c r="F90" s="4" t="s">
        <v>1861</v>
      </c>
      <c r="G90" s="15" t="str">
        <f t="shared" ref="G90:G91" si="7">IF(SUMPRODUCT(--ISNUMBER(SEARCH($A$84:$A$113, H84)))&gt;0, "Fail", "Pass")</f>
        <v>Pass</v>
      </c>
      <c r="H90" s="3"/>
      <c r="I90" s="3"/>
      <c r="J90" s="3"/>
      <c r="K90" s="3"/>
      <c r="L90" s="3"/>
      <c r="M90" s="3"/>
      <c r="N90" s="3"/>
      <c r="O90" s="3"/>
      <c r="P90" s="3"/>
      <c r="Q90" s="3"/>
      <c r="R90" s="3"/>
      <c r="S90" s="3"/>
      <c r="T90" s="3"/>
      <c r="U90" s="3"/>
      <c r="V90" s="3"/>
      <c r="W90" s="3"/>
      <c r="X90" s="3"/>
      <c r="Y90" s="3"/>
      <c r="Z90" s="3"/>
    </row>
    <row r="91" hidden="1">
      <c r="A91" s="94" t="s">
        <v>1874</v>
      </c>
      <c r="B91" s="3"/>
      <c r="C91" s="3"/>
      <c r="D91" s="3"/>
      <c r="E91" s="3"/>
      <c r="F91" s="4" t="s">
        <v>1876</v>
      </c>
      <c r="G91" s="15" t="str">
        <f t="shared" si="7"/>
        <v>Pass</v>
      </c>
      <c r="H91" s="3"/>
      <c r="I91" s="3"/>
      <c r="J91" s="3"/>
      <c r="K91" s="3"/>
      <c r="L91" s="3"/>
      <c r="M91" s="3"/>
      <c r="N91" s="3"/>
      <c r="O91" s="3"/>
      <c r="P91" s="3"/>
      <c r="Q91" s="3"/>
      <c r="R91" s="3"/>
      <c r="S91" s="3"/>
      <c r="T91" s="3"/>
      <c r="U91" s="3"/>
      <c r="V91" s="3"/>
      <c r="W91" s="3"/>
      <c r="X91" s="3"/>
      <c r="Y91" s="3"/>
      <c r="Z91" s="3"/>
    </row>
    <row r="92" hidden="1">
      <c r="A92" s="9" t="s">
        <v>1883</v>
      </c>
      <c r="B92" s="3"/>
      <c r="C92" s="3"/>
      <c r="D92" s="3"/>
      <c r="E92" s="3"/>
      <c r="F92" s="4" t="s">
        <v>1885</v>
      </c>
      <c r="G92" s="3" t="str">
        <f>IF(and(G89="Pass",G90="Pass",G91="Pass"),"Pass","Fail")</f>
        <v>Pass</v>
      </c>
      <c r="H92" s="3"/>
      <c r="I92" s="3"/>
      <c r="J92" s="3"/>
      <c r="K92" s="3"/>
      <c r="L92" s="3"/>
      <c r="M92" s="3"/>
      <c r="N92" s="3"/>
      <c r="O92" s="3"/>
      <c r="P92" s="3"/>
      <c r="Q92" s="3"/>
      <c r="R92" s="3"/>
      <c r="S92" s="3"/>
      <c r="T92" s="3"/>
      <c r="U92" s="3"/>
      <c r="V92" s="3"/>
      <c r="W92" s="3"/>
      <c r="X92" s="3"/>
      <c r="Y92" s="3"/>
      <c r="Z92" s="3"/>
    </row>
    <row r="93" hidden="1">
      <c r="A93" s="94" t="s">
        <v>1898</v>
      </c>
      <c r="B93" s="3"/>
      <c r="C93" s="3"/>
      <c r="D93" s="3"/>
      <c r="E93" s="3"/>
      <c r="F93" s="4" t="s">
        <v>1901</v>
      </c>
      <c r="G93" s="3" t="str">
        <f>IF(AND(G92="Pass",G7&lt;=5,E68&lt;=33,E71&gt;=20,F78&lt;=F80), "Compliant","Non-Compliant")</f>
        <v>Non-Compliant</v>
      </c>
      <c r="H93" s="3"/>
      <c r="I93" s="3"/>
      <c r="J93" s="3"/>
      <c r="K93" s="3"/>
      <c r="L93" s="3"/>
      <c r="M93" s="3"/>
      <c r="N93" s="3"/>
      <c r="O93" s="3"/>
      <c r="P93" s="3"/>
      <c r="Q93" s="3"/>
      <c r="R93" s="3"/>
      <c r="S93" s="3"/>
      <c r="T93" s="3"/>
      <c r="U93" s="3"/>
      <c r="V93" s="3"/>
      <c r="W93" s="3"/>
      <c r="X93" s="3"/>
      <c r="Y93" s="3"/>
      <c r="Z93" s="3"/>
    </row>
    <row r="94" hidden="1">
      <c r="A94" s="9" t="s">
        <v>1917</v>
      </c>
      <c r="B94" s="3"/>
      <c r="C94" s="3"/>
      <c r="D94" s="3"/>
      <c r="E94" s="3"/>
      <c r="F94" s="3"/>
      <c r="G94" s="3"/>
      <c r="H94" s="3"/>
      <c r="I94" s="3"/>
      <c r="J94" s="3"/>
      <c r="K94" s="3"/>
      <c r="L94" s="3"/>
      <c r="M94" s="3"/>
      <c r="N94" s="3"/>
      <c r="O94" s="3"/>
      <c r="P94" s="3"/>
      <c r="Q94" s="3"/>
      <c r="R94" s="3"/>
      <c r="S94" s="3"/>
      <c r="T94" s="3"/>
      <c r="U94" s="3"/>
      <c r="V94" s="3"/>
      <c r="W94" s="3"/>
      <c r="X94" s="3"/>
      <c r="Y94" s="3"/>
      <c r="Z94" s="3"/>
    </row>
    <row r="95" hidden="1">
      <c r="A95" s="94" t="s">
        <v>1923</v>
      </c>
      <c r="B95" s="3"/>
      <c r="C95" s="3"/>
      <c r="D95" s="3"/>
      <c r="E95" s="3"/>
      <c r="F95" s="3"/>
      <c r="G95" s="3"/>
      <c r="H95" s="3"/>
      <c r="I95" s="3"/>
      <c r="J95" s="3"/>
      <c r="K95" s="3"/>
      <c r="L95" s="3"/>
      <c r="M95" s="3"/>
      <c r="N95" s="3"/>
      <c r="O95" s="3"/>
      <c r="P95" s="3"/>
      <c r="Q95" s="3"/>
      <c r="R95" s="3"/>
      <c r="S95" s="3"/>
      <c r="T95" s="3"/>
      <c r="U95" s="3"/>
      <c r="V95" s="3"/>
      <c r="W95" s="3"/>
      <c r="X95" s="3"/>
      <c r="Y95" s="3"/>
      <c r="Z95" s="3"/>
    </row>
    <row r="96" hidden="1">
      <c r="A96" s="94" t="s">
        <v>1931</v>
      </c>
      <c r="B96" s="3"/>
      <c r="C96" s="3"/>
      <c r="D96" s="3"/>
      <c r="E96" s="3"/>
      <c r="F96" s="3"/>
      <c r="G96" s="3"/>
      <c r="H96" s="3"/>
      <c r="I96" s="3"/>
      <c r="J96" s="3"/>
      <c r="K96" s="3"/>
      <c r="L96" s="3"/>
      <c r="M96" s="3"/>
      <c r="N96" s="3"/>
      <c r="O96" s="3"/>
      <c r="P96" s="3"/>
      <c r="Q96" s="3"/>
      <c r="R96" s="3"/>
      <c r="S96" s="3"/>
      <c r="T96" s="3"/>
      <c r="U96" s="3"/>
      <c r="V96" s="3"/>
      <c r="W96" s="3"/>
      <c r="X96" s="3"/>
      <c r="Y96" s="3"/>
      <c r="Z96" s="3"/>
    </row>
    <row r="97" hidden="1">
      <c r="A97" s="9" t="s">
        <v>1939</v>
      </c>
      <c r="B97" s="3"/>
      <c r="C97" s="3"/>
      <c r="D97" s="3"/>
      <c r="E97" s="3"/>
      <c r="F97" s="3"/>
      <c r="G97" s="3"/>
      <c r="H97" s="3"/>
      <c r="I97" s="3"/>
      <c r="J97" s="3"/>
      <c r="K97" s="3"/>
      <c r="L97" s="3"/>
      <c r="M97" s="3"/>
      <c r="N97" s="3"/>
      <c r="O97" s="3"/>
      <c r="P97" s="3"/>
      <c r="Q97" s="3"/>
      <c r="R97" s="3"/>
      <c r="S97" s="3"/>
      <c r="T97" s="3"/>
      <c r="U97" s="3"/>
      <c r="V97" s="3"/>
      <c r="W97" s="3"/>
      <c r="X97" s="3"/>
      <c r="Y97" s="3"/>
      <c r="Z97" s="3"/>
    </row>
    <row r="98" hidden="1">
      <c r="A98" s="94" t="s">
        <v>1946</v>
      </c>
      <c r="B98" s="3"/>
      <c r="C98" s="3"/>
      <c r="D98" s="3"/>
      <c r="E98" s="3"/>
      <c r="F98" s="3"/>
      <c r="G98" s="3"/>
      <c r="H98" s="3"/>
      <c r="I98" s="3"/>
      <c r="J98" s="3"/>
      <c r="K98" s="3"/>
      <c r="L98" s="3"/>
      <c r="M98" s="3"/>
      <c r="N98" s="3"/>
      <c r="O98" s="3"/>
      <c r="P98" s="3"/>
      <c r="Q98" s="3"/>
      <c r="R98" s="3"/>
      <c r="S98" s="3"/>
      <c r="T98" s="3"/>
      <c r="U98" s="3"/>
      <c r="V98" s="3"/>
      <c r="W98" s="3"/>
      <c r="X98" s="3"/>
      <c r="Y98" s="3"/>
      <c r="Z98" s="3"/>
    </row>
    <row r="99" hidden="1">
      <c r="A99" s="9" t="s">
        <v>1952</v>
      </c>
      <c r="B99" s="3"/>
      <c r="C99" s="3"/>
      <c r="D99" s="3"/>
      <c r="E99" s="3"/>
      <c r="F99" s="3"/>
      <c r="G99" s="3"/>
      <c r="H99" s="3"/>
      <c r="I99" s="3"/>
      <c r="J99" s="3"/>
      <c r="K99" s="3"/>
      <c r="L99" s="3"/>
      <c r="M99" s="3"/>
      <c r="N99" s="3"/>
      <c r="O99" s="3"/>
      <c r="P99" s="3"/>
      <c r="Q99" s="3"/>
      <c r="R99" s="3"/>
      <c r="S99" s="3"/>
      <c r="T99" s="3"/>
      <c r="U99" s="3"/>
      <c r="V99" s="3"/>
      <c r="W99" s="3"/>
      <c r="X99" s="3"/>
      <c r="Y99" s="3"/>
      <c r="Z99" s="3"/>
    </row>
    <row r="100" hidden="1">
      <c r="A100" s="9" t="s">
        <v>1958</v>
      </c>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idden="1">
      <c r="A101" s="9" t="s">
        <v>1965</v>
      </c>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idden="1">
      <c r="A102" s="94" t="s">
        <v>1971</v>
      </c>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idden="1">
      <c r="A103" s="9" t="s">
        <v>1979</v>
      </c>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idden="1">
      <c r="A104" s="9" t="s">
        <v>1985</v>
      </c>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idden="1">
      <c r="A105" s="9" t="s">
        <v>1992</v>
      </c>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idden="1">
      <c r="A106" s="94" t="s">
        <v>2000</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idden="1">
      <c r="A107" s="9" t="s">
        <v>2010</v>
      </c>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idden="1">
      <c r="A108" s="94" t="s">
        <v>2021</v>
      </c>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idden="1">
      <c r="A109" s="9" t="s">
        <v>2032</v>
      </c>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idden="1">
      <c r="A110" s="9" t="s">
        <v>2042</v>
      </c>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idden="1">
      <c r="A111" s="4" t="s">
        <v>2052</v>
      </c>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idden="1">
      <c r="A112" s="94" t="s">
        <v>2057</v>
      </c>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idden="1">
      <c r="A113" s="9" t="s">
        <v>2064</v>
      </c>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idden="1">
      <c r="A1" s="1" t="s">
        <v>0</v>
      </c>
      <c r="B1" s="1" t="s">
        <v>1</v>
      </c>
      <c r="C1" s="2"/>
      <c r="D1" s="3"/>
      <c r="E1" s="4" t="s">
        <v>2</v>
      </c>
    </row>
    <row r="2" hidden="1">
      <c r="A2" s="2" t="s">
        <v>3</v>
      </c>
      <c r="B2" s="2" t="s">
        <v>4</v>
      </c>
      <c r="C2" s="2"/>
      <c r="D2" s="3"/>
      <c r="E2" s="4" t="s">
        <v>5</v>
      </c>
    </row>
    <row r="3" hidden="1">
      <c r="A3" s="2" t="s">
        <v>6</v>
      </c>
      <c r="B3" s="5" t="s">
        <v>7</v>
      </c>
      <c r="C3" s="2"/>
      <c r="D3" s="3"/>
      <c r="E3" s="4" t="s">
        <v>8</v>
      </c>
    </row>
    <row r="4" hidden="1">
      <c r="A4" s="2">
        <v>526187.0</v>
      </c>
      <c r="B4" s="2" t="s">
        <v>9</v>
      </c>
      <c r="C4" s="2" t="s">
        <v>10</v>
      </c>
      <c r="D4" s="3"/>
      <c r="E4" s="4" t="s">
        <v>11</v>
      </c>
    </row>
    <row r="5" hidden="1">
      <c r="A5" s="2" t="s">
        <v>12</v>
      </c>
      <c r="B5" s="2" t="s">
        <v>13</v>
      </c>
      <c r="C5" s="2"/>
      <c r="D5" s="3"/>
      <c r="E5" s="4" t="s">
        <v>14</v>
      </c>
    </row>
    <row r="6" hidden="1">
      <c r="A6" s="2" t="s">
        <v>15</v>
      </c>
      <c r="B6" s="2" t="s">
        <v>16</v>
      </c>
      <c r="C6" s="2"/>
      <c r="D6" s="3"/>
      <c r="E6" s="4" t="s">
        <v>17</v>
      </c>
    </row>
    <row r="7" hidden="1">
      <c r="A7" s="5" t="s">
        <v>18</v>
      </c>
      <c r="B7" s="5" t="s">
        <v>7</v>
      </c>
      <c r="C7" s="2"/>
      <c r="D7" s="3"/>
      <c r="E7" s="4" t="s">
        <v>19</v>
      </c>
    </row>
    <row r="8">
      <c r="A8" s="2"/>
      <c r="B8" s="2"/>
      <c r="C8" s="2"/>
      <c r="D8" s="3"/>
      <c r="E8" s="4" t="s">
        <v>20</v>
      </c>
    </row>
    <row r="9" hidden="1">
      <c r="A9" s="3"/>
      <c r="B9" s="3"/>
      <c r="C9" s="3"/>
      <c r="D9" s="3"/>
      <c r="E9" s="4" t="s">
        <v>21</v>
      </c>
    </row>
    <row r="10" hidden="1">
      <c r="A10" s="3"/>
      <c r="B10" s="3"/>
      <c r="C10" s="3"/>
      <c r="D10" s="3"/>
      <c r="E10" s="4" t="s">
        <v>23</v>
      </c>
    </row>
    <row r="11" hidden="1">
      <c r="A11" s="3"/>
      <c r="B11" s="3"/>
      <c r="C11" s="3"/>
      <c r="D11" s="3"/>
      <c r="E11" s="4" t="s">
        <v>24</v>
      </c>
    </row>
    <row r="12" hidden="1">
      <c r="A12" s="3"/>
      <c r="B12" s="3"/>
      <c r="C12" s="3"/>
      <c r="D12" s="3"/>
      <c r="E12" s="4" t="s">
        <v>25</v>
      </c>
    </row>
    <row r="13" hidden="1">
      <c r="A13" s="3"/>
      <c r="B13" s="3"/>
      <c r="C13" s="3"/>
      <c r="D13" s="3"/>
      <c r="E13" s="4" t="s">
        <v>26</v>
      </c>
    </row>
    <row r="14" hidden="1">
      <c r="A14" s="3"/>
      <c r="B14" s="3"/>
      <c r="C14" s="3"/>
      <c r="D14" s="3"/>
      <c r="E14" s="4" t="s">
        <v>27</v>
      </c>
    </row>
    <row r="15" hidden="1">
      <c r="A15" s="3"/>
      <c r="B15" s="3"/>
      <c r="C15" s="3"/>
      <c r="D15" s="3"/>
      <c r="E15" s="4" t="s">
        <v>29</v>
      </c>
    </row>
    <row r="16" hidden="1">
      <c r="A16" s="3"/>
      <c r="B16" s="3"/>
      <c r="C16" s="3"/>
      <c r="D16" s="3"/>
      <c r="E16" s="4" t="s">
        <v>30</v>
      </c>
    </row>
    <row r="17" hidden="1">
      <c r="A17" s="3"/>
      <c r="B17" s="3"/>
      <c r="C17" s="3"/>
      <c r="D17" s="3"/>
      <c r="E17" s="4" t="s">
        <v>31</v>
      </c>
    </row>
    <row r="18" hidden="1">
      <c r="A18" s="3"/>
      <c r="B18" s="3"/>
      <c r="C18" s="3"/>
      <c r="D18" s="3"/>
      <c r="E18" s="4" t="s">
        <v>32</v>
      </c>
    </row>
    <row r="19" hidden="1">
      <c r="A19" s="3"/>
      <c r="B19" s="3"/>
      <c r="C19" s="3"/>
      <c r="D19" s="3"/>
      <c r="E19" s="4" t="s">
        <v>33</v>
      </c>
    </row>
    <row r="20" hidden="1">
      <c r="A20" s="3"/>
      <c r="B20" s="3"/>
      <c r="C20" s="3"/>
      <c r="D20" s="3"/>
      <c r="E20" s="4" t="s">
        <v>34</v>
      </c>
    </row>
    <row r="21" hidden="1">
      <c r="A21" s="3"/>
      <c r="B21" s="3"/>
      <c r="C21" s="3"/>
      <c r="D21" s="3"/>
      <c r="E21" s="4" t="s">
        <v>35</v>
      </c>
    </row>
    <row r="22" hidden="1">
      <c r="A22" s="3"/>
      <c r="B22" s="3"/>
      <c r="C22" s="3"/>
      <c r="D22" s="3"/>
      <c r="E22" s="4" t="s">
        <v>36</v>
      </c>
    </row>
    <row r="23" hidden="1">
      <c r="A23" s="3"/>
      <c r="B23" s="3"/>
      <c r="C23" s="3"/>
      <c r="D23" s="3"/>
      <c r="E23" s="4" t="s">
        <v>37</v>
      </c>
    </row>
    <row r="24" hidden="1">
      <c r="A24" s="3"/>
      <c r="B24" s="3"/>
      <c r="C24" s="3"/>
      <c r="D24" s="3"/>
      <c r="E24" s="4" t="s">
        <v>39</v>
      </c>
    </row>
    <row r="25" hidden="1">
      <c r="A25" s="3"/>
      <c r="B25" s="3"/>
      <c r="C25" s="3"/>
      <c r="D25" s="3"/>
      <c r="E25" s="4" t="s">
        <v>40</v>
      </c>
    </row>
    <row r="26" hidden="1">
      <c r="A26" s="3"/>
      <c r="B26" s="3"/>
      <c r="C26" s="3"/>
      <c r="D26" s="3"/>
      <c r="E26" s="4" t="s">
        <v>41</v>
      </c>
    </row>
    <row r="27" hidden="1">
      <c r="A27" s="3"/>
      <c r="B27" s="3"/>
      <c r="C27" s="3"/>
      <c r="D27" s="3"/>
      <c r="E27" s="4" t="s">
        <v>42</v>
      </c>
    </row>
    <row r="28" hidden="1">
      <c r="A28" s="3"/>
      <c r="B28" s="3"/>
      <c r="C28" s="3"/>
      <c r="D28" s="3"/>
      <c r="E28" s="4" t="s">
        <v>43</v>
      </c>
    </row>
    <row r="29" hidden="1">
      <c r="A29" s="3"/>
      <c r="B29" s="3"/>
      <c r="C29" s="3"/>
      <c r="D29" s="3"/>
      <c r="E29" s="4" t="s">
        <v>44</v>
      </c>
    </row>
    <row r="30" hidden="1">
      <c r="A30" s="3"/>
      <c r="B30" s="3"/>
      <c r="C30" s="3"/>
      <c r="D30" s="3"/>
      <c r="E30" s="4" t="s">
        <v>45</v>
      </c>
    </row>
    <row r="31" hidden="1">
      <c r="A31" s="3"/>
      <c r="B31" s="3"/>
      <c r="C31" s="3"/>
      <c r="D31" s="3"/>
      <c r="E31" s="4" t="s">
        <v>46</v>
      </c>
    </row>
    <row r="32" hidden="1">
      <c r="A32" s="3"/>
      <c r="B32" s="3"/>
      <c r="C32" s="3"/>
      <c r="D32" s="3"/>
      <c r="E32" s="4" t="s">
        <v>47</v>
      </c>
    </row>
    <row r="33" hidden="1">
      <c r="A33" s="3"/>
      <c r="B33" s="3"/>
      <c r="C33" s="3"/>
      <c r="D33" s="3"/>
      <c r="E33" s="4" t="s">
        <v>48</v>
      </c>
    </row>
    <row r="34" hidden="1">
      <c r="A34" s="3"/>
      <c r="B34" s="3"/>
      <c r="C34" s="3"/>
      <c r="D34" s="3"/>
      <c r="E34" s="4" t="s">
        <v>49</v>
      </c>
    </row>
    <row r="35" hidden="1">
      <c r="A35" s="3"/>
      <c r="B35" s="3"/>
      <c r="C35" s="3"/>
      <c r="D35" s="3"/>
      <c r="E35" s="4" t="s">
        <v>51</v>
      </c>
    </row>
    <row r="36" hidden="1">
      <c r="A36" s="3"/>
      <c r="B36" s="3"/>
      <c r="C36" s="3"/>
      <c r="D36" s="3"/>
      <c r="E36" s="4" t="s">
        <v>52</v>
      </c>
    </row>
    <row r="37" hidden="1">
      <c r="A37" s="3"/>
      <c r="B37" s="3"/>
      <c r="C37" s="3"/>
      <c r="D37" s="3"/>
      <c r="E37" s="4" t="s">
        <v>53</v>
      </c>
    </row>
    <row r="38" hidden="1">
      <c r="A38" s="3"/>
      <c r="B38" s="3"/>
      <c r="C38" s="3"/>
      <c r="D38" s="3"/>
      <c r="E38" s="4" t="s">
        <v>54</v>
      </c>
    </row>
    <row r="39" hidden="1">
      <c r="A39" s="3"/>
      <c r="B39" s="3"/>
      <c r="C39" s="3"/>
      <c r="D39" s="3"/>
      <c r="E39" s="4" t="s">
        <v>55</v>
      </c>
    </row>
    <row r="40" hidden="1">
      <c r="A40" s="3"/>
      <c r="B40" s="3"/>
      <c r="C40" s="3"/>
      <c r="D40" s="3"/>
      <c r="E40" s="4" t="s">
        <v>56</v>
      </c>
    </row>
    <row r="41" hidden="1">
      <c r="A41" s="3"/>
      <c r="B41" s="3"/>
      <c r="C41" s="3"/>
      <c r="D41" s="3"/>
      <c r="E41" s="4" t="s">
        <v>57</v>
      </c>
    </row>
    <row r="42" hidden="1">
      <c r="A42" s="3"/>
      <c r="B42" s="3"/>
      <c r="C42" s="3"/>
      <c r="D42" s="3"/>
      <c r="E42" s="4" t="s">
        <v>58</v>
      </c>
    </row>
    <row r="43" hidden="1">
      <c r="A43" s="3"/>
      <c r="B43" s="3"/>
      <c r="C43" s="3"/>
      <c r="D43" s="3"/>
      <c r="E43" s="4" t="s">
        <v>59</v>
      </c>
    </row>
    <row r="44" hidden="1">
      <c r="A44" s="3"/>
      <c r="B44" s="3"/>
      <c r="C44" s="3"/>
      <c r="D44" s="3"/>
      <c r="E44" s="4" t="s">
        <v>60</v>
      </c>
    </row>
    <row r="45" hidden="1">
      <c r="A45" s="3"/>
      <c r="B45" s="3"/>
      <c r="C45" s="3"/>
      <c r="D45" s="3"/>
      <c r="E45" s="4" t="s">
        <v>61</v>
      </c>
    </row>
    <row r="46" hidden="1">
      <c r="A46" s="3"/>
      <c r="B46" s="3"/>
      <c r="C46" s="3"/>
      <c r="D46" s="3"/>
      <c r="E46" s="4" t="s">
        <v>62</v>
      </c>
    </row>
    <row r="47" hidden="1">
      <c r="A47" s="3"/>
      <c r="B47" s="3"/>
      <c r="C47" s="3"/>
      <c r="D47" s="3"/>
      <c r="E47" s="4" t="s">
        <v>64</v>
      </c>
    </row>
    <row r="48" hidden="1">
      <c r="A48" s="3"/>
      <c r="B48" s="3"/>
      <c r="C48" s="3"/>
      <c r="D48" s="3"/>
      <c r="E48" s="4" t="s">
        <v>65</v>
      </c>
    </row>
    <row r="49" hidden="1">
      <c r="A49" s="3"/>
      <c r="B49" s="3"/>
      <c r="C49" s="3"/>
      <c r="D49" s="3"/>
      <c r="E49" s="4" t="s">
        <v>66</v>
      </c>
    </row>
    <row r="50" hidden="1">
      <c r="A50" s="3"/>
      <c r="B50" s="3"/>
      <c r="C50" s="3"/>
      <c r="D50" s="3"/>
      <c r="E50" s="4" t="s">
        <v>68</v>
      </c>
    </row>
    <row r="51" hidden="1">
      <c r="A51" s="3"/>
      <c r="B51" s="3"/>
      <c r="C51" s="3"/>
      <c r="D51" s="3"/>
      <c r="E51" s="4" t="s">
        <v>69</v>
      </c>
    </row>
    <row r="52" hidden="1">
      <c r="A52" s="3"/>
      <c r="B52" s="3"/>
      <c r="C52" s="3"/>
      <c r="D52" s="3"/>
      <c r="E52" s="4" t="s">
        <v>70</v>
      </c>
    </row>
    <row r="53" hidden="1">
      <c r="A53" s="3"/>
      <c r="B53" s="3"/>
      <c r="C53" s="3"/>
      <c r="D53" s="3"/>
      <c r="E53" s="4" t="s">
        <v>72</v>
      </c>
    </row>
    <row r="54" hidden="1">
      <c r="A54" s="3"/>
      <c r="B54" s="3"/>
      <c r="C54" s="3"/>
      <c r="D54" s="3"/>
      <c r="E54" s="4" t="s">
        <v>73</v>
      </c>
    </row>
    <row r="55" hidden="1">
      <c r="A55" s="3"/>
      <c r="B55" s="3"/>
      <c r="C55" s="3"/>
      <c r="D55" s="3"/>
      <c r="E55" s="4" t="s">
        <v>74</v>
      </c>
    </row>
    <row r="56" hidden="1">
      <c r="A56" s="3"/>
      <c r="B56" s="3"/>
      <c r="C56" s="3"/>
      <c r="D56" s="3"/>
      <c r="E56" s="4" t="s">
        <v>75</v>
      </c>
    </row>
    <row r="57" hidden="1">
      <c r="A57" s="3"/>
      <c r="B57" s="3"/>
      <c r="C57" s="3"/>
      <c r="D57" s="3"/>
      <c r="E57" s="4" t="s">
        <v>76</v>
      </c>
    </row>
    <row r="58" hidden="1">
      <c r="A58" s="3"/>
      <c r="B58" s="3"/>
      <c r="C58" s="3"/>
      <c r="D58" s="3"/>
      <c r="E58" s="4" t="s">
        <v>77</v>
      </c>
    </row>
    <row r="59" hidden="1">
      <c r="A59" s="3"/>
      <c r="B59" s="3"/>
      <c r="C59" s="3"/>
      <c r="D59" s="3"/>
      <c r="E59" s="4" t="s">
        <v>78</v>
      </c>
    </row>
    <row r="60" hidden="1">
      <c r="A60" s="3"/>
      <c r="B60" s="3"/>
      <c r="C60" s="3"/>
      <c r="D60" s="3"/>
      <c r="E60" s="4" t="s">
        <v>79</v>
      </c>
    </row>
    <row r="61" hidden="1">
      <c r="A61" s="3"/>
      <c r="B61" s="3"/>
      <c r="C61" s="3"/>
      <c r="D61" s="3"/>
      <c r="E61" s="4" t="s">
        <v>80</v>
      </c>
    </row>
    <row r="62" hidden="1">
      <c r="A62" s="3"/>
      <c r="B62" s="3"/>
      <c r="C62" s="3"/>
      <c r="D62" s="3"/>
      <c r="E62" s="4" t="s">
        <v>81</v>
      </c>
    </row>
    <row r="63" hidden="1">
      <c r="A63" s="3"/>
      <c r="B63" s="3"/>
      <c r="C63" s="3"/>
      <c r="D63" s="3"/>
      <c r="E63" s="4" t="s">
        <v>82</v>
      </c>
    </row>
    <row r="64" hidden="1">
      <c r="A64" s="3"/>
      <c r="B64" s="3"/>
      <c r="C64" s="3"/>
      <c r="D64" s="3"/>
      <c r="E64" s="4" t="s">
        <v>83</v>
      </c>
    </row>
    <row r="65" hidden="1">
      <c r="A65" s="3"/>
      <c r="B65" s="3"/>
      <c r="C65" s="3"/>
      <c r="D65" s="3"/>
      <c r="E65" s="4" t="s">
        <v>84</v>
      </c>
    </row>
    <row r="66" hidden="1">
      <c r="A66" s="3"/>
      <c r="B66" s="3"/>
      <c r="C66" s="3"/>
      <c r="D66" s="3"/>
      <c r="E66" s="4" t="s">
        <v>85</v>
      </c>
    </row>
    <row r="67" hidden="1">
      <c r="A67" s="3"/>
      <c r="B67" s="3"/>
      <c r="C67" s="3"/>
      <c r="D67" s="3"/>
      <c r="E67" s="4" t="s">
        <v>87</v>
      </c>
    </row>
    <row r="68" hidden="1">
      <c r="A68" s="3"/>
      <c r="B68" s="3"/>
      <c r="C68" s="3"/>
      <c r="D68" s="3"/>
      <c r="E68" s="4" t="s">
        <v>88</v>
      </c>
    </row>
    <row r="69" hidden="1">
      <c r="A69" s="3"/>
      <c r="B69" s="3"/>
      <c r="C69" s="3"/>
      <c r="D69" s="3"/>
      <c r="E69" s="4" t="s">
        <v>89</v>
      </c>
    </row>
    <row r="70" hidden="1">
      <c r="A70" s="3"/>
      <c r="B70" s="3"/>
      <c r="C70" s="3"/>
      <c r="D70" s="3"/>
      <c r="E70" s="4" t="s">
        <v>91</v>
      </c>
    </row>
    <row r="71" hidden="1">
      <c r="A71" s="3"/>
      <c r="B71" s="3"/>
      <c r="C71" s="3"/>
      <c r="D71" s="3"/>
      <c r="E71" s="4" t="s">
        <v>92</v>
      </c>
    </row>
    <row r="72" hidden="1">
      <c r="A72" s="3"/>
      <c r="B72" s="3"/>
      <c r="C72" s="3"/>
      <c r="D72" s="3"/>
      <c r="E72" s="4" t="s">
        <v>93</v>
      </c>
    </row>
    <row r="73" hidden="1">
      <c r="A73" s="3"/>
      <c r="B73" s="3"/>
      <c r="C73" s="3"/>
      <c r="D73" s="3"/>
      <c r="E73" s="4" t="s">
        <v>94</v>
      </c>
    </row>
    <row r="74" hidden="1">
      <c r="A74" s="3"/>
      <c r="B74" s="3"/>
      <c r="C74" s="3"/>
      <c r="D74" s="3"/>
      <c r="E74" s="4" t="s">
        <v>95</v>
      </c>
    </row>
    <row r="75" hidden="1">
      <c r="A75" s="3"/>
      <c r="B75" s="3"/>
      <c r="C75" s="3"/>
      <c r="D75" s="3"/>
      <c r="E75" s="4" t="s">
        <v>96</v>
      </c>
    </row>
    <row r="76" hidden="1">
      <c r="A76" s="3"/>
      <c r="B76" s="3"/>
      <c r="C76" s="3"/>
      <c r="D76" s="3"/>
      <c r="E76" s="4" t="s">
        <v>97</v>
      </c>
    </row>
    <row r="77" hidden="1">
      <c r="A77" s="3"/>
      <c r="B77" s="3"/>
      <c r="C77" s="3"/>
      <c r="D77" s="3"/>
      <c r="E77" s="4" t="s">
        <v>98</v>
      </c>
    </row>
    <row r="78" hidden="1">
      <c r="A78" s="3"/>
      <c r="B78" s="3"/>
      <c r="C78" s="3"/>
      <c r="D78" s="3"/>
      <c r="E78" s="4" t="s">
        <v>99</v>
      </c>
    </row>
    <row r="79" hidden="1">
      <c r="A79" s="3"/>
      <c r="B79" s="3"/>
      <c r="C79" s="3"/>
      <c r="D79" s="3"/>
      <c r="E79" s="4" t="s">
        <v>101</v>
      </c>
    </row>
    <row r="80" hidden="1">
      <c r="A80" s="3"/>
      <c r="B80" s="3"/>
      <c r="C80" s="3"/>
      <c r="D80" s="3"/>
      <c r="E80" s="4" t="s">
        <v>102</v>
      </c>
    </row>
    <row r="81" hidden="1">
      <c r="A81" s="3"/>
      <c r="B81" s="3"/>
      <c r="C81" s="3"/>
      <c r="D81" s="3"/>
      <c r="E81" s="4" t="s">
        <v>103</v>
      </c>
    </row>
    <row r="82" hidden="1">
      <c r="A82" s="3"/>
      <c r="B82" s="3"/>
      <c r="C82" s="3"/>
      <c r="D82" s="3"/>
      <c r="E82" s="4" t="s">
        <v>104</v>
      </c>
    </row>
    <row r="83" hidden="1">
      <c r="A83" s="3"/>
      <c r="B83" s="3"/>
      <c r="C83" s="3"/>
      <c r="D83" s="3"/>
      <c r="E83" s="4" t="s">
        <v>105</v>
      </c>
    </row>
    <row r="84" hidden="1">
      <c r="A84" s="3"/>
      <c r="B84" s="3"/>
      <c r="C84" s="3"/>
      <c r="D84" s="3"/>
      <c r="E84" s="4" t="s">
        <v>106</v>
      </c>
    </row>
    <row r="85" hidden="1">
      <c r="A85" s="3"/>
      <c r="B85" s="3"/>
      <c r="C85" s="3"/>
      <c r="D85" s="3"/>
      <c r="E85" s="4" t="s">
        <v>107</v>
      </c>
    </row>
    <row r="86" hidden="1">
      <c r="A86" s="3"/>
      <c r="B86" s="3"/>
      <c r="C86" s="3"/>
      <c r="D86" s="3"/>
      <c r="E86" s="4" t="s">
        <v>108</v>
      </c>
    </row>
    <row r="87" hidden="1">
      <c r="A87" s="3"/>
      <c r="B87" s="3"/>
      <c r="C87" s="3"/>
      <c r="D87" s="3"/>
      <c r="E87" s="4" t="s">
        <v>110</v>
      </c>
    </row>
    <row r="88" hidden="1">
      <c r="A88" s="3"/>
      <c r="B88" s="3"/>
      <c r="C88" s="3"/>
      <c r="D88" s="3"/>
      <c r="E88" s="4" t="s">
        <v>111</v>
      </c>
    </row>
    <row r="89" hidden="1">
      <c r="A89" s="3"/>
      <c r="B89" s="3"/>
      <c r="C89" s="3"/>
      <c r="D89" s="3"/>
      <c r="E89" s="4" t="s">
        <v>112</v>
      </c>
    </row>
    <row r="90" hidden="1">
      <c r="A90" s="3"/>
      <c r="B90" s="3"/>
      <c r="C90" s="3"/>
      <c r="D90" s="3"/>
      <c r="E90" s="4" t="s">
        <v>113</v>
      </c>
    </row>
    <row r="91" hidden="1">
      <c r="A91" s="3"/>
      <c r="B91" s="3"/>
      <c r="C91" s="3"/>
      <c r="D91" s="3"/>
      <c r="E91" s="4" t="s">
        <v>114</v>
      </c>
    </row>
    <row r="92" hidden="1">
      <c r="A92" s="3"/>
      <c r="B92" s="3"/>
      <c r="C92" s="3"/>
      <c r="D92" s="3"/>
      <c r="E92" s="4" t="s">
        <v>117</v>
      </c>
    </row>
    <row r="93" hidden="1">
      <c r="A93" s="3"/>
      <c r="B93" s="3"/>
      <c r="C93" s="3"/>
      <c r="D93" s="3"/>
      <c r="E93" s="4" t="s">
        <v>120</v>
      </c>
    </row>
    <row r="94" hidden="1">
      <c r="A94" s="3"/>
      <c r="B94" s="3"/>
      <c r="C94" s="3"/>
      <c r="D94" s="3"/>
      <c r="E94" s="4" t="s">
        <v>121</v>
      </c>
    </row>
    <row r="95" hidden="1">
      <c r="A95" s="3"/>
      <c r="B95" s="3"/>
      <c r="C95" s="3"/>
      <c r="D95" s="3"/>
      <c r="E95" s="4" t="s">
        <v>122</v>
      </c>
    </row>
    <row r="96" hidden="1">
      <c r="A96" s="3"/>
      <c r="B96" s="3"/>
      <c r="C96" s="3"/>
      <c r="D96" s="3"/>
      <c r="E96" s="4" t="s">
        <v>123</v>
      </c>
    </row>
    <row r="97" hidden="1">
      <c r="A97" s="3"/>
      <c r="B97" s="3"/>
      <c r="C97" s="3"/>
      <c r="D97" s="3"/>
      <c r="E97" s="4" t="s">
        <v>126</v>
      </c>
    </row>
    <row r="98" hidden="1">
      <c r="A98" s="3"/>
      <c r="B98" s="3"/>
      <c r="C98" s="3"/>
      <c r="D98" s="3"/>
      <c r="E98" s="4" t="s">
        <v>127</v>
      </c>
    </row>
    <row r="99" hidden="1">
      <c r="A99" s="3"/>
      <c r="B99" s="3"/>
      <c r="C99" s="3"/>
      <c r="D99" s="3"/>
      <c r="E99" s="4" t="s">
        <v>128</v>
      </c>
    </row>
    <row r="100" hidden="1">
      <c r="A100" s="3"/>
      <c r="B100" s="3"/>
      <c r="C100" s="3"/>
      <c r="D100" s="3"/>
      <c r="E100" s="4" t="s">
        <v>129</v>
      </c>
    </row>
    <row r="101" hidden="1">
      <c r="A101" s="3"/>
      <c r="B101" s="3"/>
      <c r="C101" s="3"/>
      <c r="D101" s="3"/>
      <c r="E101" s="4" t="s">
        <v>130</v>
      </c>
    </row>
    <row r="102" hidden="1">
      <c r="A102" s="3"/>
      <c r="B102" s="3"/>
      <c r="C102" s="3"/>
      <c r="D102" s="3"/>
      <c r="E102" s="4" t="s">
        <v>132</v>
      </c>
    </row>
    <row r="103" hidden="1">
      <c r="A103" s="3"/>
      <c r="B103" s="3"/>
      <c r="C103" s="3"/>
      <c r="D103" s="3"/>
      <c r="E103" s="4" t="s">
        <v>134</v>
      </c>
    </row>
    <row r="104" hidden="1">
      <c r="A104" s="3"/>
      <c r="B104" s="3"/>
      <c r="C104" s="3"/>
      <c r="D104" s="3"/>
      <c r="E104" s="4" t="s">
        <v>135</v>
      </c>
    </row>
    <row r="105" hidden="1">
      <c r="A105" s="3"/>
      <c r="B105" s="3"/>
      <c r="C105" s="3"/>
      <c r="D105" s="3"/>
      <c r="E105" s="4" t="s">
        <v>136</v>
      </c>
    </row>
    <row r="106" hidden="1">
      <c r="A106" s="3"/>
      <c r="B106" s="3"/>
      <c r="C106" s="3"/>
      <c r="D106" s="3"/>
      <c r="E106" s="4" t="s">
        <v>138</v>
      </c>
    </row>
    <row r="107" hidden="1">
      <c r="A107" s="3"/>
      <c r="B107" s="3"/>
      <c r="C107" s="3"/>
      <c r="D107" s="3"/>
      <c r="E107" s="4" t="s">
        <v>139</v>
      </c>
    </row>
    <row r="108" hidden="1">
      <c r="A108" s="3"/>
      <c r="B108" s="3"/>
      <c r="C108" s="3"/>
      <c r="D108" s="3"/>
      <c r="E108" s="4" t="s">
        <v>140</v>
      </c>
    </row>
    <row r="109" hidden="1">
      <c r="A109" s="3"/>
      <c r="B109" s="3"/>
      <c r="C109" s="3"/>
      <c r="D109" s="3"/>
      <c r="E109" s="4" t="s">
        <v>141</v>
      </c>
    </row>
    <row r="110" hidden="1">
      <c r="A110" s="3"/>
      <c r="B110" s="3"/>
      <c r="C110" s="3"/>
      <c r="D110" s="3"/>
      <c r="E110" s="4" t="s">
        <v>142</v>
      </c>
    </row>
    <row r="111" hidden="1">
      <c r="A111" s="3"/>
      <c r="B111" s="3"/>
      <c r="C111" s="3"/>
      <c r="D111" s="3"/>
      <c r="E111" s="4" t="s">
        <v>144</v>
      </c>
    </row>
    <row r="112" hidden="1">
      <c r="A112" s="3"/>
      <c r="B112" s="3"/>
      <c r="C112" s="3"/>
      <c r="D112" s="3"/>
      <c r="E112" s="4" t="s">
        <v>145</v>
      </c>
    </row>
    <row r="113" hidden="1">
      <c r="A113" s="3"/>
      <c r="B113" s="3"/>
      <c r="C113" s="3"/>
      <c r="D113" s="3"/>
      <c r="E113" s="4" t="s">
        <v>146</v>
      </c>
    </row>
    <row r="114" hidden="1">
      <c r="A114" s="3"/>
      <c r="B114" s="3"/>
      <c r="C114" s="3"/>
      <c r="D114" s="3"/>
      <c r="E114" s="4" t="s">
        <v>147</v>
      </c>
    </row>
    <row r="115" hidden="1">
      <c r="A115" s="3"/>
      <c r="B115" s="3"/>
      <c r="C115" s="3"/>
      <c r="D115" s="3"/>
      <c r="E115" s="4" t="s">
        <v>149</v>
      </c>
    </row>
    <row r="116" hidden="1">
      <c r="A116" s="3"/>
      <c r="B116" s="3"/>
      <c r="C116" s="3"/>
      <c r="D116" s="3"/>
      <c r="E116" s="4" t="s">
        <v>150</v>
      </c>
    </row>
    <row r="117" hidden="1">
      <c r="A117" s="3"/>
      <c r="B117" s="3"/>
      <c r="C117" s="3"/>
      <c r="D117" s="3"/>
      <c r="E117" s="4" t="s">
        <v>151</v>
      </c>
    </row>
    <row r="118" hidden="1">
      <c r="A118" s="3"/>
      <c r="B118" s="3"/>
      <c r="C118" s="3"/>
      <c r="D118" s="3"/>
      <c r="E118" s="4" t="s">
        <v>152</v>
      </c>
    </row>
    <row r="119" hidden="1">
      <c r="A119" s="3"/>
      <c r="B119" s="3"/>
      <c r="C119" s="3"/>
      <c r="D119" s="3"/>
      <c r="E119" s="4" t="s">
        <v>153</v>
      </c>
    </row>
    <row r="120" hidden="1">
      <c r="A120" s="3"/>
      <c r="B120" s="3"/>
      <c r="C120" s="3"/>
      <c r="D120" s="3"/>
      <c r="E120" s="4" t="s">
        <v>155</v>
      </c>
    </row>
    <row r="121" hidden="1">
      <c r="A121" s="3"/>
      <c r="B121" s="3"/>
      <c r="C121" s="3"/>
      <c r="D121" s="3"/>
      <c r="E121" s="4" t="s">
        <v>156</v>
      </c>
    </row>
    <row r="122" hidden="1">
      <c r="A122" s="3"/>
      <c r="B122" s="3"/>
      <c r="C122" s="3"/>
      <c r="D122" s="3"/>
      <c r="E122" s="4" t="s">
        <v>157</v>
      </c>
    </row>
    <row r="123" hidden="1">
      <c r="A123" s="3"/>
      <c r="B123" s="3"/>
      <c r="C123" s="3"/>
      <c r="D123" s="3"/>
      <c r="E123" s="4" t="s">
        <v>158</v>
      </c>
    </row>
    <row r="124" hidden="1">
      <c r="A124" s="3"/>
      <c r="B124" s="3"/>
      <c r="C124" s="3"/>
      <c r="D124" s="3"/>
      <c r="E124" s="4" t="s">
        <v>160</v>
      </c>
    </row>
    <row r="125" hidden="1">
      <c r="A125" s="3"/>
      <c r="B125" s="3"/>
      <c r="C125" s="3"/>
      <c r="D125" s="3"/>
      <c r="E125" s="4" t="s">
        <v>161</v>
      </c>
    </row>
    <row r="126" hidden="1">
      <c r="A126" s="3"/>
      <c r="B126" s="3"/>
      <c r="C126" s="3"/>
      <c r="D126" s="3"/>
      <c r="E126" s="4" t="s">
        <v>162</v>
      </c>
    </row>
    <row r="127" hidden="1">
      <c r="A127" s="3"/>
      <c r="B127" s="3"/>
      <c r="C127" s="3"/>
      <c r="D127" s="3"/>
      <c r="E127" s="4" t="s">
        <v>163</v>
      </c>
    </row>
    <row r="128" hidden="1">
      <c r="A128" s="3"/>
      <c r="B128" s="3"/>
      <c r="C128" s="3"/>
      <c r="D128" s="3"/>
      <c r="E128" s="4" t="s">
        <v>165</v>
      </c>
    </row>
    <row r="129" hidden="1">
      <c r="A129" s="3"/>
      <c r="B129" s="3"/>
      <c r="C129" s="3"/>
      <c r="D129" s="3"/>
      <c r="E129" s="4" t="s">
        <v>166</v>
      </c>
    </row>
    <row r="130" hidden="1">
      <c r="A130" s="3"/>
      <c r="B130" s="3"/>
      <c r="C130" s="3"/>
      <c r="D130" s="3"/>
      <c r="E130" s="4" t="s">
        <v>167</v>
      </c>
    </row>
    <row r="131" hidden="1">
      <c r="A131" s="3"/>
      <c r="B131" s="3"/>
      <c r="C131" s="3"/>
      <c r="D131" s="3"/>
      <c r="E131" s="4" t="s">
        <v>168</v>
      </c>
    </row>
    <row r="132" hidden="1">
      <c r="A132" s="3"/>
      <c r="B132" s="3"/>
      <c r="C132" s="3"/>
      <c r="D132" s="3"/>
      <c r="E132" s="4" t="s">
        <v>169</v>
      </c>
    </row>
    <row r="133" hidden="1">
      <c r="A133" s="3"/>
      <c r="B133" s="3"/>
      <c r="C133" s="3"/>
      <c r="D133" s="3"/>
      <c r="E133" s="4" t="s">
        <v>171</v>
      </c>
    </row>
    <row r="134" hidden="1">
      <c r="A134" s="3"/>
      <c r="B134" s="3"/>
      <c r="C134" s="3"/>
      <c r="D134" s="3"/>
      <c r="E134" s="4" t="s">
        <v>172</v>
      </c>
    </row>
    <row r="135" hidden="1">
      <c r="A135" s="3"/>
      <c r="B135" s="3"/>
      <c r="C135" s="3"/>
      <c r="D135" s="3"/>
      <c r="E135" s="4" t="s">
        <v>173</v>
      </c>
    </row>
    <row r="136" hidden="1">
      <c r="A136" s="3"/>
      <c r="B136" s="3"/>
      <c r="C136" s="3"/>
      <c r="D136" s="3"/>
      <c r="E136" s="4" t="s">
        <v>174</v>
      </c>
    </row>
    <row r="137" hidden="1">
      <c r="A137" s="3"/>
      <c r="B137" s="3"/>
      <c r="C137" s="3"/>
      <c r="D137" s="3"/>
      <c r="E137" s="4" t="s">
        <v>175</v>
      </c>
    </row>
    <row r="138" hidden="1">
      <c r="A138" s="3"/>
      <c r="B138" s="3"/>
      <c r="C138" s="3"/>
      <c r="D138" s="3"/>
      <c r="E138" s="4" t="s">
        <v>177</v>
      </c>
    </row>
    <row r="139" hidden="1">
      <c r="A139" s="3"/>
      <c r="B139" s="3"/>
      <c r="C139" s="3"/>
      <c r="D139" s="3"/>
      <c r="E139" s="4" t="s">
        <v>178</v>
      </c>
    </row>
    <row r="140" hidden="1">
      <c r="A140" s="3"/>
      <c r="B140" s="3"/>
      <c r="C140" s="3"/>
      <c r="D140" s="3"/>
      <c r="E140" s="4" t="s">
        <v>179</v>
      </c>
    </row>
    <row r="141" hidden="1">
      <c r="A141" s="3"/>
      <c r="B141" s="3"/>
      <c r="C141" s="3"/>
      <c r="D141" s="3"/>
      <c r="E141" s="4" t="s">
        <v>180</v>
      </c>
    </row>
    <row r="142" hidden="1">
      <c r="A142" s="3"/>
      <c r="B142" s="3"/>
      <c r="C142" s="3"/>
      <c r="D142" s="3"/>
      <c r="E142" s="4" t="s">
        <v>181</v>
      </c>
    </row>
    <row r="143" hidden="1">
      <c r="A143" s="3"/>
      <c r="B143" s="3"/>
      <c r="C143" s="3"/>
      <c r="D143" s="3"/>
      <c r="E143" s="4" t="s">
        <v>184</v>
      </c>
    </row>
    <row r="144" hidden="1">
      <c r="A144" s="3"/>
      <c r="B144" s="3"/>
      <c r="C144" s="3"/>
      <c r="D144" s="3"/>
      <c r="E144" s="4" t="s">
        <v>185</v>
      </c>
    </row>
    <row r="145" hidden="1">
      <c r="A145" s="3"/>
      <c r="B145" s="3"/>
      <c r="C145" s="3"/>
      <c r="D145" s="3"/>
      <c r="E145" s="4" t="s">
        <v>186</v>
      </c>
    </row>
    <row r="146" hidden="1">
      <c r="A146" s="3"/>
      <c r="B146" s="3"/>
      <c r="C146" s="3"/>
      <c r="D146" s="3"/>
      <c r="E146" s="4" t="s">
        <v>187</v>
      </c>
    </row>
    <row r="147" hidden="1">
      <c r="A147" s="3"/>
      <c r="B147" s="3"/>
      <c r="C147" s="3"/>
      <c r="D147" s="3"/>
      <c r="E147" s="4" t="s">
        <v>189</v>
      </c>
    </row>
    <row r="148" hidden="1">
      <c r="A148" s="3"/>
      <c r="B148" s="3"/>
      <c r="C148" s="3"/>
      <c r="D148" s="3"/>
      <c r="E148" s="4" t="s">
        <v>191</v>
      </c>
    </row>
    <row r="149" hidden="1">
      <c r="A149" s="3"/>
      <c r="B149" s="3"/>
      <c r="C149" s="3"/>
      <c r="D149" s="3"/>
      <c r="E149" s="4" t="s">
        <v>192</v>
      </c>
    </row>
    <row r="150" hidden="1">
      <c r="A150" s="3"/>
      <c r="B150" s="3"/>
      <c r="C150" s="3"/>
      <c r="D150" s="3"/>
      <c r="E150" s="4" t="s">
        <v>194</v>
      </c>
    </row>
    <row r="151" hidden="1">
      <c r="A151" s="3"/>
      <c r="B151" s="3"/>
      <c r="C151" s="3"/>
      <c r="D151" s="3"/>
      <c r="E151" s="4" t="s">
        <v>195</v>
      </c>
    </row>
    <row r="152" hidden="1">
      <c r="A152" s="3"/>
      <c r="B152" s="3"/>
      <c r="C152" s="3"/>
      <c r="D152" s="3"/>
      <c r="E152" s="4" t="s">
        <v>196</v>
      </c>
    </row>
    <row r="153" hidden="1">
      <c r="A153" s="3"/>
      <c r="B153" s="3"/>
      <c r="C153" s="3"/>
      <c r="D153" s="3"/>
      <c r="E153" s="4" t="s">
        <v>197</v>
      </c>
    </row>
    <row r="154" hidden="1">
      <c r="A154" s="3"/>
      <c r="B154" s="3"/>
      <c r="C154" s="3"/>
      <c r="D154" s="3"/>
      <c r="E154" s="4" t="s">
        <v>199</v>
      </c>
    </row>
    <row r="155" hidden="1">
      <c r="A155" s="3"/>
      <c r="B155" s="3"/>
      <c r="C155" s="3"/>
      <c r="D155" s="3"/>
      <c r="E155" s="4" t="s">
        <v>200</v>
      </c>
    </row>
    <row r="156" hidden="1">
      <c r="A156" s="3"/>
      <c r="B156" s="3"/>
      <c r="C156" s="3"/>
      <c r="D156" s="3"/>
      <c r="E156" s="4" t="s">
        <v>201</v>
      </c>
    </row>
    <row r="157" hidden="1">
      <c r="A157" s="3"/>
      <c r="B157" s="3"/>
      <c r="C157" s="3"/>
      <c r="D157" s="3"/>
      <c r="E157" s="4" t="s">
        <v>202</v>
      </c>
    </row>
    <row r="158" hidden="1">
      <c r="A158" s="3"/>
      <c r="B158" s="3"/>
      <c r="C158" s="3"/>
      <c r="D158" s="3"/>
      <c r="E158" s="4" t="s">
        <v>203</v>
      </c>
    </row>
    <row r="159" hidden="1">
      <c r="A159" s="3"/>
      <c r="B159" s="3"/>
      <c r="C159" s="3"/>
      <c r="D159" s="3"/>
      <c r="E159" s="4" t="s">
        <v>205</v>
      </c>
    </row>
    <row r="160" hidden="1">
      <c r="A160" s="3"/>
      <c r="B160" s="3"/>
      <c r="C160" s="3"/>
      <c r="D160" s="3"/>
      <c r="E160" s="4" t="s">
        <v>206</v>
      </c>
    </row>
    <row r="161" hidden="1">
      <c r="A161" s="3"/>
      <c r="B161" s="3"/>
      <c r="C161" s="3"/>
      <c r="D161" s="3"/>
      <c r="E161" s="4" t="s">
        <v>207</v>
      </c>
    </row>
    <row r="162" hidden="1">
      <c r="A162" s="3"/>
      <c r="B162" s="3"/>
      <c r="C162" s="3"/>
      <c r="D162" s="3"/>
      <c r="E162" s="4" t="s">
        <v>208</v>
      </c>
    </row>
    <row r="163" hidden="1">
      <c r="A163" s="3"/>
      <c r="B163" s="3"/>
      <c r="C163" s="3"/>
      <c r="D163" s="3"/>
      <c r="E163" s="4" t="s">
        <v>210</v>
      </c>
    </row>
    <row r="164" hidden="1">
      <c r="A164" s="3"/>
      <c r="B164" s="3"/>
      <c r="C164" s="3"/>
      <c r="D164" s="3"/>
      <c r="E164" s="4" t="s">
        <v>211</v>
      </c>
    </row>
    <row r="165" hidden="1">
      <c r="A165" s="3"/>
      <c r="B165" s="3"/>
      <c r="C165" s="3"/>
      <c r="D165" s="3"/>
      <c r="E165" s="4" t="s">
        <v>213</v>
      </c>
    </row>
    <row r="166" hidden="1">
      <c r="A166" s="3"/>
      <c r="B166" s="3"/>
      <c r="C166" s="3"/>
      <c r="D166" s="3"/>
      <c r="E166" s="4" t="s">
        <v>214</v>
      </c>
    </row>
    <row r="167" hidden="1">
      <c r="A167" s="3"/>
      <c r="B167" s="3"/>
      <c r="C167" s="3"/>
      <c r="D167" s="3"/>
      <c r="E167" s="4" t="s">
        <v>216</v>
      </c>
    </row>
    <row r="168" hidden="1">
      <c r="A168" s="3"/>
      <c r="B168" s="3"/>
      <c r="C168" s="3"/>
      <c r="D168" s="3"/>
      <c r="E168" s="4" t="s">
        <v>217</v>
      </c>
    </row>
    <row r="169" hidden="1">
      <c r="A169" s="3"/>
      <c r="B169" s="3"/>
      <c r="C169" s="3"/>
      <c r="D169" s="3"/>
      <c r="E169" s="4" t="s">
        <v>218</v>
      </c>
    </row>
    <row r="170" hidden="1">
      <c r="A170" s="3"/>
      <c r="B170" s="3"/>
      <c r="C170" s="3"/>
      <c r="D170" s="3"/>
      <c r="E170" s="4" t="s">
        <v>220</v>
      </c>
    </row>
    <row r="171" hidden="1">
      <c r="A171" s="3"/>
      <c r="B171" s="3"/>
      <c r="C171" s="3"/>
      <c r="D171" s="3"/>
      <c r="E171" s="4" t="s">
        <v>221</v>
      </c>
    </row>
    <row r="172" hidden="1">
      <c r="A172" s="3"/>
      <c r="B172" s="3"/>
      <c r="C172" s="3"/>
      <c r="D172" s="3"/>
      <c r="E172" s="4" t="s">
        <v>223</v>
      </c>
    </row>
    <row r="173" hidden="1">
      <c r="A173" s="3"/>
      <c r="B173" s="3"/>
      <c r="C173" s="3"/>
      <c r="D173" s="3"/>
      <c r="E173" s="4" t="s">
        <v>224</v>
      </c>
    </row>
    <row r="174" hidden="1">
      <c r="A174" s="3"/>
      <c r="B174" s="3"/>
      <c r="C174" s="3"/>
      <c r="D174" s="3"/>
      <c r="E174" s="4" t="s">
        <v>225</v>
      </c>
    </row>
    <row r="175" hidden="1">
      <c r="A175" s="3"/>
      <c r="B175" s="3"/>
      <c r="C175" s="3"/>
      <c r="D175" s="3"/>
      <c r="E175" s="4" t="s">
        <v>226</v>
      </c>
    </row>
    <row r="176" hidden="1">
      <c r="A176" s="3"/>
      <c r="B176" s="3"/>
      <c r="C176" s="3"/>
      <c r="D176" s="3"/>
      <c r="E176" s="4" t="s">
        <v>228</v>
      </c>
    </row>
    <row r="177" hidden="1">
      <c r="A177" s="3"/>
      <c r="B177" s="3"/>
      <c r="C177" s="3"/>
      <c r="D177" s="3"/>
      <c r="E177" s="4" t="s">
        <v>229</v>
      </c>
    </row>
    <row r="178" hidden="1">
      <c r="A178" s="3"/>
      <c r="B178" s="3"/>
      <c r="C178" s="3"/>
      <c r="D178" s="3"/>
      <c r="E178" s="4" t="s">
        <v>230</v>
      </c>
    </row>
    <row r="179" hidden="1">
      <c r="A179" s="3"/>
      <c r="B179" s="3"/>
      <c r="C179" s="3"/>
      <c r="D179" s="3"/>
      <c r="E179" s="4" t="s">
        <v>231</v>
      </c>
    </row>
    <row r="180" hidden="1">
      <c r="A180" s="3"/>
      <c r="B180" s="3"/>
      <c r="C180" s="3"/>
      <c r="D180" s="3"/>
      <c r="E180" s="4" t="s">
        <v>232</v>
      </c>
    </row>
    <row r="181" hidden="1">
      <c r="A181" s="3"/>
      <c r="B181" s="3"/>
      <c r="C181" s="3"/>
      <c r="D181" s="3"/>
      <c r="E181" s="4" t="s">
        <v>234</v>
      </c>
    </row>
    <row r="182" hidden="1">
      <c r="A182" s="3"/>
      <c r="B182" s="3"/>
      <c r="C182" s="3"/>
      <c r="D182" s="3"/>
      <c r="E182" s="4" t="s">
        <v>235</v>
      </c>
    </row>
    <row r="183" hidden="1">
      <c r="A183" s="3"/>
      <c r="B183" s="3"/>
      <c r="C183" s="3"/>
      <c r="D183" s="3"/>
      <c r="E183" s="4" t="s">
        <v>236</v>
      </c>
    </row>
    <row r="184" hidden="1">
      <c r="A184" s="3"/>
      <c r="B184" s="3"/>
      <c r="C184" s="3"/>
      <c r="D184" s="3"/>
      <c r="E184" s="4" t="s">
        <v>238</v>
      </c>
    </row>
    <row r="185" hidden="1">
      <c r="A185" s="3"/>
      <c r="B185" s="3"/>
      <c r="C185" s="3"/>
      <c r="D185" s="3"/>
      <c r="E185" s="4" t="s">
        <v>240</v>
      </c>
    </row>
    <row r="186" hidden="1">
      <c r="A186" s="3"/>
      <c r="B186" s="3"/>
      <c r="C186" s="3"/>
      <c r="D186" s="3"/>
      <c r="E186" s="4" t="s">
        <v>241</v>
      </c>
    </row>
    <row r="187" hidden="1">
      <c r="A187" s="3"/>
      <c r="B187" s="3"/>
      <c r="C187" s="3"/>
      <c r="D187" s="3"/>
      <c r="E187" s="4" t="s">
        <v>242</v>
      </c>
    </row>
    <row r="188" hidden="1">
      <c r="A188" s="3"/>
      <c r="B188" s="3"/>
      <c r="C188" s="3"/>
      <c r="D188" s="3"/>
      <c r="E188" s="4" t="s">
        <v>243</v>
      </c>
    </row>
    <row r="189" hidden="1">
      <c r="A189" s="3"/>
      <c r="B189" s="3"/>
      <c r="C189" s="3"/>
      <c r="D189" s="3"/>
      <c r="E189" s="4" t="s">
        <v>244</v>
      </c>
    </row>
    <row r="190" hidden="1">
      <c r="A190" s="3"/>
      <c r="B190" s="3"/>
      <c r="C190" s="3"/>
      <c r="D190" s="3"/>
      <c r="E190" s="4" t="s">
        <v>245</v>
      </c>
    </row>
    <row r="191" hidden="1">
      <c r="A191" s="3"/>
      <c r="B191" s="3"/>
      <c r="C191" s="3"/>
      <c r="D191" s="3"/>
      <c r="E191" s="4" t="s">
        <v>246</v>
      </c>
    </row>
    <row r="192" hidden="1">
      <c r="A192" s="3"/>
      <c r="B192" s="3"/>
      <c r="C192" s="3"/>
      <c r="D192" s="3"/>
      <c r="E192" s="4" t="s">
        <v>248</v>
      </c>
    </row>
    <row r="193" hidden="1">
      <c r="A193" s="3"/>
      <c r="B193" s="3"/>
      <c r="C193" s="3"/>
      <c r="D193" s="3"/>
      <c r="E193" s="4" t="s">
        <v>249</v>
      </c>
    </row>
    <row r="194" hidden="1">
      <c r="A194" s="3"/>
      <c r="B194" s="3"/>
      <c r="C194" s="3"/>
      <c r="D194" s="3"/>
      <c r="E194" s="4" t="s">
        <v>251</v>
      </c>
    </row>
    <row r="195" hidden="1">
      <c r="A195" s="3"/>
      <c r="B195" s="3"/>
      <c r="C195" s="3"/>
      <c r="D195" s="3"/>
      <c r="E195" s="4" t="s">
        <v>252</v>
      </c>
    </row>
    <row r="196" hidden="1">
      <c r="A196" s="3"/>
      <c r="B196" s="3"/>
      <c r="C196" s="3"/>
      <c r="D196" s="3"/>
      <c r="E196" s="4" t="s">
        <v>253</v>
      </c>
    </row>
    <row r="197" hidden="1">
      <c r="A197" s="3"/>
      <c r="B197" s="3"/>
      <c r="C197" s="3"/>
      <c r="D197" s="3"/>
      <c r="E197" s="4" t="s">
        <v>254</v>
      </c>
    </row>
    <row r="198" hidden="1">
      <c r="A198" s="3"/>
      <c r="B198" s="3"/>
      <c r="C198" s="3"/>
      <c r="D198" s="3"/>
      <c r="E198" s="4" t="s">
        <v>255</v>
      </c>
    </row>
    <row r="199" hidden="1">
      <c r="A199" s="3"/>
      <c r="B199" s="3"/>
      <c r="C199" s="3"/>
      <c r="D199" s="3"/>
      <c r="E199" s="4" t="s">
        <v>257</v>
      </c>
    </row>
    <row r="200" hidden="1">
      <c r="A200" s="3"/>
      <c r="B200" s="3"/>
      <c r="C200" s="3"/>
      <c r="D200" s="3"/>
      <c r="E200" s="4" t="s">
        <v>258</v>
      </c>
    </row>
    <row r="201" hidden="1">
      <c r="A201" s="3"/>
      <c r="B201" s="3"/>
      <c r="C201" s="3"/>
      <c r="D201" s="3"/>
      <c r="E201" s="4" t="s">
        <v>259</v>
      </c>
    </row>
    <row r="202" hidden="1">
      <c r="A202" s="3"/>
      <c r="B202" s="3"/>
      <c r="C202" s="3"/>
      <c r="D202" s="3"/>
      <c r="E202" s="4" t="s">
        <v>260</v>
      </c>
    </row>
    <row r="203" hidden="1">
      <c r="A203" s="3"/>
      <c r="B203" s="3"/>
      <c r="C203" s="3"/>
      <c r="D203" s="3"/>
      <c r="E203" s="4" t="s">
        <v>261</v>
      </c>
    </row>
    <row r="204" hidden="1">
      <c r="A204" s="3"/>
      <c r="B204" s="3"/>
      <c r="C204" s="3"/>
      <c r="D204" s="3"/>
      <c r="E204" s="4" t="s">
        <v>262</v>
      </c>
    </row>
    <row r="205" hidden="1">
      <c r="A205" s="3"/>
      <c r="B205" s="3"/>
      <c r="C205" s="3"/>
      <c r="D205" s="3"/>
      <c r="E205" s="4" t="s">
        <v>264</v>
      </c>
    </row>
    <row r="206" hidden="1">
      <c r="A206" s="3"/>
      <c r="B206" s="3"/>
      <c r="C206" s="3"/>
      <c r="D206" s="3"/>
      <c r="E206" s="4" t="s">
        <v>265</v>
      </c>
    </row>
    <row r="207" hidden="1">
      <c r="A207" s="3"/>
      <c r="B207" s="3"/>
      <c r="C207" s="3"/>
      <c r="D207" s="3"/>
      <c r="E207" s="4" t="s">
        <v>266</v>
      </c>
    </row>
    <row r="208" hidden="1">
      <c r="A208" s="3"/>
      <c r="B208" s="3"/>
      <c r="C208" s="3"/>
      <c r="D208" s="3"/>
      <c r="E208" s="4" t="s">
        <v>267</v>
      </c>
    </row>
    <row r="209" hidden="1">
      <c r="A209" s="3"/>
      <c r="B209" s="3"/>
      <c r="C209" s="3"/>
      <c r="D209" s="3"/>
      <c r="E209" s="4" t="s">
        <v>268</v>
      </c>
    </row>
    <row r="210" hidden="1">
      <c r="A210" s="3"/>
      <c r="B210" s="3"/>
      <c r="C210" s="3"/>
      <c r="D210" s="3"/>
      <c r="E210" s="4" t="s">
        <v>269</v>
      </c>
    </row>
    <row r="211" hidden="1">
      <c r="A211" s="3"/>
      <c r="B211" s="3"/>
      <c r="C211" s="3"/>
      <c r="D211" s="3"/>
      <c r="E211" s="4" t="s">
        <v>270</v>
      </c>
    </row>
    <row r="212" hidden="1">
      <c r="A212" s="3"/>
      <c r="B212" s="3"/>
      <c r="C212" s="3"/>
      <c r="D212" s="3"/>
      <c r="E212" s="4" t="s">
        <v>272</v>
      </c>
    </row>
    <row r="213" hidden="1">
      <c r="A213" s="3"/>
      <c r="B213" s="3"/>
      <c r="C213" s="3"/>
      <c r="D213" s="3"/>
      <c r="E213" s="4" t="s">
        <v>273</v>
      </c>
    </row>
    <row r="214" hidden="1">
      <c r="A214" s="3"/>
      <c r="B214" s="3"/>
      <c r="C214" s="3"/>
      <c r="D214" s="3"/>
      <c r="E214" s="4" t="s">
        <v>274</v>
      </c>
    </row>
    <row r="215" hidden="1">
      <c r="A215" s="3"/>
      <c r="B215" s="3"/>
      <c r="C215" s="3"/>
      <c r="D215" s="3"/>
      <c r="E215" s="4" t="s">
        <v>278</v>
      </c>
    </row>
    <row r="216" hidden="1">
      <c r="A216" s="3"/>
      <c r="B216" s="3"/>
      <c r="C216" s="3"/>
      <c r="D216" s="3"/>
      <c r="E216" s="4" t="s">
        <v>279</v>
      </c>
    </row>
    <row r="217" hidden="1">
      <c r="A217" s="3"/>
      <c r="B217" s="3"/>
      <c r="C217" s="3"/>
      <c r="D217" s="3"/>
      <c r="E217" s="4" t="s">
        <v>280</v>
      </c>
    </row>
    <row r="218" hidden="1">
      <c r="A218" s="3"/>
      <c r="B218" s="3"/>
      <c r="C218" s="3"/>
      <c r="D218" s="3"/>
      <c r="E218" s="4" t="s">
        <v>281</v>
      </c>
    </row>
    <row r="219" hidden="1">
      <c r="A219" s="3"/>
      <c r="B219" s="3"/>
      <c r="C219" s="3"/>
      <c r="D219" s="3"/>
      <c r="E219" s="4" t="s">
        <v>283</v>
      </c>
    </row>
    <row r="220" hidden="1">
      <c r="A220" s="3"/>
      <c r="B220" s="3"/>
      <c r="C220" s="3"/>
      <c r="D220" s="3"/>
      <c r="E220" s="4" t="s">
        <v>284</v>
      </c>
    </row>
    <row r="221" hidden="1">
      <c r="A221" s="3"/>
      <c r="B221" s="3"/>
      <c r="C221" s="3"/>
      <c r="D221" s="3"/>
      <c r="E221" s="4" t="s">
        <v>285</v>
      </c>
    </row>
    <row r="222" hidden="1">
      <c r="A222" s="3"/>
      <c r="B222" s="3"/>
      <c r="C222" s="3"/>
      <c r="D222" s="3"/>
      <c r="E222" s="4" t="s">
        <v>286</v>
      </c>
    </row>
    <row r="223" hidden="1">
      <c r="A223" s="3"/>
      <c r="B223" s="3"/>
      <c r="C223" s="3"/>
      <c r="D223" s="3"/>
      <c r="E223" s="4" t="s">
        <v>288</v>
      </c>
    </row>
    <row r="224" hidden="1">
      <c r="A224" s="3"/>
      <c r="B224" s="3"/>
      <c r="C224" s="3"/>
      <c r="D224" s="3"/>
      <c r="E224" s="4" t="s">
        <v>289</v>
      </c>
    </row>
    <row r="225" hidden="1">
      <c r="A225" s="3"/>
      <c r="B225" s="3"/>
      <c r="C225" s="3"/>
      <c r="D225" s="3"/>
      <c r="E225" s="4" t="s">
        <v>290</v>
      </c>
    </row>
    <row r="226" hidden="1">
      <c r="A226" s="3"/>
      <c r="B226" s="3"/>
      <c r="C226" s="3"/>
      <c r="D226" s="3"/>
      <c r="E226" s="4" t="s">
        <v>291</v>
      </c>
    </row>
    <row r="227" hidden="1">
      <c r="A227" s="3"/>
      <c r="B227" s="3"/>
      <c r="C227" s="3"/>
      <c r="D227" s="3"/>
      <c r="E227" s="4" t="s">
        <v>293</v>
      </c>
    </row>
    <row r="228" hidden="1">
      <c r="A228" s="3"/>
      <c r="B228" s="3"/>
      <c r="C228" s="3"/>
      <c r="D228" s="3"/>
      <c r="E228" s="4" t="s">
        <v>294</v>
      </c>
    </row>
    <row r="229" hidden="1">
      <c r="A229" s="3"/>
      <c r="B229" s="3"/>
      <c r="C229" s="3"/>
      <c r="D229" s="3"/>
      <c r="E229" s="4" t="s">
        <v>296</v>
      </c>
    </row>
    <row r="230" hidden="1">
      <c r="A230" s="3"/>
      <c r="B230" s="3"/>
      <c r="C230" s="3"/>
      <c r="D230" s="3"/>
      <c r="E230" s="4" t="s">
        <v>297</v>
      </c>
    </row>
    <row r="231" hidden="1">
      <c r="A231" s="3"/>
      <c r="B231" s="3"/>
      <c r="C231" s="3"/>
      <c r="D231" s="3"/>
      <c r="E231" s="4" t="s">
        <v>298</v>
      </c>
    </row>
    <row r="232" hidden="1">
      <c r="A232" s="3"/>
      <c r="B232" s="3"/>
      <c r="C232" s="3"/>
      <c r="D232" s="3"/>
      <c r="E232" s="4" t="s">
        <v>300</v>
      </c>
    </row>
    <row r="233" hidden="1">
      <c r="A233" s="3"/>
      <c r="B233" s="3"/>
      <c r="C233" s="3"/>
      <c r="D233" s="3"/>
      <c r="E233" s="4" t="s">
        <v>302</v>
      </c>
    </row>
    <row r="234" hidden="1">
      <c r="A234" s="3"/>
      <c r="B234" s="3"/>
      <c r="C234" s="3"/>
      <c r="D234" s="3"/>
      <c r="E234" s="4" t="s">
        <v>303</v>
      </c>
    </row>
    <row r="235" hidden="1">
      <c r="A235" s="3"/>
      <c r="B235" s="3"/>
      <c r="C235" s="3"/>
      <c r="D235" s="3"/>
      <c r="E235" s="4" t="s">
        <v>305</v>
      </c>
    </row>
    <row r="236" hidden="1">
      <c r="A236" s="3"/>
      <c r="B236" s="3"/>
      <c r="C236" s="3"/>
      <c r="D236" s="3"/>
      <c r="E236" s="4" t="s">
        <v>306</v>
      </c>
    </row>
    <row r="237" hidden="1">
      <c r="A237" s="3"/>
      <c r="B237" s="3"/>
      <c r="C237" s="3"/>
      <c r="D237" s="3"/>
      <c r="E237" s="4" t="s">
        <v>307</v>
      </c>
    </row>
    <row r="238" hidden="1">
      <c r="A238" s="3"/>
      <c r="B238" s="3"/>
      <c r="C238" s="3"/>
      <c r="D238" s="3"/>
      <c r="E238" s="4" t="s">
        <v>308</v>
      </c>
    </row>
    <row r="239" hidden="1">
      <c r="A239" s="3"/>
      <c r="B239" s="3"/>
      <c r="C239" s="3"/>
      <c r="D239" s="3"/>
      <c r="E239" s="4" t="s">
        <v>310</v>
      </c>
    </row>
    <row r="240" hidden="1">
      <c r="A240" s="3"/>
      <c r="B240" s="3"/>
      <c r="C240" s="3"/>
      <c r="D240" s="3"/>
      <c r="E240" s="4" t="s">
        <v>311</v>
      </c>
    </row>
    <row r="241" hidden="1">
      <c r="A241" s="3"/>
      <c r="B241" s="3"/>
      <c r="C241" s="3"/>
      <c r="D241" s="3"/>
      <c r="E241" s="4" t="s">
        <v>312</v>
      </c>
    </row>
    <row r="242" hidden="1">
      <c r="A242" s="3"/>
      <c r="B242" s="3"/>
      <c r="C242" s="3"/>
      <c r="D242" s="3"/>
      <c r="E242" s="4" t="s">
        <v>313</v>
      </c>
    </row>
    <row r="243" hidden="1">
      <c r="A243" s="3"/>
      <c r="B243" s="3"/>
      <c r="C243" s="3"/>
      <c r="D243" s="3"/>
      <c r="E243" s="4" t="s">
        <v>315</v>
      </c>
    </row>
    <row r="244" hidden="1">
      <c r="A244" s="3"/>
      <c r="B244" s="3"/>
      <c r="C244" s="3"/>
      <c r="D244" s="3"/>
      <c r="E244" s="4" t="s">
        <v>316</v>
      </c>
    </row>
    <row r="245" hidden="1">
      <c r="A245" s="3"/>
      <c r="B245" s="3"/>
      <c r="C245" s="3"/>
      <c r="D245" s="3"/>
      <c r="E245" s="4" t="s">
        <v>317</v>
      </c>
    </row>
    <row r="246" hidden="1">
      <c r="A246" s="3"/>
      <c r="B246" s="3"/>
      <c r="C246" s="3"/>
      <c r="D246" s="3"/>
      <c r="E246" s="4" t="s">
        <v>318</v>
      </c>
    </row>
    <row r="247" hidden="1">
      <c r="A247" s="3"/>
      <c r="B247" s="3"/>
      <c r="C247" s="3"/>
      <c r="D247" s="3"/>
      <c r="E247" s="4" t="s">
        <v>320</v>
      </c>
    </row>
    <row r="248" hidden="1">
      <c r="A248" s="3"/>
      <c r="B248" s="3"/>
      <c r="C248" s="3"/>
      <c r="D248" s="3"/>
      <c r="E248" s="4" t="s">
        <v>321</v>
      </c>
    </row>
    <row r="249" hidden="1">
      <c r="A249" s="3"/>
      <c r="B249" s="3"/>
      <c r="C249" s="3"/>
      <c r="D249" s="3"/>
      <c r="E249" s="4" t="s">
        <v>322</v>
      </c>
    </row>
    <row r="250" hidden="1">
      <c r="A250" s="3"/>
      <c r="B250" s="3"/>
      <c r="C250" s="3"/>
      <c r="D250" s="3"/>
      <c r="E250" s="4" t="s">
        <v>323</v>
      </c>
    </row>
    <row r="251" hidden="1">
      <c r="A251" s="3"/>
      <c r="B251" s="3"/>
      <c r="C251" s="3"/>
      <c r="D251" s="3"/>
      <c r="E251" s="4" t="s">
        <v>325</v>
      </c>
    </row>
    <row r="252" hidden="1">
      <c r="A252" s="3"/>
      <c r="B252" s="3"/>
      <c r="C252" s="3"/>
      <c r="D252" s="3"/>
      <c r="E252" s="4" t="s">
        <v>326</v>
      </c>
    </row>
    <row r="253" hidden="1">
      <c r="A253" s="3"/>
      <c r="B253" s="3"/>
      <c r="C253" s="3"/>
      <c r="D253" s="3"/>
      <c r="E253" s="4" t="s">
        <v>327</v>
      </c>
    </row>
    <row r="254" hidden="1">
      <c r="A254" s="3"/>
      <c r="B254" s="3"/>
      <c r="C254" s="3"/>
      <c r="D254" s="3"/>
      <c r="E254" s="4" t="s">
        <v>328</v>
      </c>
    </row>
    <row r="255" hidden="1">
      <c r="A255" s="3"/>
      <c r="B255" s="3"/>
      <c r="C255" s="3"/>
      <c r="D255" s="3"/>
      <c r="E255" s="4" t="s">
        <v>330</v>
      </c>
    </row>
    <row r="256" hidden="1">
      <c r="A256" s="3"/>
      <c r="B256" s="3"/>
      <c r="C256" s="3"/>
      <c r="D256" s="3"/>
      <c r="E256" s="4" t="s">
        <v>331</v>
      </c>
    </row>
    <row r="257" hidden="1">
      <c r="A257" s="3"/>
      <c r="B257" s="3"/>
      <c r="C257" s="3"/>
      <c r="D257" s="3"/>
      <c r="E257" s="4" t="s">
        <v>332</v>
      </c>
    </row>
    <row r="258" hidden="1">
      <c r="A258" s="3"/>
      <c r="B258" s="3"/>
      <c r="C258" s="3"/>
      <c r="D258" s="3"/>
      <c r="E258" s="4" t="s">
        <v>333</v>
      </c>
    </row>
    <row r="259" hidden="1">
      <c r="A259" s="3"/>
      <c r="B259" s="3"/>
      <c r="C259" s="3"/>
      <c r="D259" s="3"/>
      <c r="E259" s="4" t="s">
        <v>335</v>
      </c>
    </row>
    <row r="260" hidden="1">
      <c r="A260" s="3"/>
      <c r="B260" s="3"/>
      <c r="C260" s="3"/>
      <c r="D260" s="3"/>
      <c r="E260" s="4" t="s">
        <v>336</v>
      </c>
    </row>
    <row r="261" hidden="1">
      <c r="A261" s="3"/>
      <c r="B261" s="3"/>
      <c r="C261" s="3"/>
      <c r="D261" s="3"/>
      <c r="E261" s="4" t="s">
        <v>337</v>
      </c>
    </row>
    <row r="262" hidden="1">
      <c r="A262" s="3"/>
      <c r="B262" s="3"/>
      <c r="C262" s="3"/>
      <c r="D262" s="3"/>
      <c r="E262" s="4" t="s">
        <v>339</v>
      </c>
    </row>
    <row r="263" hidden="1">
      <c r="A263" s="3"/>
      <c r="B263" s="3"/>
      <c r="C263" s="3"/>
      <c r="D263" s="3"/>
      <c r="E263" s="4" t="s">
        <v>340</v>
      </c>
    </row>
    <row r="264" hidden="1">
      <c r="A264" s="3"/>
      <c r="B264" s="3"/>
      <c r="C264" s="3"/>
      <c r="D264" s="3"/>
      <c r="E264" s="4" t="s">
        <v>341</v>
      </c>
    </row>
    <row r="265" hidden="1">
      <c r="A265" s="3"/>
      <c r="B265" s="3"/>
      <c r="C265" s="3"/>
      <c r="D265" s="3"/>
      <c r="E265" s="4" t="s">
        <v>343</v>
      </c>
    </row>
    <row r="266" hidden="1">
      <c r="A266" s="3"/>
      <c r="B266" s="3"/>
      <c r="C266" s="3"/>
      <c r="D266" s="3"/>
      <c r="E266" s="4" t="s">
        <v>344</v>
      </c>
    </row>
    <row r="267" hidden="1">
      <c r="A267" s="3"/>
      <c r="B267" s="3"/>
      <c r="C267" s="3"/>
      <c r="D267" s="3"/>
      <c r="E267" s="4" t="s">
        <v>345</v>
      </c>
    </row>
    <row r="268" hidden="1">
      <c r="A268" s="3"/>
      <c r="B268" s="3"/>
      <c r="C268" s="3"/>
      <c r="D268" s="3"/>
      <c r="E268" s="4" t="s">
        <v>347</v>
      </c>
    </row>
    <row r="269" hidden="1">
      <c r="A269" s="3"/>
      <c r="B269" s="3"/>
      <c r="C269" s="3"/>
      <c r="D269" s="3"/>
      <c r="E269" s="4" t="s">
        <v>348</v>
      </c>
    </row>
    <row r="270" hidden="1">
      <c r="A270" s="3"/>
      <c r="B270" s="3"/>
      <c r="C270" s="3"/>
      <c r="D270" s="3"/>
      <c r="E270" s="4" t="s">
        <v>350</v>
      </c>
    </row>
    <row r="271" hidden="1">
      <c r="A271" s="3"/>
      <c r="B271" s="3"/>
      <c r="C271" s="3"/>
      <c r="D271" s="3"/>
      <c r="E271" s="4" t="s">
        <v>351</v>
      </c>
    </row>
    <row r="272" hidden="1">
      <c r="A272" s="3"/>
      <c r="B272" s="3"/>
      <c r="C272" s="3"/>
      <c r="D272" s="3"/>
      <c r="E272" s="4" t="s">
        <v>352</v>
      </c>
    </row>
    <row r="273" hidden="1">
      <c r="A273" s="3"/>
      <c r="B273" s="3"/>
      <c r="C273" s="3"/>
      <c r="D273" s="3"/>
      <c r="E273" s="4" t="s">
        <v>354</v>
      </c>
    </row>
    <row r="274" hidden="1">
      <c r="A274" s="3"/>
      <c r="B274" s="3"/>
      <c r="C274" s="3"/>
      <c r="D274" s="3"/>
      <c r="E274" s="4" t="s">
        <v>355</v>
      </c>
    </row>
    <row r="275" hidden="1">
      <c r="A275" s="3"/>
      <c r="B275" s="3"/>
      <c r="C275" s="3"/>
      <c r="D275" s="3"/>
      <c r="E275" s="4" t="s">
        <v>357</v>
      </c>
    </row>
    <row r="276" hidden="1">
      <c r="A276" s="3"/>
      <c r="B276" s="3"/>
      <c r="C276" s="3"/>
      <c r="D276" s="3"/>
      <c r="E276" s="4" t="s">
        <v>358</v>
      </c>
    </row>
    <row r="277" hidden="1">
      <c r="A277" s="3"/>
      <c r="B277" s="3"/>
      <c r="C277" s="3"/>
      <c r="D277" s="3"/>
      <c r="E277" s="4" t="s">
        <v>359</v>
      </c>
    </row>
    <row r="278" hidden="1">
      <c r="A278" s="3"/>
      <c r="B278" s="3"/>
      <c r="C278" s="3"/>
      <c r="D278" s="3"/>
      <c r="E278" s="4" t="s">
        <v>362</v>
      </c>
    </row>
    <row r="279" hidden="1">
      <c r="A279" s="3"/>
      <c r="B279" s="3"/>
      <c r="C279" s="3"/>
      <c r="D279" s="3"/>
      <c r="E279" s="4" t="s">
        <v>363</v>
      </c>
    </row>
    <row r="280" hidden="1">
      <c r="A280" s="3"/>
      <c r="B280" s="3"/>
      <c r="C280" s="3"/>
      <c r="D280" s="3"/>
      <c r="E280" s="4" t="s">
        <v>364</v>
      </c>
    </row>
    <row r="281" hidden="1">
      <c r="A281" s="3"/>
      <c r="B281" s="3"/>
      <c r="C281" s="3"/>
      <c r="D281" s="3"/>
      <c r="E281" s="4" t="s">
        <v>366</v>
      </c>
    </row>
    <row r="282" hidden="1">
      <c r="A282" s="3"/>
      <c r="B282" s="3"/>
      <c r="C282" s="3"/>
      <c r="D282" s="3"/>
      <c r="E282" s="4" t="s">
        <v>367</v>
      </c>
    </row>
    <row r="283" hidden="1">
      <c r="A283" s="3"/>
      <c r="B283" s="3"/>
      <c r="C283" s="3"/>
      <c r="D283" s="3"/>
      <c r="E283" s="4" t="s">
        <v>368</v>
      </c>
    </row>
    <row r="284" hidden="1">
      <c r="A284" s="3"/>
      <c r="B284" s="3"/>
      <c r="C284" s="3"/>
      <c r="D284" s="3"/>
      <c r="E284" s="4" t="s">
        <v>370</v>
      </c>
    </row>
    <row r="285" hidden="1">
      <c r="A285" s="3"/>
      <c r="B285" s="3"/>
      <c r="C285" s="3"/>
      <c r="D285" s="3"/>
      <c r="E285" s="4" t="s">
        <v>371</v>
      </c>
    </row>
    <row r="286" hidden="1">
      <c r="A286" s="3"/>
      <c r="B286" s="3"/>
      <c r="C286" s="3"/>
      <c r="D286" s="3"/>
      <c r="E286" s="4" t="s">
        <v>372</v>
      </c>
    </row>
    <row r="287" hidden="1">
      <c r="A287" s="3"/>
      <c r="B287" s="3"/>
      <c r="C287" s="3"/>
      <c r="D287" s="3"/>
      <c r="E287" s="4" t="s">
        <v>374</v>
      </c>
    </row>
    <row r="288" hidden="1">
      <c r="A288" s="3"/>
      <c r="B288" s="3"/>
      <c r="C288" s="3"/>
      <c r="D288" s="3"/>
      <c r="E288" s="4" t="s">
        <v>375</v>
      </c>
    </row>
    <row r="289" hidden="1">
      <c r="A289" s="3"/>
      <c r="B289" s="3"/>
      <c r="C289" s="3"/>
      <c r="D289" s="3"/>
      <c r="E289" s="4" t="s">
        <v>376</v>
      </c>
    </row>
    <row r="290" hidden="1">
      <c r="A290" s="3"/>
      <c r="B290" s="3"/>
      <c r="C290" s="3"/>
      <c r="D290" s="3"/>
      <c r="E290" s="4" t="s">
        <v>378</v>
      </c>
    </row>
    <row r="291" hidden="1">
      <c r="A291" s="3"/>
      <c r="B291" s="3"/>
      <c r="C291" s="3"/>
      <c r="D291" s="3"/>
      <c r="E291" s="4" t="s">
        <v>379</v>
      </c>
    </row>
    <row r="292" hidden="1">
      <c r="A292" s="3"/>
      <c r="B292" s="3"/>
      <c r="C292" s="3"/>
      <c r="D292" s="3"/>
      <c r="E292" s="4" t="s">
        <v>380</v>
      </c>
    </row>
    <row r="293" hidden="1">
      <c r="A293" s="3"/>
      <c r="B293" s="3"/>
      <c r="C293" s="3"/>
      <c r="D293" s="3"/>
      <c r="E293" s="4" t="s">
        <v>382</v>
      </c>
    </row>
    <row r="294" hidden="1">
      <c r="A294" s="3"/>
      <c r="B294" s="3"/>
      <c r="C294" s="3"/>
      <c r="D294" s="3"/>
      <c r="E294" s="4" t="s">
        <v>383</v>
      </c>
    </row>
    <row r="295" hidden="1">
      <c r="A295" s="3"/>
      <c r="B295" s="3"/>
      <c r="C295" s="3"/>
      <c r="D295" s="3"/>
      <c r="E295" s="4" t="s">
        <v>385</v>
      </c>
    </row>
    <row r="296" hidden="1">
      <c r="A296" s="3"/>
      <c r="B296" s="3"/>
      <c r="C296" s="3"/>
      <c r="D296" s="3"/>
      <c r="E296" s="4" t="s">
        <v>386</v>
      </c>
    </row>
    <row r="297" hidden="1">
      <c r="A297" s="3"/>
      <c r="B297" s="3"/>
      <c r="C297" s="3"/>
      <c r="D297" s="3"/>
      <c r="E297" s="4" t="s">
        <v>387</v>
      </c>
    </row>
    <row r="298" hidden="1">
      <c r="A298" s="3"/>
      <c r="B298" s="3"/>
      <c r="C298" s="3"/>
      <c r="D298" s="3"/>
      <c r="E298" s="4" t="s">
        <v>389</v>
      </c>
    </row>
    <row r="299" hidden="1">
      <c r="A299" s="3"/>
      <c r="B299" s="3"/>
      <c r="C299" s="3"/>
      <c r="D299" s="3"/>
      <c r="E299" s="4" t="s">
        <v>390</v>
      </c>
    </row>
    <row r="300" hidden="1">
      <c r="A300" s="3"/>
      <c r="B300" s="3"/>
      <c r="C300" s="3"/>
      <c r="D300" s="3"/>
      <c r="E300" s="4" t="s">
        <v>392</v>
      </c>
    </row>
    <row r="301" hidden="1">
      <c r="A301" s="3"/>
      <c r="B301" s="3"/>
      <c r="C301" s="3"/>
      <c r="D301" s="3"/>
      <c r="E301" s="4" t="s">
        <v>394</v>
      </c>
    </row>
    <row r="302" hidden="1">
      <c r="A302" s="3"/>
      <c r="B302" s="3"/>
      <c r="C302" s="3"/>
      <c r="D302" s="3"/>
      <c r="E302" s="4" t="s">
        <v>395</v>
      </c>
    </row>
    <row r="303" hidden="1">
      <c r="A303" s="3"/>
      <c r="B303" s="3"/>
      <c r="C303" s="3"/>
      <c r="D303" s="3"/>
      <c r="E303" s="4" t="s">
        <v>396</v>
      </c>
    </row>
    <row r="304" hidden="1">
      <c r="A304" s="3"/>
      <c r="B304" s="3"/>
      <c r="C304" s="3"/>
      <c r="D304" s="3"/>
      <c r="E304" s="4" t="s">
        <v>397</v>
      </c>
    </row>
    <row r="305" hidden="1">
      <c r="A305" s="3"/>
      <c r="B305" s="3"/>
      <c r="C305" s="3"/>
      <c r="D305" s="3"/>
      <c r="E305" s="4" t="s">
        <v>399</v>
      </c>
    </row>
    <row r="306" hidden="1">
      <c r="A306" s="3"/>
      <c r="B306" s="3"/>
      <c r="C306" s="3"/>
      <c r="D306" s="3"/>
      <c r="E306" s="4" t="s">
        <v>400</v>
      </c>
    </row>
    <row r="307" hidden="1">
      <c r="A307" s="3"/>
      <c r="B307" s="3"/>
      <c r="C307" s="3"/>
      <c r="D307" s="3"/>
      <c r="E307" s="4" t="s">
        <v>401</v>
      </c>
    </row>
    <row r="308" hidden="1">
      <c r="A308" s="3"/>
      <c r="B308" s="3"/>
      <c r="C308" s="3"/>
      <c r="D308" s="3"/>
      <c r="E308" s="4" t="s">
        <v>402</v>
      </c>
    </row>
    <row r="309" hidden="1">
      <c r="A309" s="3"/>
      <c r="B309" s="3"/>
      <c r="C309" s="3"/>
      <c r="D309" s="3"/>
      <c r="E309" s="4" t="s">
        <v>404</v>
      </c>
    </row>
    <row r="310" hidden="1">
      <c r="A310" s="3"/>
      <c r="B310" s="3"/>
      <c r="C310" s="3"/>
      <c r="D310" s="3"/>
      <c r="E310" s="4" t="s">
        <v>405</v>
      </c>
    </row>
    <row r="311" hidden="1">
      <c r="A311" s="3"/>
      <c r="B311" s="3"/>
      <c r="C311" s="3"/>
      <c r="D311" s="3"/>
      <c r="E311" s="4" t="s">
        <v>406</v>
      </c>
    </row>
    <row r="312" hidden="1">
      <c r="A312" s="3"/>
      <c r="B312" s="3"/>
      <c r="C312" s="3"/>
      <c r="D312" s="3"/>
      <c r="E312" s="4" t="s">
        <v>407</v>
      </c>
    </row>
    <row r="313" hidden="1">
      <c r="A313" s="3"/>
      <c r="B313" s="3"/>
      <c r="C313" s="3"/>
      <c r="D313" s="3"/>
      <c r="E313" s="4" t="s">
        <v>408</v>
      </c>
    </row>
    <row r="314" hidden="1">
      <c r="A314" s="3"/>
      <c r="B314" s="3"/>
      <c r="C314" s="3"/>
      <c r="D314" s="3"/>
      <c r="E314" s="4" t="s">
        <v>410</v>
      </c>
    </row>
    <row r="315" hidden="1">
      <c r="A315" s="3"/>
      <c r="B315" s="3"/>
      <c r="C315" s="3"/>
      <c r="D315" s="3"/>
      <c r="E315" s="4" t="s">
        <v>412</v>
      </c>
    </row>
    <row r="316" hidden="1">
      <c r="A316" s="3"/>
      <c r="B316" s="3"/>
      <c r="C316" s="3"/>
      <c r="D316" s="3"/>
      <c r="E316" s="4" t="s">
        <v>413</v>
      </c>
    </row>
    <row r="317" hidden="1">
      <c r="A317" s="3"/>
      <c r="B317" s="3"/>
      <c r="C317" s="3"/>
      <c r="D317" s="3"/>
      <c r="E317" s="4" t="s">
        <v>414</v>
      </c>
    </row>
    <row r="318" hidden="1">
      <c r="A318" s="3"/>
      <c r="B318" s="3"/>
      <c r="C318" s="3"/>
      <c r="D318" s="3"/>
      <c r="E318" s="4" t="s">
        <v>415</v>
      </c>
    </row>
    <row r="319" hidden="1">
      <c r="A319" s="3"/>
      <c r="B319" s="3"/>
      <c r="C319" s="3"/>
      <c r="D319" s="3"/>
      <c r="E319" s="4" t="s">
        <v>416</v>
      </c>
    </row>
    <row r="320" hidden="1">
      <c r="A320" s="3"/>
      <c r="B320" s="3"/>
      <c r="C320" s="3"/>
      <c r="D320" s="3"/>
      <c r="E320" s="4" t="s">
        <v>417</v>
      </c>
    </row>
    <row r="321" hidden="1">
      <c r="A321" s="3"/>
      <c r="B321" s="3"/>
      <c r="C321" s="3"/>
      <c r="D321" s="3"/>
      <c r="E321" s="4" t="s">
        <v>419</v>
      </c>
    </row>
    <row r="322" hidden="1">
      <c r="A322" s="3"/>
      <c r="B322" s="3"/>
      <c r="C322" s="3"/>
      <c r="D322" s="3"/>
      <c r="E322" s="4" t="s">
        <v>420</v>
      </c>
    </row>
    <row r="323" hidden="1">
      <c r="A323" s="3"/>
      <c r="B323" s="3"/>
      <c r="C323" s="3"/>
      <c r="D323" s="3"/>
      <c r="E323" s="4" t="s">
        <v>421</v>
      </c>
    </row>
    <row r="324" hidden="1">
      <c r="A324" s="3"/>
      <c r="B324" s="3"/>
      <c r="C324" s="3"/>
      <c r="D324" s="3"/>
      <c r="E324" s="4" t="s">
        <v>422</v>
      </c>
    </row>
    <row r="325" hidden="1">
      <c r="A325" s="3"/>
      <c r="B325" s="3"/>
      <c r="C325" s="3"/>
      <c r="D325" s="3"/>
      <c r="E325" s="4" t="s">
        <v>423</v>
      </c>
    </row>
    <row r="326" hidden="1">
      <c r="A326" s="3"/>
      <c r="B326" s="3"/>
      <c r="C326" s="3"/>
      <c r="D326" s="3"/>
      <c r="E326" s="4" t="s">
        <v>425</v>
      </c>
    </row>
    <row r="327" hidden="1">
      <c r="A327" s="3"/>
      <c r="B327" s="3"/>
      <c r="C327" s="3"/>
      <c r="D327" s="3"/>
      <c r="E327" s="4" t="s">
        <v>426</v>
      </c>
    </row>
    <row r="328" hidden="1">
      <c r="A328" s="3"/>
      <c r="B328" s="3"/>
      <c r="C328" s="3"/>
      <c r="D328" s="3"/>
      <c r="E328" s="4" t="s">
        <v>428</v>
      </c>
    </row>
    <row r="329" hidden="1">
      <c r="A329" s="3"/>
      <c r="B329" s="3"/>
      <c r="C329" s="3"/>
      <c r="D329" s="3"/>
      <c r="E329" s="4" t="s">
        <v>429</v>
      </c>
    </row>
    <row r="330" hidden="1">
      <c r="A330" s="3"/>
      <c r="B330" s="3"/>
      <c r="C330" s="3"/>
      <c r="D330" s="3"/>
      <c r="E330" s="4" t="s">
        <v>430</v>
      </c>
    </row>
    <row r="331" hidden="1">
      <c r="A331" s="3"/>
      <c r="B331" s="3"/>
      <c r="C331" s="3"/>
      <c r="D331" s="3"/>
      <c r="E331" s="4" t="s">
        <v>431</v>
      </c>
    </row>
    <row r="332" hidden="1">
      <c r="A332" s="3"/>
      <c r="B332" s="3"/>
      <c r="C332" s="3"/>
      <c r="D332" s="3"/>
      <c r="E332" s="4" t="s">
        <v>433</v>
      </c>
    </row>
    <row r="333" hidden="1">
      <c r="A333" s="3"/>
      <c r="B333" s="3"/>
      <c r="C333" s="3"/>
      <c r="D333" s="3"/>
      <c r="E333" s="4" t="s">
        <v>434</v>
      </c>
    </row>
    <row r="334" hidden="1">
      <c r="A334" s="3"/>
      <c r="B334" s="3"/>
      <c r="C334" s="3"/>
      <c r="D334" s="3"/>
      <c r="E334" s="4" t="s">
        <v>435</v>
      </c>
    </row>
    <row r="335" hidden="1">
      <c r="A335" s="3"/>
      <c r="B335" s="3"/>
      <c r="C335" s="3"/>
      <c r="D335" s="3"/>
      <c r="E335" s="4" t="s">
        <v>436</v>
      </c>
    </row>
    <row r="336" hidden="1">
      <c r="A336" s="3"/>
      <c r="B336" s="3"/>
      <c r="C336" s="3"/>
      <c r="D336" s="3"/>
      <c r="E336" s="4" t="s">
        <v>437</v>
      </c>
    </row>
    <row r="337" hidden="1">
      <c r="A337" s="3"/>
      <c r="B337" s="3"/>
      <c r="C337" s="3"/>
      <c r="D337" s="3"/>
      <c r="E337" s="4" t="s">
        <v>438</v>
      </c>
    </row>
    <row r="338" hidden="1">
      <c r="A338" s="3"/>
      <c r="B338" s="3"/>
      <c r="C338" s="3"/>
      <c r="D338" s="3"/>
      <c r="E338" s="4" t="s">
        <v>440</v>
      </c>
    </row>
    <row r="339" hidden="1">
      <c r="A339" s="3"/>
      <c r="B339" s="3"/>
      <c r="C339" s="3"/>
      <c r="D339" s="3"/>
      <c r="E339" s="4" t="s">
        <v>441</v>
      </c>
    </row>
    <row r="340" hidden="1">
      <c r="A340" s="3"/>
      <c r="B340" s="3"/>
      <c r="C340" s="3"/>
      <c r="D340" s="3"/>
      <c r="E340" s="4" t="s">
        <v>442</v>
      </c>
    </row>
    <row r="341" hidden="1">
      <c r="A341" s="3"/>
      <c r="B341" s="3"/>
      <c r="C341" s="3"/>
      <c r="D341" s="3"/>
      <c r="E341" s="4" t="s">
        <v>443</v>
      </c>
    </row>
    <row r="342" hidden="1">
      <c r="A342" s="3"/>
      <c r="B342" s="3"/>
      <c r="C342" s="3"/>
      <c r="D342" s="3"/>
      <c r="E342" s="4" t="s">
        <v>444</v>
      </c>
    </row>
    <row r="343" hidden="1">
      <c r="A343" s="3"/>
      <c r="B343" s="3"/>
      <c r="C343" s="3"/>
      <c r="D343" s="3"/>
      <c r="E343" s="4" t="s">
        <v>445</v>
      </c>
    </row>
    <row r="344" hidden="1">
      <c r="A344" s="3"/>
      <c r="B344" s="3"/>
      <c r="C344" s="3"/>
      <c r="D344" s="3"/>
      <c r="E344" s="4" t="s">
        <v>447</v>
      </c>
    </row>
    <row r="345" hidden="1">
      <c r="A345" s="3"/>
      <c r="B345" s="3"/>
      <c r="C345" s="3"/>
      <c r="D345" s="3"/>
      <c r="E345" s="4" t="s">
        <v>449</v>
      </c>
    </row>
    <row r="346" hidden="1">
      <c r="A346" s="3"/>
      <c r="B346" s="3"/>
      <c r="C346" s="3"/>
      <c r="D346" s="3"/>
      <c r="E346" s="4" t="s">
        <v>450</v>
      </c>
    </row>
    <row r="347" hidden="1">
      <c r="A347" s="3"/>
      <c r="B347" s="3"/>
      <c r="C347" s="3"/>
      <c r="D347" s="3"/>
      <c r="E347" s="4" t="s">
        <v>451</v>
      </c>
    </row>
    <row r="348" hidden="1">
      <c r="A348" s="3"/>
      <c r="B348" s="3"/>
      <c r="C348" s="3"/>
      <c r="D348" s="3"/>
      <c r="E348" s="4" t="s">
        <v>452</v>
      </c>
    </row>
    <row r="349" hidden="1">
      <c r="A349" s="3"/>
      <c r="B349" s="3"/>
      <c r="C349" s="3"/>
      <c r="D349" s="3"/>
      <c r="E349" s="4" t="s">
        <v>454</v>
      </c>
    </row>
    <row r="350" hidden="1">
      <c r="A350" s="3"/>
      <c r="B350" s="3"/>
      <c r="C350" s="3"/>
      <c r="D350" s="3"/>
      <c r="E350" s="4" t="s">
        <v>456</v>
      </c>
    </row>
    <row r="351" hidden="1">
      <c r="A351" s="3"/>
      <c r="B351" s="3"/>
      <c r="C351" s="3"/>
      <c r="D351" s="3"/>
      <c r="E351" s="4" t="s">
        <v>457</v>
      </c>
    </row>
    <row r="352" hidden="1">
      <c r="A352" s="3"/>
      <c r="B352" s="3"/>
      <c r="C352" s="3"/>
      <c r="D352" s="3"/>
      <c r="E352" s="4" t="s">
        <v>459</v>
      </c>
    </row>
    <row r="353" hidden="1">
      <c r="A353" s="3"/>
      <c r="B353" s="3"/>
      <c r="C353" s="3"/>
      <c r="D353" s="3"/>
      <c r="E353" s="4" t="s">
        <v>460</v>
      </c>
    </row>
    <row r="354" hidden="1">
      <c r="A354" s="3"/>
      <c r="B354" s="3"/>
      <c r="C354" s="3"/>
      <c r="D354" s="3"/>
      <c r="E354" s="4" t="s">
        <v>461</v>
      </c>
    </row>
    <row r="355" hidden="1">
      <c r="A355" s="3"/>
      <c r="B355" s="3"/>
      <c r="C355" s="3"/>
      <c r="D355" s="3"/>
      <c r="E355" s="4" t="s">
        <v>463</v>
      </c>
    </row>
    <row r="356" hidden="1">
      <c r="A356" s="3"/>
      <c r="B356" s="3"/>
      <c r="C356" s="3"/>
      <c r="D356" s="3"/>
      <c r="E356" s="4" t="s">
        <v>465</v>
      </c>
    </row>
    <row r="357" hidden="1">
      <c r="A357" s="3"/>
      <c r="B357" s="3"/>
      <c r="C357" s="3"/>
      <c r="D357" s="3"/>
      <c r="E357" s="4" t="s">
        <v>466</v>
      </c>
    </row>
    <row r="358" hidden="1">
      <c r="A358" s="3"/>
      <c r="B358" s="3"/>
      <c r="C358" s="3"/>
      <c r="D358" s="3"/>
      <c r="E358" s="4" t="s">
        <v>467</v>
      </c>
    </row>
    <row r="359" hidden="1">
      <c r="A359" s="3"/>
      <c r="B359" s="3"/>
      <c r="C359" s="3"/>
      <c r="D359" s="3"/>
      <c r="E359" s="4" t="s">
        <v>468</v>
      </c>
    </row>
    <row r="360" hidden="1">
      <c r="A360" s="3"/>
      <c r="B360" s="3"/>
      <c r="C360" s="3"/>
      <c r="D360" s="3"/>
      <c r="E360" s="4" t="s">
        <v>469</v>
      </c>
    </row>
    <row r="361" hidden="1">
      <c r="A361" s="3"/>
      <c r="B361" s="3"/>
      <c r="C361" s="3"/>
      <c r="D361" s="3"/>
      <c r="E361" s="4" t="s">
        <v>470</v>
      </c>
    </row>
    <row r="362" hidden="1">
      <c r="A362" s="3"/>
      <c r="B362" s="3"/>
      <c r="C362" s="3"/>
      <c r="D362" s="3"/>
      <c r="E362" s="4" t="s">
        <v>472</v>
      </c>
    </row>
    <row r="363" hidden="1">
      <c r="A363" s="3"/>
      <c r="B363" s="3"/>
      <c r="C363" s="3"/>
      <c r="D363" s="3"/>
      <c r="E363" s="4" t="s">
        <v>473</v>
      </c>
    </row>
    <row r="364" hidden="1">
      <c r="A364" s="3"/>
      <c r="B364" s="3"/>
      <c r="C364" s="3"/>
      <c r="D364" s="3"/>
      <c r="E364" s="4" t="s">
        <v>474</v>
      </c>
    </row>
    <row r="365" hidden="1">
      <c r="A365" s="3"/>
      <c r="B365" s="3"/>
      <c r="C365" s="3"/>
      <c r="D365" s="3"/>
      <c r="E365" s="4" t="s">
        <v>475</v>
      </c>
    </row>
    <row r="366" hidden="1">
      <c r="A366" s="3"/>
      <c r="B366" s="3"/>
      <c r="C366" s="3"/>
      <c r="D366" s="3"/>
      <c r="E366" s="4" t="s">
        <v>476</v>
      </c>
    </row>
    <row r="367" hidden="1">
      <c r="A367" s="3"/>
      <c r="B367" s="3"/>
      <c r="C367" s="3"/>
      <c r="D367" s="3"/>
      <c r="E367" s="4" t="s">
        <v>478</v>
      </c>
    </row>
    <row r="368" hidden="1">
      <c r="A368" s="3"/>
      <c r="B368" s="3"/>
      <c r="C368" s="3"/>
      <c r="D368" s="3"/>
      <c r="E368" s="4" t="s">
        <v>479</v>
      </c>
    </row>
    <row r="369" hidden="1">
      <c r="A369" s="3"/>
      <c r="B369" s="3"/>
      <c r="C369" s="3"/>
      <c r="D369" s="3"/>
      <c r="E369" s="4" t="s">
        <v>480</v>
      </c>
    </row>
    <row r="370" hidden="1">
      <c r="A370" s="3"/>
      <c r="B370" s="3"/>
      <c r="C370" s="3"/>
      <c r="D370" s="3"/>
      <c r="E370" s="4" t="s">
        <v>481</v>
      </c>
    </row>
    <row r="371" hidden="1">
      <c r="A371" s="3"/>
      <c r="B371" s="3"/>
      <c r="C371" s="3"/>
      <c r="D371" s="3"/>
      <c r="E371" s="4" t="s">
        <v>482</v>
      </c>
    </row>
    <row r="372" hidden="1">
      <c r="A372" s="3"/>
      <c r="B372" s="3"/>
      <c r="C372" s="3"/>
      <c r="D372" s="3"/>
      <c r="E372" s="4" t="s">
        <v>483</v>
      </c>
    </row>
    <row r="373" hidden="1">
      <c r="A373" s="3"/>
      <c r="B373" s="3"/>
      <c r="C373" s="3"/>
      <c r="D373" s="3"/>
      <c r="E373" s="4" t="s">
        <v>485</v>
      </c>
    </row>
    <row r="374" hidden="1">
      <c r="A374" s="3"/>
      <c r="B374" s="3"/>
      <c r="C374" s="3"/>
      <c r="D374" s="3"/>
      <c r="E374" s="4" t="s">
        <v>486</v>
      </c>
    </row>
    <row r="375" hidden="1">
      <c r="A375" s="3"/>
      <c r="B375" s="3"/>
      <c r="C375" s="3"/>
      <c r="D375" s="3"/>
      <c r="E375" s="4" t="s">
        <v>487</v>
      </c>
    </row>
    <row r="376" hidden="1">
      <c r="A376" s="3"/>
      <c r="B376" s="3"/>
      <c r="C376" s="3"/>
      <c r="D376" s="3"/>
      <c r="E376" s="4" t="s">
        <v>488</v>
      </c>
    </row>
    <row r="377" hidden="1">
      <c r="A377" s="3"/>
      <c r="B377" s="3"/>
      <c r="C377" s="3"/>
      <c r="D377" s="3"/>
      <c r="E377" s="4" t="s">
        <v>489</v>
      </c>
    </row>
    <row r="378" hidden="1">
      <c r="A378" s="3"/>
      <c r="B378" s="3"/>
      <c r="C378" s="3"/>
      <c r="D378" s="3"/>
      <c r="E378" s="4" t="s">
        <v>490</v>
      </c>
    </row>
    <row r="379" hidden="1">
      <c r="A379" s="3"/>
      <c r="B379" s="3"/>
      <c r="C379" s="3"/>
      <c r="D379" s="3"/>
      <c r="E379" s="4" t="s">
        <v>492</v>
      </c>
    </row>
    <row r="380" hidden="1">
      <c r="A380" s="3"/>
      <c r="B380" s="3"/>
      <c r="C380" s="3"/>
      <c r="D380" s="3"/>
      <c r="E380" s="4" t="s">
        <v>493</v>
      </c>
    </row>
    <row r="381" hidden="1">
      <c r="A381" s="3"/>
      <c r="B381" s="3"/>
      <c r="C381" s="3"/>
      <c r="D381" s="3"/>
      <c r="E381" s="4" t="s">
        <v>494</v>
      </c>
    </row>
    <row r="382" hidden="1">
      <c r="A382" s="3"/>
      <c r="B382" s="3"/>
      <c r="C382" s="3"/>
      <c r="D382" s="3"/>
      <c r="E382" s="4" t="s">
        <v>495</v>
      </c>
    </row>
    <row r="383" hidden="1">
      <c r="A383" s="3"/>
      <c r="B383" s="3"/>
      <c r="C383" s="3"/>
      <c r="D383" s="3"/>
      <c r="E383" s="4" t="s">
        <v>500</v>
      </c>
    </row>
    <row r="384" hidden="1">
      <c r="A384" s="3"/>
      <c r="B384" s="3"/>
      <c r="C384" s="3"/>
      <c r="D384" s="3"/>
      <c r="E384" s="4" t="s">
        <v>501</v>
      </c>
    </row>
    <row r="385" hidden="1">
      <c r="A385" s="3"/>
      <c r="B385" s="3"/>
      <c r="C385" s="3"/>
      <c r="D385" s="3"/>
      <c r="E385" s="4" t="s">
        <v>502</v>
      </c>
    </row>
    <row r="386" hidden="1">
      <c r="A386" s="3"/>
      <c r="B386" s="3"/>
      <c r="C386" s="3"/>
      <c r="D386" s="3"/>
      <c r="E386" s="4" t="s">
        <v>504</v>
      </c>
    </row>
    <row r="387" hidden="1">
      <c r="A387" s="3"/>
      <c r="B387" s="3"/>
      <c r="C387" s="3"/>
      <c r="D387" s="3"/>
      <c r="E387" s="4" t="s">
        <v>505</v>
      </c>
    </row>
    <row r="388" hidden="1">
      <c r="A388" s="3"/>
      <c r="B388" s="3"/>
      <c r="C388" s="3"/>
      <c r="D388" s="3"/>
      <c r="E388" s="4" t="s">
        <v>506</v>
      </c>
    </row>
    <row r="389" hidden="1">
      <c r="A389" s="3"/>
      <c r="B389" s="3"/>
      <c r="C389" s="3"/>
      <c r="D389" s="3"/>
      <c r="E389" s="4" t="s">
        <v>507</v>
      </c>
    </row>
    <row r="390" hidden="1">
      <c r="A390" s="3"/>
      <c r="B390" s="3"/>
      <c r="C390" s="3"/>
      <c r="D390" s="3"/>
      <c r="E390" s="4" t="s">
        <v>508</v>
      </c>
    </row>
    <row r="391" hidden="1">
      <c r="A391" s="3"/>
      <c r="B391" s="3"/>
      <c r="C391" s="3"/>
      <c r="D391" s="3"/>
      <c r="E391" s="4" t="s">
        <v>509</v>
      </c>
    </row>
    <row r="392" hidden="1">
      <c r="A392" s="3"/>
      <c r="B392" s="3"/>
      <c r="C392" s="3"/>
      <c r="D392" s="3"/>
      <c r="E392" s="4" t="s">
        <v>511</v>
      </c>
    </row>
    <row r="393" hidden="1">
      <c r="A393" s="3"/>
      <c r="B393" s="3"/>
      <c r="C393" s="3"/>
      <c r="D393" s="3"/>
      <c r="E393" s="4" t="s">
        <v>512</v>
      </c>
    </row>
    <row r="394" hidden="1">
      <c r="A394" s="3"/>
      <c r="B394" s="3"/>
      <c r="C394" s="3"/>
      <c r="D394" s="3"/>
      <c r="E394" s="4" t="s">
        <v>513</v>
      </c>
    </row>
    <row r="395" hidden="1">
      <c r="A395" s="3"/>
      <c r="B395" s="3"/>
      <c r="C395" s="3"/>
      <c r="D395" s="3"/>
      <c r="E395" s="4" t="s">
        <v>514</v>
      </c>
    </row>
    <row r="396" hidden="1">
      <c r="A396" s="3"/>
      <c r="B396" s="3"/>
      <c r="C396" s="3"/>
      <c r="D396" s="3"/>
      <c r="E396" s="4" t="s">
        <v>515</v>
      </c>
    </row>
    <row r="397" hidden="1">
      <c r="A397" s="3"/>
      <c r="B397" s="3"/>
      <c r="C397" s="3"/>
      <c r="D397" s="3"/>
      <c r="E397" s="4" t="s">
        <v>517</v>
      </c>
    </row>
    <row r="398" hidden="1">
      <c r="A398" s="3"/>
      <c r="B398" s="3"/>
      <c r="C398" s="3"/>
      <c r="D398" s="3"/>
      <c r="E398" s="4" t="s">
        <v>518</v>
      </c>
    </row>
    <row r="399" hidden="1">
      <c r="A399" s="3"/>
      <c r="B399" s="3"/>
      <c r="C399" s="3"/>
      <c r="D399" s="3"/>
      <c r="E399" s="4" t="s">
        <v>519</v>
      </c>
    </row>
    <row r="400" hidden="1">
      <c r="A400" s="3"/>
      <c r="B400" s="3"/>
      <c r="C400" s="3"/>
      <c r="D400" s="3"/>
      <c r="E400" s="4" t="s">
        <v>520</v>
      </c>
    </row>
    <row r="401" hidden="1">
      <c r="A401" s="3"/>
      <c r="B401" s="3"/>
      <c r="C401" s="3"/>
      <c r="D401" s="3"/>
      <c r="E401" s="4" t="s">
        <v>521</v>
      </c>
    </row>
    <row r="402" hidden="1">
      <c r="A402" s="3"/>
      <c r="B402" s="3"/>
      <c r="C402" s="3"/>
      <c r="D402" s="3"/>
      <c r="E402" s="4" t="s">
        <v>522</v>
      </c>
    </row>
    <row r="403" hidden="1">
      <c r="A403" s="3"/>
      <c r="B403" s="3"/>
      <c r="C403" s="3"/>
      <c r="D403" s="3"/>
      <c r="E403" s="4" t="s">
        <v>525</v>
      </c>
    </row>
    <row r="404" hidden="1">
      <c r="A404" s="3"/>
      <c r="B404" s="3"/>
      <c r="C404" s="3"/>
      <c r="D404" s="3"/>
      <c r="E404" s="4" t="s">
        <v>526</v>
      </c>
    </row>
    <row r="405" hidden="1">
      <c r="A405" s="3"/>
      <c r="B405" s="3"/>
      <c r="C405" s="3"/>
      <c r="D405" s="3"/>
      <c r="E405" s="4" t="s">
        <v>528</v>
      </c>
    </row>
    <row r="406" hidden="1">
      <c r="A406" s="3"/>
      <c r="B406" s="3"/>
      <c r="C406" s="3"/>
      <c r="D406" s="3"/>
      <c r="E406" s="4" t="s">
        <v>530</v>
      </c>
    </row>
    <row r="407" hidden="1">
      <c r="A407" s="3"/>
      <c r="B407" s="3"/>
      <c r="C407" s="3"/>
      <c r="D407" s="3"/>
      <c r="E407" s="4" t="s">
        <v>532</v>
      </c>
    </row>
    <row r="408" hidden="1">
      <c r="A408" s="3"/>
      <c r="B408" s="3"/>
      <c r="C408" s="3"/>
      <c r="D408" s="3"/>
      <c r="E408" s="4" t="s">
        <v>533</v>
      </c>
    </row>
    <row r="409" hidden="1">
      <c r="A409" s="3"/>
      <c r="B409" s="3"/>
      <c r="C409" s="3"/>
      <c r="D409" s="3"/>
      <c r="E409" s="4" t="s">
        <v>535</v>
      </c>
    </row>
    <row r="410" hidden="1">
      <c r="A410" s="3"/>
      <c r="B410" s="3"/>
      <c r="C410" s="3"/>
      <c r="D410" s="3"/>
      <c r="E410" s="4" t="s">
        <v>536</v>
      </c>
    </row>
    <row r="411" hidden="1">
      <c r="A411" s="3"/>
      <c r="B411" s="3"/>
      <c r="C411" s="3"/>
      <c r="D411" s="3"/>
      <c r="E411" s="4" t="s">
        <v>537</v>
      </c>
    </row>
    <row r="412" hidden="1">
      <c r="A412" s="3"/>
      <c r="B412" s="3"/>
      <c r="C412" s="3"/>
      <c r="D412" s="3"/>
      <c r="E412" s="4" t="s">
        <v>539</v>
      </c>
    </row>
    <row r="413" hidden="1">
      <c r="A413" s="3"/>
      <c r="B413" s="3"/>
      <c r="C413" s="3"/>
      <c r="D413" s="3"/>
      <c r="E413" s="4" t="s">
        <v>540</v>
      </c>
    </row>
    <row r="414" hidden="1">
      <c r="A414" s="3"/>
      <c r="B414" s="3"/>
      <c r="C414" s="3"/>
      <c r="D414" s="3"/>
      <c r="E414" s="4" t="s">
        <v>541</v>
      </c>
    </row>
    <row r="415" hidden="1">
      <c r="A415" s="3"/>
      <c r="B415" s="3"/>
      <c r="C415" s="3"/>
      <c r="D415" s="3"/>
      <c r="E415" s="4" t="s">
        <v>542</v>
      </c>
    </row>
    <row r="416" hidden="1">
      <c r="A416" s="3"/>
      <c r="B416" s="3"/>
      <c r="C416" s="3"/>
      <c r="D416" s="3"/>
      <c r="E416" s="4" t="s">
        <v>543</v>
      </c>
    </row>
    <row r="417" hidden="1">
      <c r="A417" s="3"/>
      <c r="B417" s="3"/>
      <c r="C417" s="3"/>
      <c r="D417" s="3"/>
      <c r="E417" s="4" t="s">
        <v>546</v>
      </c>
    </row>
    <row r="418" hidden="1">
      <c r="A418" s="3"/>
      <c r="B418" s="3"/>
      <c r="C418" s="3"/>
      <c r="D418" s="3"/>
      <c r="E418" s="4" t="s">
        <v>547</v>
      </c>
    </row>
    <row r="419" hidden="1">
      <c r="A419" s="3"/>
      <c r="B419" s="3"/>
      <c r="C419" s="3"/>
      <c r="D419" s="3"/>
      <c r="E419" s="4" t="s">
        <v>549</v>
      </c>
    </row>
    <row r="420" hidden="1">
      <c r="A420" s="3"/>
      <c r="B420" s="3"/>
      <c r="C420" s="3"/>
      <c r="D420" s="3"/>
      <c r="E420" s="4" t="s">
        <v>550</v>
      </c>
    </row>
    <row r="421" hidden="1">
      <c r="A421" s="3"/>
      <c r="B421" s="3"/>
      <c r="C421" s="3"/>
      <c r="D421" s="3"/>
      <c r="E421" s="4" t="s">
        <v>552</v>
      </c>
    </row>
    <row r="422" hidden="1">
      <c r="A422" s="3"/>
      <c r="B422" s="3"/>
      <c r="C422" s="3"/>
      <c r="D422" s="3"/>
      <c r="E422" s="4" t="s">
        <v>553</v>
      </c>
    </row>
    <row r="423" hidden="1">
      <c r="A423" s="3"/>
      <c r="B423" s="3"/>
      <c r="C423" s="3"/>
      <c r="D423" s="3"/>
      <c r="E423" s="4" t="s">
        <v>555</v>
      </c>
    </row>
    <row r="424" hidden="1">
      <c r="A424" s="3"/>
      <c r="B424" s="3"/>
      <c r="C424" s="3"/>
      <c r="D424" s="3"/>
      <c r="E424" s="4" t="s">
        <v>556</v>
      </c>
    </row>
    <row r="425" hidden="1">
      <c r="A425" s="3"/>
      <c r="B425" s="3"/>
      <c r="C425" s="3"/>
      <c r="D425" s="3"/>
      <c r="E425" s="4" t="s">
        <v>557</v>
      </c>
    </row>
    <row r="426" hidden="1">
      <c r="A426" s="3"/>
      <c r="B426" s="3"/>
      <c r="C426" s="3"/>
      <c r="D426" s="3"/>
      <c r="E426" s="4" t="s">
        <v>558</v>
      </c>
    </row>
    <row r="427" hidden="1">
      <c r="A427" s="3"/>
      <c r="B427" s="3"/>
      <c r="C427" s="3"/>
      <c r="D427" s="3"/>
      <c r="E427" s="4" t="s">
        <v>559</v>
      </c>
    </row>
    <row r="428" hidden="1">
      <c r="A428" s="3"/>
      <c r="B428" s="3"/>
      <c r="C428" s="3"/>
      <c r="D428" s="3"/>
      <c r="E428" s="4" t="s">
        <v>560</v>
      </c>
    </row>
    <row r="429" hidden="1">
      <c r="A429" s="3"/>
      <c r="B429" s="3"/>
      <c r="C429" s="3"/>
      <c r="D429" s="3"/>
      <c r="E429" s="4" t="s">
        <v>563</v>
      </c>
    </row>
    <row r="430" hidden="1">
      <c r="A430" s="3"/>
      <c r="B430" s="3"/>
      <c r="C430" s="3"/>
      <c r="D430" s="3"/>
      <c r="E430" s="4" t="s">
        <v>564</v>
      </c>
    </row>
    <row r="431" hidden="1">
      <c r="A431" s="3"/>
      <c r="B431" s="3"/>
      <c r="C431" s="3"/>
      <c r="D431" s="3"/>
      <c r="E431" s="4" t="s">
        <v>565</v>
      </c>
    </row>
    <row r="432" hidden="1">
      <c r="A432" s="3"/>
      <c r="B432" s="3"/>
      <c r="C432" s="3"/>
      <c r="D432" s="3"/>
      <c r="E432" s="4" t="s">
        <v>566</v>
      </c>
    </row>
    <row r="433" hidden="1">
      <c r="A433" s="3"/>
      <c r="B433" s="3"/>
      <c r="C433" s="3"/>
      <c r="D433" s="3"/>
      <c r="E433" s="4" t="s">
        <v>568</v>
      </c>
    </row>
    <row r="434" hidden="1">
      <c r="A434" s="3"/>
      <c r="B434" s="3"/>
      <c r="C434" s="3"/>
      <c r="D434" s="3"/>
      <c r="E434" s="4" t="s">
        <v>569</v>
      </c>
    </row>
    <row r="435" hidden="1">
      <c r="A435" s="3"/>
      <c r="B435" s="3"/>
      <c r="C435" s="3"/>
      <c r="D435" s="3"/>
      <c r="E435" s="4" t="s">
        <v>571</v>
      </c>
    </row>
    <row r="436" hidden="1">
      <c r="A436" s="3"/>
      <c r="B436" s="3"/>
      <c r="C436" s="3"/>
      <c r="D436" s="3"/>
      <c r="E436" s="4" t="s">
        <v>572</v>
      </c>
    </row>
    <row r="437" hidden="1">
      <c r="A437" s="3"/>
      <c r="B437" s="3"/>
      <c r="C437" s="3"/>
      <c r="D437" s="3"/>
      <c r="E437" s="4" t="s">
        <v>573</v>
      </c>
    </row>
    <row r="438" hidden="1">
      <c r="A438" s="3"/>
      <c r="B438" s="3"/>
      <c r="C438" s="3"/>
      <c r="D438" s="3"/>
      <c r="E438" s="4" t="s">
        <v>574</v>
      </c>
    </row>
    <row r="439" hidden="1">
      <c r="A439" s="3"/>
      <c r="B439" s="3"/>
      <c r="C439" s="3"/>
      <c r="D439" s="3"/>
      <c r="E439" s="4" t="s">
        <v>575</v>
      </c>
    </row>
    <row r="440" hidden="1">
      <c r="A440" s="3"/>
      <c r="B440" s="3"/>
      <c r="C440" s="3"/>
      <c r="D440" s="3"/>
      <c r="E440" s="4" t="s">
        <v>576</v>
      </c>
    </row>
    <row r="441" hidden="1">
      <c r="A441" s="3"/>
      <c r="B441" s="3"/>
      <c r="C441" s="3"/>
      <c r="D441" s="3"/>
      <c r="E441" s="4" t="s">
        <v>578</v>
      </c>
    </row>
    <row r="442" hidden="1">
      <c r="A442" s="3"/>
      <c r="B442" s="3"/>
      <c r="C442" s="3"/>
      <c r="D442" s="3"/>
      <c r="E442" s="4" t="s">
        <v>579</v>
      </c>
    </row>
    <row r="443" hidden="1">
      <c r="A443" s="3"/>
      <c r="B443" s="3"/>
      <c r="C443" s="3"/>
      <c r="D443" s="3"/>
      <c r="E443" s="4" t="s">
        <v>580</v>
      </c>
    </row>
    <row r="444" hidden="1">
      <c r="A444" s="3"/>
      <c r="B444" s="3"/>
      <c r="C444" s="3"/>
      <c r="D444" s="3"/>
      <c r="E444" s="4" t="s">
        <v>581</v>
      </c>
    </row>
    <row r="445" hidden="1">
      <c r="A445" s="3"/>
      <c r="B445" s="3"/>
      <c r="C445" s="3"/>
      <c r="D445" s="3"/>
      <c r="E445" s="4" t="s">
        <v>582</v>
      </c>
    </row>
    <row r="446" hidden="1">
      <c r="A446" s="3"/>
      <c r="B446" s="3"/>
      <c r="C446" s="3"/>
      <c r="D446" s="3"/>
      <c r="E446" s="4" t="s">
        <v>583</v>
      </c>
    </row>
    <row r="447" hidden="1">
      <c r="A447" s="3"/>
      <c r="B447" s="3"/>
      <c r="C447" s="3"/>
      <c r="D447" s="3"/>
      <c r="E447" s="4" t="s">
        <v>585</v>
      </c>
    </row>
    <row r="448" hidden="1">
      <c r="A448" s="3"/>
      <c r="B448" s="3"/>
      <c r="C448" s="3"/>
      <c r="D448" s="3"/>
      <c r="E448" s="4" t="s">
        <v>586</v>
      </c>
    </row>
    <row r="449" hidden="1">
      <c r="A449" s="3"/>
      <c r="B449" s="3"/>
      <c r="C449" s="3"/>
      <c r="D449" s="3"/>
      <c r="E449" s="4" t="s">
        <v>587</v>
      </c>
    </row>
    <row r="450" hidden="1">
      <c r="A450" s="3"/>
      <c r="B450" s="3"/>
      <c r="C450" s="3"/>
      <c r="D450" s="3"/>
      <c r="E450" s="4" t="s">
        <v>588</v>
      </c>
    </row>
    <row r="451" hidden="1">
      <c r="A451" s="3"/>
      <c r="B451" s="3"/>
      <c r="C451" s="3"/>
      <c r="D451" s="3"/>
      <c r="E451" s="4" t="s">
        <v>589</v>
      </c>
    </row>
    <row r="452" hidden="1">
      <c r="A452" s="3"/>
      <c r="B452" s="3"/>
      <c r="C452" s="3"/>
      <c r="D452" s="3"/>
      <c r="E452" s="4" t="s">
        <v>590</v>
      </c>
    </row>
    <row r="453" hidden="1">
      <c r="A453" s="3"/>
      <c r="B453" s="3"/>
      <c r="C453" s="3"/>
      <c r="D453" s="3"/>
      <c r="E453" s="4" t="s">
        <v>592</v>
      </c>
    </row>
    <row r="454" hidden="1">
      <c r="A454" s="3"/>
      <c r="B454" s="3"/>
      <c r="C454" s="3"/>
      <c r="D454" s="3"/>
      <c r="E454" s="4" t="s">
        <v>593</v>
      </c>
    </row>
    <row r="455" hidden="1">
      <c r="A455" s="3"/>
      <c r="B455" s="3"/>
      <c r="C455" s="3"/>
      <c r="D455" s="3"/>
      <c r="E455" s="4" t="s">
        <v>594</v>
      </c>
    </row>
    <row r="456" hidden="1">
      <c r="A456" s="3"/>
      <c r="B456" s="3"/>
      <c r="C456" s="3"/>
      <c r="D456" s="3"/>
      <c r="E456" s="4" t="s">
        <v>595</v>
      </c>
    </row>
    <row r="457" hidden="1">
      <c r="A457" s="3"/>
      <c r="B457" s="3"/>
      <c r="C457" s="3"/>
      <c r="D457" s="3"/>
      <c r="E457" s="4" t="s">
        <v>596</v>
      </c>
    </row>
    <row r="458" hidden="1">
      <c r="A458" s="3"/>
      <c r="B458" s="3"/>
      <c r="C458" s="3"/>
      <c r="D458" s="3"/>
      <c r="E458" s="4" t="s">
        <v>597</v>
      </c>
    </row>
    <row r="459" hidden="1">
      <c r="A459" s="3"/>
      <c r="B459" s="3"/>
      <c r="C459" s="3"/>
      <c r="D459" s="3"/>
      <c r="E459" s="4" t="s">
        <v>599</v>
      </c>
    </row>
    <row r="460" hidden="1">
      <c r="A460" s="3"/>
      <c r="B460" s="3"/>
      <c r="C460" s="3"/>
      <c r="D460" s="3"/>
      <c r="E460" s="4" t="s">
        <v>600</v>
      </c>
    </row>
    <row r="461" hidden="1">
      <c r="A461" s="3"/>
      <c r="B461" s="3"/>
      <c r="C461" s="3"/>
      <c r="D461" s="3"/>
      <c r="E461" s="4" t="s">
        <v>601</v>
      </c>
    </row>
    <row r="462" hidden="1">
      <c r="A462" s="3"/>
      <c r="B462" s="3"/>
      <c r="C462" s="3"/>
      <c r="D462" s="3"/>
      <c r="E462" s="4" t="s">
        <v>602</v>
      </c>
    </row>
    <row r="463" hidden="1">
      <c r="A463" s="3"/>
      <c r="B463" s="3"/>
      <c r="C463" s="3"/>
      <c r="D463" s="3"/>
      <c r="E463" s="4" t="s">
        <v>603</v>
      </c>
    </row>
    <row r="464" hidden="1">
      <c r="A464" s="3"/>
      <c r="B464" s="3"/>
      <c r="C464" s="3"/>
      <c r="D464" s="3"/>
      <c r="E464" s="4" t="s">
        <v>604</v>
      </c>
    </row>
    <row r="465" hidden="1">
      <c r="A465" s="3"/>
      <c r="B465" s="3"/>
      <c r="C465" s="3"/>
      <c r="D465" s="3"/>
      <c r="E465" s="4" t="s">
        <v>606</v>
      </c>
    </row>
    <row r="466" hidden="1">
      <c r="A466" s="3"/>
      <c r="B466" s="3"/>
      <c r="C466" s="3"/>
      <c r="D466" s="3"/>
      <c r="E466" s="4" t="s">
        <v>607</v>
      </c>
    </row>
    <row r="467" hidden="1">
      <c r="A467" s="3"/>
      <c r="B467" s="3"/>
      <c r="C467" s="3"/>
      <c r="D467" s="3"/>
      <c r="E467" s="4" t="s">
        <v>608</v>
      </c>
    </row>
    <row r="468" hidden="1">
      <c r="A468" s="3"/>
      <c r="B468" s="3"/>
      <c r="C468" s="3"/>
      <c r="D468" s="3"/>
      <c r="E468" s="4" t="s">
        <v>609</v>
      </c>
    </row>
    <row r="469" hidden="1">
      <c r="A469" s="3"/>
      <c r="B469" s="3"/>
      <c r="C469" s="3"/>
      <c r="D469" s="3"/>
      <c r="E469" s="4" t="s">
        <v>610</v>
      </c>
    </row>
    <row r="470" hidden="1">
      <c r="A470" s="3"/>
      <c r="B470" s="3"/>
      <c r="C470" s="3"/>
      <c r="D470" s="3"/>
      <c r="E470" s="4" t="s">
        <v>611</v>
      </c>
    </row>
    <row r="471" hidden="1">
      <c r="A471" s="3"/>
      <c r="B471" s="3"/>
      <c r="C471" s="3"/>
      <c r="D471" s="3"/>
      <c r="E471" s="4" t="s">
        <v>613</v>
      </c>
    </row>
    <row r="472" hidden="1">
      <c r="A472" s="3"/>
      <c r="B472" s="3"/>
      <c r="C472" s="3"/>
      <c r="D472" s="3"/>
      <c r="E472" s="4" t="s">
        <v>614</v>
      </c>
    </row>
    <row r="473" hidden="1">
      <c r="A473" s="3"/>
      <c r="B473" s="3"/>
      <c r="C473" s="3"/>
      <c r="D473" s="3"/>
      <c r="E473" s="4" t="s">
        <v>615</v>
      </c>
    </row>
    <row r="474" hidden="1">
      <c r="A474" s="3"/>
      <c r="B474" s="3"/>
      <c r="C474" s="3"/>
      <c r="D474" s="3"/>
      <c r="E474" s="4" t="s">
        <v>616</v>
      </c>
    </row>
    <row r="475" hidden="1">
      <c r="A475" s="3"/>
      <c r="B475" s="3"/>
      <c r="C475" s="3"/>
      <c r="D475" s="3"/>
      <c r="E475" s="4" t="s">
        <v>617</v>
      </c>
    </row>
    <row r="476" hidden="1">
      <c r="A476" s="3"/>
      <c r="B476" s="3"/>
      <c r="C476" s="3"/>
      <c r="D476" s="3"/>
      <c r="E476" s="4" t="s">
        <v>618</v>
      </c>
    </row>
    <row r="477" hidden="1">
      <c r="A477" s="3"/>
      <c r="B477" s="3"/>
      <c r="C477" s="3"/>
      <c r="D477" s="3"/>
      <c r="E477" s="4" t="s">
        <v>620</v>
      </c>
    </row>
    <row r="478" hidden="1">
      <c r="A478" s="3"/>
      <c r="B478" s="3"/>
      <c r="C478" s="3"/>
      <c r="D478" s="3"/>
      <c r="E478" s="4" t="s">
        <v>621</v>
      </c>
    </row>
    <row r="479" hidden="1">
      <c r="A479" s="3"/>
      <c r="B479" s="3"/>
      <c r="C479" s="3"/>
      <c r="D479" s="3"/>
      <c r="E479" s="4" t="s">
        <v>622</v>
      </c>
    </row>
    <row r="480" hidden="1">
      <c r="A480" s="3"/>
      <c r="B480" s="3"/>
      <c r="C480" s="3"/>
      <c r="D480" s="3"/>
      <c r="E480" s="4" t="s">
        <v>623</v>
      </c>
    </row>
    <row r="481" hidden="1">
      <c r="A481" s="3"/>
      <c r="B481" s="3"/>
      <c r="C481" s="3"/>
      <c r="D481" s="3"/>
      <c r="E481" s="4" t="s">
        <v>624</v>
      </c>
    </row>
    <row r="482" hidden="1">
      <c r="A482" s="3"/>
      <c r="B482" s="3"/>
      <c r="C482" s="3"/>
      <c r="D482" s="3"/>
      <c r="E482" s="4" t="s">
        <v>626</v>
      </c>
    </row>
    <row r="483" hidden="1">
      <c r="A483" s="3"/>
      <c r="B483" s="3"/>
      <c r="C483" s="3"/>
      <c r="D483" s="3"/>
      <c r="E483" s="4" t="s">
        <v>627</v>
      </c>
    </row>
    <row r="484" hidden="1">
      <c r="A484" s="3"/>
      <c r="B484" s="3"/>
      <c r="C484" s="3"/>
      <c r="D484" s="3"/>
      <c r="E484" s="4" t="s">
        <v>628</v>
      </c>
    </row>
    <row r="485" hidden="1">
      <c r="A485" s="3"/>
      <c r="B485" s="3"/>
      <c r="C485" s="3"/>
      <c r="D485" s="3"/>
      <c r="E485" s="4" t="s">
        <v>629</v>
      </c>
    </row>
    <row r="486" hidden="1">
      <c r="A486" s="3"/>
      <c r="B486" s="3"/>
      <c r="C486" s="3"/>
      <c r="D486" s="3"/>
      <c r="E486" s="4" t="s">
        <v>630</v>
      </c>
    </row>
    <row r="487" hidden="1">
      <c r="A487" s="3"/>
      <c r="B487" s="3"/>
      <c r="C487" s="3"/>
      <c r="D487" s="3"/>
      <c r="E487" s="4" t="s">
        <v>631</v>
      </c>
    </row>
    <row r="488" hidden="1">
      <c r="A488" s="3"/>
      <c r="B488" s="3"/>
      <c r="C488" s="3"/>
      <c r="D488" s="3"/>
      <c r="E488" s="4" t="s">
        <v>632</v>
      </c>
    </row>
    <row r="489" hidden="1">
      <c r="A489" s="3"/>
      <c r="B489" s="3"/>
      <c r="C489" s="3"/>
      <c r="D489" s="3"/>
      <c r="E489" s="4" t="s">
        <v>634</v>
      </c>
    </row>
    <row r="490" hidden="1">
      <c r="A490" s="3"/>
      <c r="B490" s="3"/>
      <c r="C490" s="3"/>
      <c r="D490" s="3"/>
      <c r="E490" s="4" t="s">
        <v>635</v>
      </c>
    </row>
    <row r="491" hidden="1">
      <c r="A491" s="3"/>
      <c r="B491" s="3"/>
      <c r="C491" s="3"/>
      <c r="D491" s="3"/>
      <c r="E491" s="4" t="s">
        <v>636</v>
      </c>
    </row>
    <row r="492" hidden="1">
      <c r="A492" s="3"/>
      <c r="B492" s="3"/>
      <c r="C492" s="3"/>
      <c r="D492" s="3"/>
      <c r="E492" s="4" t="s">
        <v>637</v>
      </c>
    </row>
    <row r="493" hidden="1">
      <c r="A493" s="3"/>
      <c r="B493" s="3"/>
      <c r="C493" s="3"/>
      <c r="D493" s="3"/>
      <c r="E493" s="4" t="s">
        <v>638</v>
      </c>
    </row>
    <row r="494" hidden="1">
      <c r="A494" s="3"/>
      <c r="B494" s="3"/>
      <c r="C494" s="3"/>
      <c r="D494" s="3"/>
      <c r="E494" s="4" t="s">
        <v>639</v>
      </c>
    </row>
    <row r="495" hidden="1">
      <c r="A495" s="3"/>
      <c r="B495" s="3"/>
      <c r="C495" s="3"/>
      <c r="D495" s="3"/>
      <c r="E495" s="4" t="s">
        <v>641</v>
      </c>
    </row>
    <row r="496" hidden="1">
      <c r="A496" s="3"/>
      <c r="B496" s="3"/>
      <c r="C496" s="3"/>
      <c r="D496" s="3"/>
      <c r="E496" s="4" t="s">
        <v>642</v>
      </c>
    </row>
    <row r="497" hidden="1">
      <c r="A497" s="3"/>
      <c r="B497" s="3"/>
      <c r="C497" s="3"/>
      <c r="D497" s="3"/>
      <c r="E497" s="4" t="s">
        <v>643</v>
      </c>
    </row>
    <row r="498" hidden="1">
      <c r="A498" s="3"/>
      <c r="B498" s="3"/>
      <c r="C498" s="3"/>
      <c r="D498" s="3"/>
      <c r="E498" s="4" t="s">
        <v>644</v>
      </c>
    </row>
    <row r="499" hidden="1">
      <c r="A499" s="3"/>
      <c r="B499" s="3"/>
      <c r="C499" s="3"/>
      <c r="D499" s="3"/>
      <c r="E499" s="4" t="s">
        <v>645</v>
      </c>
    </row>
    <row r="500" hidden="1">
      <c r="A500" s="3"/>
      <c r="B500" s="3"/>
      <c r="C500" s="3"/>
      <c r="D500" s="3"/>
      <c r="E500" s="4" t="s">
        <v>646</v>
      </c>
    </row>
    <row r="501" hidden="1">
      <c r="A501" s="3"/>
      <c r="B501" s="3"/>
      <c r="C501" s="3"/>
      <c r="D501" s="3"/>
      <c r="E501" s="4" t="s">
        <v>647</v>
      </c>
    </row>
    <row r="502" hidden="1">
      <c r="A502" s="3"/>
      <c r="B502" s="3"/>
      <c r="C502" s="3"/>
      <c r="D502" s="3"/>
      <c r="E502" s="4" t="s">
        <v>649</v>
      </c>
    </row>
    <row r="503" hidden="1">
      <c r="A503" s="3"/>
      <c r="B503" s="3"/>
      <c r="C503" s="3"/>
      <c r="D503" s="3"/>
      <c r="E503" s="4" t="s">
        <v>650</v>
      </c>
    </row>
    <row r="504" hidden="1">
      <c r="A504" s="3"/>
      <c r="B504" s="3"/>
      <c r="C504" s="3"/>
      <c r="D504" s="3"/>
      <c r="E504" s="4" t="s">
        <v>651</v>
      </c>
    </row>
    <row r="505" hidden="1">
      <c r="A505" s="3"/>
      <c r="B505" s="3"/>
      <c r="C505" s="3"/>
      <c r="D505" s="3"/>
      <c r="E505" s="4" t="s">
        <v>652</v>
      </c>
    </row>
    <row r="506" hidden="1">
      <c r="A506" s="3"/>
      <c r="B506" s="3"/>
      <c r="C506" s="3"/>
      <c r="D506" s="3"/>
      <c r="E506" s="4" t="s">
        <v>653</v>
      </c>
    </row>
    <row r="507" hidden="1">
      <c r="A507" s="3"/>
      <c r="B507" s="3"/>
      <c r="C507" s="3"/>
      <c r="D507" s="3"/>
      <c r="E507" s="4" t="s">
        <v>654</v>
      </c>
    </row>
    <row r="508" hidden="1">
      <c r="A508" s="3"/>
      <c r="B508" s="3"/>
      <c r="C508" s="3"/>
      <c r="D508" s="3"/>
      <c r="E508" s="4" t="s">
        <v>656</v>
      </c>
    </row>
    <row r="509" hidden="1">
      <c r="A509" s="3"/>
      <c r="B509" s="3"/>
      <c r="C509" s="3"/>
      <c r="D509" s="3"/>
      <c r="E509" s="4" t="s">
        <v>657</v>
      </c>
    </row>
    <row r="510" hidden="1">
      <c r="A510" s="3"/>
      <c r="B510" s="3"/>
      <c r="C510" s="3"/>
      <c r="D510" s="3"/>
      <c r="E510" s="4" t="s">
        <v>658</v>
      </c>
    </row>
    <row r="511" hidden="1">
      <c r="A511" s="3"/>
      <c r="B511" s="3"/>
      <c r="C511" s="3"/>
      <c r="D511" s="3"/>
      <c r="E511" s="4" t="s">
        <v>659</v>
      </c>
    </row>
    <row r="512" hidden="1">
      <c r="A512" s="3"/>
      <c r="B512" s="3"/>
      <c r="C512" s="3"/>
      <c r="D512" s="3"/>
      <c r="E512" s="4" t="s">
        <v>660</v>
      </c>
    </row>
    <row r="513" hidden="1">
      <c r="A513" s="3"/>
      <c r="B513" s="3"/>
      <c r="C513" s="3"/>
      <c r="D513" s="3"/>
      <c r="E513" s="4" t="s">
        <v>661</v>
      </c>
    </row>
    <row r="514" hidden="1">
      <c r="A514" s="3"/>
      <c r="B514" s="3"/>
      <c r="C514" s="3"/>
      <c r="D514" s="3"/>
      <c r="E514" s="4" t="s">
        <v>662</v>
      </c>
    </row>
    <row r="515" hidden="1">
      <c r="A515" s="3"/>
      <c r="B515" s="3"/>
      <c r="C515" s="3"/>
      <c r="D515" s="3"/>
      <c r="E515" s="4" t="s">
        <v>664</v>
      </c>
    </row>
    <row r="516" hidden="1">
      <c r="A516" s="3"/>
      <c r="B516" s="3"/>
      <c r="C516" s="3"/>
      <c r="D516" s="3"/>
      <c r="E516" s="4" t="s">
        <v>665</v>
      </c>
    </row>
    <row r="517" hidden="1">
      <c r="A517" s="3"/>
      <c r="B517" s="3"/>
      <c r="C517" s="3"/>
      <c r="D517" s="3"/>
      <c r="E517" s="4" t="s">
        <v>666</v>
      </c>
    </row>
    <row r="518" hidden="1">
      <c r="A518" s="3"/>
      <c r="B518" s="3"/>
      <c r="C518" s="3"/>
      <c r="D518" s="3"/>
      <c r="E518" s="4" t="s">
        <v>667</v>
      </c>
    </row>
    <row r="519" hidden="1">
      <c r="A519" s="3"/>
      <c r="B519" s="3"/>
      <c r="C519" s="3"/>
      <c r="D519" s="3"/>
      <c r="E519" s="4" t="s">
        <v>668</v>
      </c>
    </row>
    <row r="520" hidden="1">
      <c r="A520" s="3"/>
      <c r="B520" s="3"/>
      <c r="C520" s="3"/>
      <c r="D520" s="3"/>
      <c r="E520" s="4" t="s">
        <v>669</v>
      </c>
    </row>
    <row r="521" hidden="1">
      <c r="A521" s="3"/>
      <c r="B521" s="3"/>
      <c r="C521" s="3"/>
      <c r="D521" s="3"/>
      <c r="E521" s="4" t="s">
        <v>670</v>
      </c>
    </row>
    <row r="522" hidden="1">
      <c r="A522" s="3"/>
      <c r="B522" s="3"/>
      <c r="C522" s="3"/>
      <c r="D522" s="3"/>
      <c r="E522" s="4" t="s">
        <v>672</v>
      </c>
    </row>
    <row r="523" hidden="1">
      <c r="A523" s="3"/>
      <c r="B523" s="3"/>
      <c r="C523" s="3"/>
      <c r="D523" s="3"/>
      <c r="E523" s="4" t="s">
        <v>673</v>
      </c>
    </row>
    <row r="524" hidden="1">
      <c r="A524" s="3"/>
      <c r="B524" s="3"/>
      <c r="C524" s="3"/>
      <c r="D524" s="3"/>
      <c r="E524" s="4" t="s">
        <v>674</v>
      </c>
    </row>
    <row r="525" hidden="1">
      <c r="A525" s="3"/>
      <c r="B525" s="3"/>
      <c r="C525" s="3"/>
      <c r="D525" s="3"/>
      <c r="E525" s="4" t="s">
        <v>675</v>
      </c>
    </row>
    <row r="526" hidden="1">
      <c r="A526" s="3"/>
      <c r="B526" s="3"/>
      <c r="C526" s="3"/>
      <c r="D526" s="3"/>
      <c r="E526" s="4" t="s">
        <v>676</v>
      </c>
    </row>
    <row r="527" hidden="1">
      <c r="A527" s="3"/>
      <c r="B527" s="3"/>
      <c r="C527" s="3"/>
      <c r="D527" s="3"/>
      <c r="E527" s="4" t="s">
        <v>677</v>
      </c>
    </row>
    <row r="528" hidden="1">
      <c r="A528" s="3"/>
      <c r="B528" s="3"/>
      <c r="C528" s="3"/>
      <c r="D528" s="3"/>
      <c r="E528" s="4" t="s">
        <v>678</v>
      </c>
    </row>
    <row r="529" hidden="1">
      <c r="A529" s="3"/>
      <c r="B529" s="3"/>
      <c r="C529" s="3"/>
      <c r="D529" s="3"/>
      <c r="E529" s="4" t="s">
        <v>680</v>
      </c>
    </row>
    <row r="530" hidden="1">
      <c r="A530" s="3"/>
      <c r="B530" s="3"/>
      <c r="C530" s="3"/>
      <c r="D530" s="3"/>
      <c r="E530" s="4" t="s">
        <v>681</v>
      </c>
    </row>
    <row r="531" hidden="1">
      <c r="A531" s="3"/>
      <c r="B531" s="3"/>
      <c r="C531" s="3"/>
      <c r="D531" s="3"/>
      <c r="E531" s="4" t="s">
        <v>682</v>
      </c>
    </row>
    <row r="532" hidden="1">
      <c r="A532" s="3"/>
      <c r="B532" s="3"/>
      <c r="C532" s="3"/>
      <c r="D532" s="3"/>
      <c r="E532" s="4" t="s">
        <v>683</v>
      </c>
    </row>
    <row r="533" hidden="1">
      <c r="A533" s="3"/>
      <c r="B533" s="3"/>
      <c r="C533" s="3"/>
      <c r="D533" s="3"/>
      <c r="E533" s="4" t="s">
        <v>684</v>
      </c>
    </row>
    <row r="534" hidden="1">
      <c r="A534" s="3"/>
      <c r="B534" s="3"/>
      <c r="C534" s="3"/>
      <c r="D534" s="3"/>
      <c r="E534" s="4" t="s">
        <v>685</v>
      </c>
    </row>
    <row r="535" hidden="1">
      <c r="A535" s="3"/>
      <c r="B535" s="3"/>
      <c r="C535" s="3"/>
      <c r="D535" s="3"/>
      <c r="E535" s="4" t="s">
        <v>687</v>
      </c>
    </row>
    <row r="536" hidden="1">
      <c r="A536" s="3"/>
      <c r="B536" s="3"/>
      <c r="C536" s="3"/>
      <c r="D536" s="3"/>
      <c r="E536" s="4" t="s">
        <v>688</v>
      </c>
    </row>
    <row r="537" hidden="1">
      <c r="A537" s="3"/>
      <c r="B537" s="3"/>
      <c r="C537" s="3"/>
      <c r="D537" s="3"/>
      <c r="E537" s="4" t="s">
        <v>689</v>
      </c>
    </row>
    <row r="538" hidden="1">
      <c r="A538" s="3"/>
      <c r="B538" s="3"/>
      <c r="C538" s="3"/>
      <c r="D538" s="3"/>
      <c r="E538" s="4" t="s">
        <v>690</v>
      </c>
    </row>
    <row r="539" hidden="1">
      <c r="A539" s="3"/>
      <c r="B539" s="3"/>
      <c r="C539" s="3"/>
      <c r="D539" s="3"/>
      <c r="E539" s="4" t="s">
        <v>691</v>
      </c>
    </row>
    <row r="540" hidden="1">
      <c r="A540" s="3"/>
      <c r="B540" s="3"/>
      <c r="C540" s="3"/>
      <c r="D540" s="3"/>
      <c r="E540" s="4" t="s">
        <v>693</v>
      </c>
    </row>
    <row r="541" hidden="1">
      <c r="A541" s="3"/>
      <c r="B541" s="3"/>
      <c r="C541" s="3"/>
      <c r="D541" s="3"/>
      <c r="E541" s="4" t="s">
        <v>694</v>
      </c>
    </row>
    <row r="542" hidden="1">
      <c r="A542" s="3"/>
      <c r="B542" s="3"/>
      <c r="C542" s="3"/>
      <c r="D542" s="3"/>
      <c r="E542" s="4" t="s">
        <v>695</v>
      </c>
    </row>
    <row r="543" hidden="1">
      <c r="A543" s="3"/>
      <c r="B543" s="3"/>
      <c r="C543" s="3"/>
      <c r="D543" s="3"/>
      <c r="E543" s="4" t="s">
        <v>696</v>
      </c>
    </row>
    <row r="544" hidden="1">
      <c r="A544" s="3"/>
      <c r="B544" s="3"/>
      <c r="C544" s="3"/>
      <c r="D544" s="3"/>
      <c r="E544" s="4" t="s">
        <v>697</v>
      </c>
    </row>
    <row r="545" hidden="1">
      <c r="A545" s="3"/>
      <c r="B545" s="3"/>
      <c r="C545" s="3"/>
      <c r="D545" s="3"/>
      <c r="E545" s="4" t="s">
        <v>699</v>
      </c>
    </row>
    <row r="546" hidden="1">
      <c r="A546" s="3"/>
      <c r="B546" s="3"/>
      <c r="C546" s="3"/>
      <c r="D546" s="3"/>
      <c r="E546" s="4" t="s">
        <v>700</v>
      </c>
    </row>
    <row r="547" hidden="1">
      <c r="A547" s="3"/>
      <c r="B547" s="3"/>
      <c r="C547" s="3"/>
      <c r="D547" s="3"/>
      <c r="E547" s="4" t="s">
        <v>701</v>
      </c>
    </row>
    <row r="548" hidden="1">
      <c r="A548" s="3"/>
      <c r="B548" s="3"/>
      <c r="C548" s="3"/>
      <c r="D548" s="3"/>
      <c r="E548" s="4" t="s">
        <v>702</v>
      </c>
    </row>
    <row r="549" hidden="1">
      <c r="A549" s="3"/>
      <c r="B549" s="3"/>
      <c r="C549" s="3"/>
      <c r="D549" s="3"/>
      <c r="E549" s="4" t="s">
        <v>704</v>
      </c>
    </row>
    <row r="550" hidden="1">
      <c r="A550" s="3"/>
      <c r="B550" s="3"/>
      <c r="C550" s="3"/>
      <c r="D550" s="3"/>
      <c r="E550" s="4" t="s">
        <v>705</v>
      </c>
    </row>
    <row r="551" hidden="1">
      <c r="A551" s="3"/>
      <c r="B551" s="3"/>
      <c r="C551" s="3"/>
      <c r="D551" s="3"/>
      <c r="E551" s="4" t="s">
        <v>706</v>
      </c>
    </row>
    <row r="552" hidden="1">
      <c r="A552" s="3"/>
      <c r="B552" s="3"/>
      <c r="C552" s="3"/>
      <c r="D552" s="3"/>
      <c r="E552" s="4" t="s">
        <v>707</v>
      </c>
    </row>
    <row r="553" hidden="1">
      <c r="A553" s="3"/>
      <c r="B553" s="3"/>
      <c r="C553" s="3"/>
      <c r="D553" s="3"/>
      <c r="E553" s="4" t="s">
        <v>708</v>
      </c>
    </row>
    <row r="554" hidden="1">
      <c r="A554" s="3"/>
      <c r="B554" s="3"/>
      <c r="C554" s="3"/>
      <c r="D554" s="3"/>
      <c r="E554" s="4" t="s">
        <v>710</v>
      </c>
    </row>
    <row r="555" hidden="1">
      <c r="A555" s="3"/>
      <c r="B555" s="3"/>
      <c r="C555" s="3"/>
      <c r="D555" s="3"/>
      <c r="E555" s="4" t="s">
        <v>711</v>
      </c>
    </row>
    <row r="556" hidden="1">
      <c r="A556" s="3"/>
      <c r="B556" s="3"/>
      <c r="C556" s="3"/>
      <c r="D556" s="3"/>
      <c r="E556" s="4" t="s">
        <v>712</v>
      </c>
    </row>
    <row r="557" hidden="1">
      <c r="A557" s="3"/>
      <c r="B557" s="3"/>
      <c r="C557" s="3"/>
      <c r="D557" s="3"/>
      <c r="E557" s="4" t="s">
        <v>713</v>
      </c>
    </row>
    <row r="558" hidden="1">
      <c r="A558" s="3"/>
      <c r="B558" s="3"/>
      <c r="C558" s="3"/>
      <c r="D558" s="3"/>
      <c r="E558" s="4" t="s">
        <v>714</v>
      </c>
    </row>
    <row r="559" hidden="1">
      <c r="A559" s="3"/>
      <c r="B559" s="3"/>
      <c r="C559" s="3"/>
      <c r="D559" s="3"/>
      <c r="E559" s="4" t="s">
        <v>715</v>
      </c>
    </row>
    <row r="560" hidden="1">
      <c r="A560" s="3"/>
      <c r="B560" s="3"/>
      <c r="C560" s="3"/>
      <c r="D560" s="3"/>
      <c r="E560" s="4" t="s">
        <v>717</v>
      </c>
    </row>
    <row r="561" hidden="1">
      <c r="A561" s="3"/>
      <c r="B561" s="3"/>
      <c r="C561" s="3"/>
      <c r="D561" s="3"/>
      <c r="E561" s="4" t="s">
        <v>718</v>
      </c>
    </row>
    <row r="562" hidden="1">
      <c r="A562" s="3"/>
      <c r="B562" s="3"/>
      <c r="C562" s="3"/>
      <c r="D562" s="3"/>
      <c r="E562" s="4" t="s">
        <v>719</v>
      </c>
    </row>
    <row r="563" hidden="1">
      <c r="A563" s="3"/>
      <c r="B563" s="3"/>
      <c r="C563" s="3"/>
      <c r="D563" s="3"/>
      <c r="E563" s="4" t="s">
        <v>720</v>
      </c>
    </row>
    <row r="564" hidden="1">
      <c r="A564" s="3"/>
      <c r="B564" s="3"/>
      <c r="C564" s="3"/>
      <c r="D564" s="3"/>
      <c r="E564" s="4" t="s">
        <v>721</v>
      </c>
    </row>
    <row r="565" hidden="1">
      <c r="A565" s="3"/>
      <c r="B565" s="3"/>
      <c r="C565" s="3"/>
      <c r="D565" s="3"/>
      <c r="E565" s="4" t="s">
        <v>722</v>
      </c>
    </row>
    <row r="566" hidden="1">
      <c r="A566" s="3"/>
      <c r="B566" s="3"/>
      <c r="C566" s="3"/>
      <c r="D566" s="3"/>
      <c r="E566" s="4" t="s">
        <v>723</v>
      </c>
    </row>
    <row r="567" hidden="1">
      <c r="A567" s="3"/>
      <c r="B567" s="3"/>
      <c r="C567" s="3"/>
      <c r="D567" s="3"/>
      <c r="E567" s="4" t="s">
        <v>724</v>
      </c>
    </row>
    <row r="568" hidden="1">
      <c r="A568" s="3"/>
      <c r="B568" s="3"/>
      <c r="C568" s="3"/>
      <c r="D568" s="3"/>
      <c r="E568" s="4" t="s">
        <v>725</v>
      </c>
    </row>
    <row r="569" hidden="1">
      <c r="A569" s="3"/>
      <c r="B569" s="3"/>
      <c r="C569" s="3"/>
      <c r="D569" s="3"/>
      <c r="E569" s="4" t="s">
        <v>726</v>
      </c>
    </row>
    <row r="570" hidden="1">
      <c r="A570" s="3"/>
      <c r="B570" s="3"/>
      <c r="C570" s="3"/>
      <c r="D570" s="3"/>
      <c r="E570" s="4" t="s">
        <v>727</v>
      </c>
    </row>
    <row r="571" hidden="1">
      <c r="A571" s="3"/>
      <c r="B571" s="3"/>
      <c r="C571" s="3"/>
      <c r="D571" s="3"/>
      <c r="E571" s="4" t="s">
        <v>729</v>
      </c>
    </row>
    <row r="572" hidden="1">
      <c r="A572" s="3"/>
      <c r="B572" s="3"/>
      <c r="C572" s="3"/>
      <c r="D572" s="3"/>
      <c r="E572" s="4" t="s">
        <v>730</v>
      </c>
    </row>
    <row r="573" hidden="1">
      <c r="A573" s="3"/>
      <c r="B573" s="3"/>
      <c r="C573" s="3"/>
      <c r="D573" s="3"/>
      <c r="E573" s="4" t="s">
        <v>731</v>
      </c>
    </row>
    <row r="574" hidden="1">
      <c r="A574" s="3"/>
      <c r="B574" s="3"/>
      <c r="C574" s="3"/>
      <c r="D574" s="3"/>
      <c r="E574" s="4" t="s">
        <v>732</v>
      </c>
    </row>
    <row r="575" hidden="1">
      <c r="A575" s="3"/>
      <c r="B575" s="3"/>
      <c r="C575" s="3"/>
      <c r="D575" s="3"/>
      <c r="E575" s="4" t="s">
        <v>733</v>
      </c>
    </row>
    <row r="576" hidden="1">
      <c r="A576" s="3"/>
      <c r="B576" s="3"/>
      <c r="C576" s="3"/>
      <c r="D576" s="3"/>
      <c r="E576" s="4" t="s">
        <v>734</v>
      </c>
    </row>
    <row r="577" hidden="1">
      <c r="A577" s="3"/>
      <c r="B577" s="3"/>
      <c r="C577" s="3"/>
      <c r="D577" s="3"/>
      <c r="E577" s="4" t="s">
        <v>736</v>
      </c>
    </row>
    <row r="578" hidden="1">
      <c r="A578" s="3"/>
      <c r="B578" s="3"/>
      <c r="C578" s="3"/>
      <c r="D578" s="3"/>
      <c r="E578" s="4" t="s">
        <v>737</v>
      </c>
    </row>
    <row r="579" hidden="1">
      <c r="A579" s="3"/>
      <c r="B579" s="3"/>
      <c r="C579" s="3"/>
      <c r="D579" s="3"/>
      <c r="E579" s="4" t="s">
        <v>738</v>
      </c>
    </row>
    <row r="580" hidden="1">
      <c r="A580" s="3"/>
      <c r="B580" s="3"/>
      <c r="C580" s="3"/>
      <c r="D580" s="3"/>
      <c r="E580" s="4" t="s">
        <v>739</v>
      </c>
    </row>
    <row r="581" hidden="1">
      <c r="A581" s="3"/>
      <c r="B581" s="3"/>
      <c r="C581" s="3"/>
      <c r="D581" s="3"/>
      <c r="E581" s="4" t="s">
        <v>740</v>
      </c>
    </row>
    <row r="582" hidden="1">
      <c r="A582" s="3"/>
      <c r="B582" s="3"/>
      <c r="C582" s="3"/>
      <c r="D582" s="3"/>
      <c r="E582" s="4" t="s">
        <v>741</v>
      </c>
    </row>
    <row r="583" hidden="1">
      <c r="A583" s="3"/>
      <c r="B583" s="3"/>
      <c r="C583" s="3"/>
      <c r="D583" s="3"/>
      <c r="E583" s="4" t="s">
        <v>742</v>
      </c>
    </row>
    <row r="584" hidden="1">
      <c r="A584" s="3"/>
      <c r="B584" s="3"/>
      <c r="C584" s="3"/>
      <c r="D584" s="3"/>
      <c r="E584" s="4" t="s">
        <v>744</v>
      </c>
    </row>
    <row r="585" hidden="1">
      <c r="A585" s="3"/>
      <c r="B585" s="3"/>
      <c r="C585" s="3"/>
      <c r="D585" s="3"/>
      <c r="E585" s="4" t="s">
        <v>745</v>
      </c>
    </row>
    <row r="586" hidden="1">
      <c r="A586" s="3"/>
      <c r="B586" s="3"/>
      <c r="C586" s="3"/>
      <c r="D586" s="3"/>
      <c r="E586" s="4" t="s">
        <v>746</v>
      </c>
    </row>
    <row r="587" hidden="1">
      <c r="A587" s="3"/>
      <c r="B587" s="3"/>
      <c r="C587" s="3"/>
      <c r="D587" s="3"/>
      <c r="E587" s="4" t="s">
        <v>747</v>
      </c>
    </row>
    <row r="588" hidden="1">
      <c r="A588" s="3"/>
      <c r="B588" s="3"/>
      <c r="C588" s="3"/>
      <c r="D588" s="3"/>
      <c r="E588" s="4" t="s">
        <v>748</v>
      </c>
    </row>
    <row r="589" hidden="1">
      <c r="A589" s="3"/>
      <c r="B589" s="3"/>
      <c r="C589" s="3"/>
      <c r="D589" s="3"/>
      <c r="E589" s="4" t="s">
        <v>749</v>
      </c>
    </row>
    <row r="590" hidden="1">
      <c r="A590" s="3"/>
      <c r="B590" s="3"/>
      <c r="C590" s="3"/>
      <c r="D590" s="3"/>
      <c r="E590" s="4" t="s">
        <v>750</v>
      </c>
    </row>
    <row r="591" hidden="1">
      <c r="A591" s="3"/>
      <c r="B591" s="3"/>
      <c r="C591" s="3"/>
      <c r="D591" s="3"/>
      <c r="E591" s="4" t="s">
        <v>752</v>
      </c>
    </row>
    <row r="592" hidden="1">
      <c r="A592" s="3"/>
      <c r="B592" s="3"/>
      <c r="C592" s="3"/>
      <c r="D592" s="3"/>
      <c r="E592" s="4" t="s">
        <v>753</v>
      </c>
    </row>
    <row r="593" hidden="1">
      <c r="A593" s="3"/>
      <c r="B593" s="3"/>
      <c r="C593" s="3"/>
      <c r="D593" s="3"/>
      <c r="E593" s="4" t="s">
        <v>754</v>
      </c>
    </row>
    <row r="594" hidden="1">
      <c r="A594" s="3"/>
      <c r="B594" s="3"/>
      <c r="C594" s="3"/>
      <c r="D594" s="3"/>
      <c r="E594" s="4" t="s">
        <v>755</v>
      </c>
    </row>
    <row r="595" hidden="1">
      <c r="A595" s="3"/>
      <c r="B595" s="3"/>
      <c r="C595" s="3"/>
      <c r="D595" s="3"/>
      <c r="E595" s="4" t="s">
        <v>756</v>
      </c>
    </row>
    <row r="596" hidden="1">
      <c r="A596" s="3"/>
      <c r="B596" s="3"/>
      <c r="C596" s="3"/>
      <c r="D596" s="3"/>
      <c r="E596" s="4" t="s">
        <v>757</v>
      </c>
    </row>
    <row r="597" hidden="1">
      <c r="A597" s="3"/>
      <c r="B597" s="3"/>
      <c r="C597" s="3"/>
      <c r="D597" s="3"/>
      <c r="E597" s="4" t="s">
        <v>759</v>
      </c>
    </row>
    <row r="598" hidden="1">
      <c r="A598" s="3"/>
      <c r="B598" s="3"/>
      <c r="C598" s="3"/>
      <c r="D598" s="3"/>
      <c r="E598" s="4" t="s">
        <v>760</v>
      </c>
    </row>
    <row r="599" hidden="1">
      <c r="A599" s="3"/>
      <c r="B599" s="3"/>
      <c r="C599" s="3"/>
      <c r="D599" s="3"/>
      <c r="E599" s="4" t="s">
        <v>761</v>
      </c>
    </row>
    <row r="600" hidden="1">
      <c r="A600" s="3"/>
      <c r="B600" s="3"/>
      <c r="C600" s="3"/>
      <c r="D600" s="3"/>
      <c r="E600" s="4" t="s">
        <v>762</v>
      </c>
    </row>
    <row r="601" hidden="1">
      <c r="A601" s="3"/>
      <c r="B601" s="3"/>
      <c r="C601" s="3"/>
      <c r="D601" s="3"/>
      <c r="E601" s="4" t="s">
        <v>763</v>
      </c>
    </row>
    <row r="602" hidden="1">
      <c r="A602" s="3"/>
      <c r="B602" s="3"/>
      <c r="C602" s="3"/>
      <c r="D602" s="3"/>
      <c r="E602" s="4" t="s">
        <v>764</v>
      </c>
    </row>
    <row r="603" hidden="1">
      <c r="A603" s="3"/>
      <c r="B603" s="3"/>
      <c r="C603" s="3"/>
      <c r="D603" s="3"/>
      <c r="E603" s="4" t="s">
        <v>766</v>
      </c>
    </row>
    <row r="604" hidden="1">
      <c r="A604" s="3"/>
      <c r="B604" s="3"/>
      <c r="C604" s="3"/>
      <c r="D604" s="3"/>
      <c r="E604" s="4" t="s">
        <v>767</v>
      </c>
    </row>
    <row r="605" hidden="1">
      <c r="A605" s="3"/>
      <c r="B605" s="3"/>
      <c r="C605" s="3"/>
      <c r="D605" s="3"/>
      <c r="E605" s="4" t="s">
        <v>768</v>
      </c>
    </row>
    <row r="606" hidden="1">
      <c r="A606" s="3"/>
      <c r="B606" s="3"/>
      <c r="C606" s="3"/>
      <c r="D606" s="3"/>
      <c r="E606" s="4" t="s">
        <v>770</v>
      </c>
    </row>
    <row r="607" hidden="1">
      <c r="A607" s="3"/>
      <c r="B607" s="3"/>
      <c r="C607" s="3"/>
      <c r="D607" s="3"/>
      <c r="E607" s="4" t="s">
        <v>771</v>
      </c>
    </row>
    <row r="608" hidden="1">
      <c r="A608" s="3"/>
      <c r="B608" s="3"/>
      <c r="C608" s="3"/>
      <c r="D608" s="3"/>
      <c r="E608" s="4" t="s">
        <v>772</v>
      </c>
    </row>
    <row r="609" hidden="1">
      <c r="A609" s="3"/>
      <c r="B609" s="3"/>
      <c r="C609" s="3"/>
      <c r="D609" s="3"/>
      <c r="E609" s="4" t="s">
        <v>773</v>
      </c>
    </row>
    <row r="610" hidden="1">
      <c r="A610" s="3"/>
      <c r="B610" s="3"/>
      <c r="C610" s="3"/>
      <c r="D610" s="3"/>
      <c r="E610" s="4" t="s">
        <v>774</v>
      </c>
    </row>
    <row r="611" hidden="1">
      <c r="A611" s="3"/>
      <c r="B611" s="3"/>
      <c r="C611" s="3"/>
      <c r="D611" s="3"/>
      <c r="E611" s="4" t="s">
        <v>775</v>
      </c>
    </row>
    <row r="612" hidden="1">
      <c r="A612" s="3"/>
      <c r="B612" s="3"/>
      <c r="C612" s="3"/>
      <c r="D612" s="3"/>
      <c r="E612" s="4" t="s">
        <v>777</v>
      </c>
    </row>
    <row r="613" hidden="1">
      <c r="A613" s="3"/>
      <c r="B613" s="3"/>
      <c r="C613" s="3"/>
      <c r="D613" s="3"/>
      <c r="E613" s="4" t="s">
        <v>778</v>
      </c>
    </row>
    <row r="614" hidden="1">
      <c r="A614" s="3"/>
      <c r="B614" s="3"/>
      <c r="C614" s="3"/>
      <c r="D614" s="3"/>
      <c r="E614" s="4" t="s">
        <v>779</v>
      </c>
    </row>
    <row r="615" hidden="1">
      <c r="A615" s="3"/>
      <c r="B615" s="3"/>
      <c r="C615" s="3"/>
      <c r="D615" s="3"/>
      <c r="E615" s="4" t="s">
        <v>780</v>
      </c>
    </row>
    <row r="616" hidden="1">
      <c r="A616" s="3"/>
      <c r="B616" s="3"/>
      <c r="C616" s="3"/>
      <c r="D616" s="3"/>
      <c r="E616" s="4" t="s">
        <v>781</v>
      </c>
    </row>
    <row r="617" hidden="1">
      <c r="A617" s="3"/>
      <c r="B617" s="3"/>
      <c r="C617" s="3"/>
      <c r="D617" s="3"/>
      <c r="E617" s="4" t="s">
        <v>782</v>
      </c>
    </row>
    <row r="618" hidden="1">
      <c r="A618" s="3"/>
      <c r="B618" s="3"/>
      <c r="C618" s="3"/>
      <c r="D618" s="3"/>
      <c r="E618" s="4" t="s">
        <v>783</v>
      </c>
    </row>
    <row r="619" hidden="1">
      <c r="A619" s="3"/>
      <c r="B619" s="3"/>
      <c r="C619" s="3"/>
      <c r="D619" s="3"/>
      <c r="E619" s="4" t="s">
        <v>785</v>
      </c>
    </row>
    <row r="620" hidden="1">
      <c r="A620" s="3"/>
      <c r="B620" s="3"/>
      <c r="C620" s="3"/>
      <c r="D620" s="3"/>
      <c r="E620" s="4" t="s">
        <v>786</v>
      </c>
    </row>
    <row r="621" hidden="1">
      <c r="A621" s="3"/>
      <c r="B621" s="3"/>
      <c r="C621" s="3"/>
      <c r="D621" s="3"/>
      <c r="E621" s="4" t="s">
        <v>787</v>
      </c>
    </row>
    <row r="622" hidden="1">
      <c r="A622" s="3"/>
      <c r="B622" s="3"/>
      <c r="C622" s="3"/>
      <c r="D622" s="3"/>
      <c r="E622" s="4" t="s">
        <v>788</v>
      </c>
    </row>
    <row r="623" hidden="1">
      <c r="A623" s="3"/>
      <c r="B623" s="3"/>
      <c r="C623" s="3"/>
      <c r="D623" s="3"/>
      <c r="E623" s="4" t="s">
        <v>789</v>
      </c>
    </row>
    <row r="624" hidden="1">
      <c r="A624" s="3"/>
      <c r="B624" s="3"/>
      <c r="C624" s="3"/>
      <c r="D624" s="3"/>
      <c r="E624" s="4" t="s">
        <v>790</v>
      </c>
    </row>
    <row r="625" hidden="1">
      <c r="A625" s="3"/>
      <c r="B625" s="3"/>
      <c r="C625" s="3"/>
      <c r="D625" s="3"/>
      <c r="E625" s="4" t="s">
        <v>792</v>
      </c>
    </row>
    <row r="626" hidden="1">
      <c r="A626" s="3"/>
      <c r="B626" s="3"/>
      <c r="C626" s="3"/>
      <c r="D626" s="3"/>
      <c r="E626" s="4" t="s">
        <v>793</v>
      </c>
    </row>
    <row r="627" hidden="1">
      <c r="A627" s="3"/>
      <c r="B627" s="3"/>
      <c r="C627" s="3"/>
      <c r="D627" s="3"/>
      <c r="E627" s="4" t="s">
        <v>794</v>
      </c>
    </row>
    <row r="628" hidden="1">
      <c r="A628" s="3"/>
      <c r="B628" s="3"/>
      <c r="C628" s="3"/>
      <c r="D628" s="3"/>
      <c r="E628" s="4" t="s">
        <v>795</v>
      </c>
    </row>
    <row r="629" hidden="1">
      <c r="A629" s="3"/>
      <c r="B629" s="3"/>
      <c r="C629" s="3"/>
      <c r="D629" s="3"/>
      <c r="E629" s="4" t="s">
        <v>796</v>
      </c>
    </row>
    <row r="630" hidden="1">
      <c r="A630" s="3"/>
      <c r="B630" s="3"/>
      <c r="C630" s="3"/>
      <c r="D630" s="3"/>
      <c r="E630" s="4" t="s">
        <v>797</v>
      </c>
    </row>
    <row r="631" hidden="1">
      <c r="A631" s="3"/>
      <c r="B631" s="3"/>
      <c r="C631" s="3"/>
      <c r="D631" s="3"/>
      <c r="E631" s="4" t="s">
        <v>798</v>
      </c>
    </row>
    <row r="632" hidden="1">
      <c r="A632" s="3"/>
      <c r="B632" s="3"/>
      <c r="C632" s="3"/>
      <c r="D632" s="3"/>
      <c r="E632" s="4" t="s">
        <v>800</v>
      </c>
    </row>
    <row r="633" hidden="1">
      <c r="A633" s="3"/>
      <c r="B633" s="3"/>
      <c r="C633" s="3"/>
      <c r="D633" s="3"/>
      <c r="E633" s="4" t="s">
        <v>801</v>
      </c>
    </row>
    <row r="634" hidden="1">
      <c r="A634" s="3"/>
      <c r="B634" s="3"/>
      <c r="C634" s="3"/>
      <c r="D634" s="3"/>
      <c r="E634" s="4" t="s">
        <v>802</v>
      </c>
    </row>
    <row r="635" hidden="1">
      <c r="A635" s="3"/>
      <c r="B635" s="3"/>
      <c r="C635" s="3"/>
      <c r="D635" s="3"/>
      <c r="E635" s="4" t="s">
        <v>803</v>
      </c>
    </row>
    <row r="636" hidden="1">
      <c r="A636" s="3"/>
      <c r="B636" s="3"/>
      <c r="C636" s="3"/>
      <c r="D636" s="3"/>
      <c r="E636" s="4" t="s">
        <v>804</v>
      </c>
    </row>
    <row r="637" hidden="1">
      <c r="A637" s="3"/>
      <c r="B637" s="3"/>
      <c r="C637" s="3"/>
      <c r="D637" s="3"/>
      <c r="E637" s="4" t="s">
        <v>805</v>
      </c>
    </row>
    <row r="638" hidden="1">
      <c r="A638" s="3"/>
      <c r="B638" s="3"/>
      <c r="C638" s="3"/>
      <c r="D638" s="3"/>
      <c r="E638" s="4" t="s">
        <v>807</v>
      </c>
    </row>
    <row r="639" hidden="1">
      <c r="A639" s="3"/>
      <c r="B639" s="3"/>
      <c r="C639" s="3"/>
      <c r="D639" s="3"/>
      <c r="E639" s="4" t="s">
        <v>808</v>
      </c>
    </row>
    <row r="640" hidden="1">
      <c r="A640" s="3"/>
      <c r="B640" s="3"/>
      <c r="C640" s="3"/>
      <c r="D640" s="3"/>
      <c r="E640" s="4" t="s">
        <v>809</v>
      </c>
    </row>
    <row r="641" hidden="1">
      <c r="A641" s="3"/>
      <c r="B641" s="3"/>
      <c r="C641" s="3"/>
      <c r="D641" s="3"/>
      <c r="E641" s="4" t="s">
        <v>810</v>
      </c>
    </row>
    <row r="642" hidden="1">
      <c r="A642" s="3"/>
      <c r="B642" s="3"/>
      <c r="C642" s="3"/>
      <c r="D642" s="3"/>
      <c r="E642" s="4" t="s">
        <v>811</v>
      </c>
    </row>
    <row r="643" hidden="1">
      <c r="A643" s="3"/>
      <c r="B643" s="3"/>
      <c r="C643" s="3"/>
      <c r="D643" s="3"/>
      <c r="E643" s="4" t="s">
        <v>812</v>
      </c>
    </row>
    <row r="644" hidden="1">
      <c r="A644" s="3"/>
      <c r="B644" s="3"/>
      <c r="C644" s="3"/>
      <c r="D644" s="3"/>
      <c r="E644" s="4" t="s">
        <v>814</v>
      </c>
    </row>
    <row r="645" hidden="1">
      <c r="A645" s="3"/>
      <c r="B645" s="3"/>
      <c r="C645" s="3"/>
      <c r="D645" s="3"/>
      <c r="E645" s="4" t="s">
        <v>815</v>
      </c>
    </row>
    <row r="646" hidden="1">
      <c r="A646" s="3"/>
      <c r="B646" s="3"/>
      <c r="C646" s="3"/>
      <c r="D646" s="3"/>
      <c r="E646" s="4" t="s">
        <v>816</v>
      </c>
    </row>
    <row r="647" hidden="1">
      <c r="A647" s="3"/>
      <c r="B647" s="3"/>
      <c r="C647" s="3"/>
      <c r="D647" s="3"/>
      <c r="E647" s="4" t="s">
        <v>817</v>
      </c>
    </row>
    <row r="648" hidden="1">
      <c r="A648" s="3"/>
      <c r="B648" s="3"/>
      <c r="C648" s="3"/>
      <c r="D648" s="3"/>
      <c r="E648" s="4" t="s">
        <v>818</v>
      </c>
    </row>
    <row r="649" hidden="1">
      <c r="A649" s="3"/>
      <c r="B649" s="3"/>
      <c r="C649" s="3"/>
      <c r="D649" s="3"/>
      <c r="E649" s="4" t="s">
        <v>820</v>
      </c>
    </row>
    <row r="650" hidden="1">
      <c r="A650" s="3"/>
      <c r="B650" s="3"/>
      <c r="C650" s="3"/>
      <c r="D650" s="3"/>
      <c r="E650" s="4" t="s">
        <v>821</v>
      </c>
    </row>
    <row r="651" hidden="1">
      <c r="A651" s="3"/>
      <c r="B651" s="3"/>
      <c r="C651" s="3"/>
      <c r="D651" s="3"/>
      <c r="E651" s="4" t="s">
        <v>822</v>
      </c>
    </row>
    <row r="652" hidden="1">
      <c r="A652" s="3"/>
      <c r="B652" s="3"/>
      <c r="C652" s="3"/>
      <c r="D652" s="3"/>
      <c r="E652" s="4" t="s">
        <v>823</v>
      </c>
    </row>
    <row r="653" hidden="1">
      <c r="A653" s="3"/>
      <c r="B653" s="3"/>
      <c r="C653" s="3"/>
      <c r="D653" s="3"/>
      <c r="E653" s="4" t="s">
        <v>825</v>
      </c>
    </row>
    <row r="654" hidden="1">
      <c r="A654" s="3"/>
      <c r="B654" s="3"/>
      <c r="C654" s="3"/>
      <c r="D654" s="3"/>
      <c r="E654" s="4" t="s">
        <v>826</v>
      </c>
    </row>
    <row r="655" hidden="1">
      <c r="A655" s="3"/>
      <c r="B655" s="3"/>
      <c r="C655" s="3"/>
      <c r="D655" s="3"/>
      <c r="E655" s="4" t="s">
        <v>827</v>
      </c>
    </row>
    <row r="656" hidden="1">
      <c r="A656" s="3"/>
      <c r="B656" s="3"/>
      <c r="C656" s="3"/>
      <c r="D656" s="3"/>
      <c r="E656" s="4" t="s">
        <v>828</v>
      </c>
    </row>
    <row r="657" hidden="1">
      <c r="A657" s="3"/>
      <c r="B657" s="3"/>
      <c r="C657" s="3"/>
      <c r="D657" s="3"/>
      <c r="E657" s="4" t="s">
        <v>829</v>
      </c>
    </row>
    <row r="658" hidden="1">
      <c r="A658" s="3"/>
      <c r="B658" s="3"/>
      <c r="C658" s="3"/>
      <c r="D658" s="3"/>
      <c r="E658" s="4" t="s">
        <v>831</v>
      </c>
    </row>
    <row r="659" hidden="1">
      <c r="A659" s="3"/>
      <c r="B659" s="3"/>
      <c r="C659" s="3"/>
      <c r="D659" s="3"/>
      <c r="E659" s="4" t="s">
        <v>832</v>
      </c>
    </row>
    <row r="660" hidden="1">
      <c r="A660" s="3"/>
      <c r="B660" s="3"/>
      <c r="C660" s="3"/>
      <c r="D660" s="3"/>
      <c r="E660" s="4" t="s">
        <v>833</v>
      </c>
    </row>
    <row r="661" hidden="1">
      <c r="A661" s="3"/>
      <c r="B661" s="3"/>
      <c r="C661" s="3"/>
      <c r="D661" s="3"/>
      <c r="E661" s="4" t="s">
        <v>834</v>
      </c>
    </row>
    <row r="662" hidden="1">
      <c r="A662" s="3"/>
      <c r="B662" s="3"/>
      <c r="C662" s="3"/>
      <c r="D662" s="3"/>
      <c r="E662" s="4" t="s">
        <v>835</v>
      </c>
    </row>
    <row r="663" hidden="1">
      <c r="A663" s="3"/>
      <c r="B663" s="3"/>
      <c r="C663" s="3"/>
      <c r="D663" s="3"/>
      <c r="E663" s="4" t="s">
        <v>837</v>
      </c>
    </row>
    <row r="664" hidden="1">
      <c r="A664" s="3"/>
      <c r="B664" s="3"/>
      <c r="C664" s="3"/>
      <c r="D664" s="3"/>
      <c r="E664" s="4" t="s">
        <v>838</v>
      </c>
    </row>
    <row r="665" hidden="1">
      <c r="A665" s="3"/>
      <c r="B665" s="3"/>
      <c r="C665" s="3"/>
      <c r="D665" s="3"/>
      <c r="E665" s="4" t="s">
        <v>839</v>
      </c>
    </row>
    <row r="666" hidden="1">
      <c r="A666" s="3"/>
      <c r="B666" s="3"/>
      <c r="C666" s="3"/>
      <c r="D666" s="3"/>
      <c r="E666" s="4" t="s">
        <v>840</v>
      </c>
    </row>
    <row r="667" hidden="1">
      <c r="A667" s="3"/>
      <c r="B667" s="3"/>
      <c r="C667" s="3"/>
      <c r="D667" s="3"/>
      <c r="E667" s="4" t="s">
        <v>841</v>
      </c>
    </row>
    <row r="668" hidden="1">
      <c r="A668" s="3"/>
      <c r="B668" s="3"/>
      <c r="C668" s="3"/>
      <c r="D668" s="3"/>
      <c r="E668" s="4" t="s">
        <v>843</v>
      </c>
    </row>
    <row r="669" hidden="1">
      <c r="A669" s="3"/>
      <c r="B669" s="3"/>
      <c r="C669" s="3"/>
      <c r="D669" s="3"/>
      <c r="E669" s="4" t="s">
        <v>844</v>
      </c>
    </row>
    <row r="670" hidden="1">
      <c r="A670" s="3"/>
      <c r="B670" s="3"/>
      <c r="C670" s="3"/>
      <c r="D670" s="3"/>
      <c r="E670" s="4" t="s">
        <v>845</v>
      </c>
    </row>
    <row r="671" hidden="1">
      <c r="A671" s="3"/>
      <c r="B671" s="3"/>
      <c r="C671" s="3"/>
      <c r="D671" s="3"/>
      <c r="E671" s="4" t="s">
        <v>846</v>
      </c>
    </row>
    <row r="672" hidden="1">
      <c r="A672" s="3"/>
      <c r="B672" s="3"/>
      <c r="C672" s="3"/>
      <c r="D672" s="3"/>
      <c r="E672" s="4" t="s">
        <v>848</v>
      </c>
    </row>
    <row r="673" hidden="1">
      <c r="A673" s="3"/>
      <c r="B673" s="3"/>
      <c r="C673" s="3"/>
      <c r="D673" s="3"/>
      <c r="E673" s="4" t="s">
        <v>849</v>
      </c>
    </row>
    <row r="674" hidden="1">
      <c r="A674" s="3"/>
      <c r="B674" s="3"/>
      <c r="C674" s="3"/>
      <c r="D674" s="3"/>
      <c r="E674" s="4" t="s">
        <v>850</v>
      </c>
    </row>
    <row r="675" hidden="1">
      <c r="A675" s="3"/>
      <c r="B675" s="3"/>
      <c r="C675" s="3"/>
      <c r="D675" s="3"/>
      <c r="E675" s="4" t="s">
        <v>851</v>
      </c>
    </row>
    <row r="676" hidden="1">
      <c r="A676" s="3"/>
      <c r="B676" s="3"/>
      <c r="C676" s="3"/>
      <c r="D676" s="3"/>
      <c r="E676" s="4" t="s">
        <v>852</v>
      </c>
    </row>
    <row r="677" hidden="1">
      <c r="A677" s="3"/>
      <c r="B677" s="3"/>
      <c r="C677" s="3"/>
      <c r="D677" s="3"/>
      <c r="E677" s="4" t="s">
        <v>854</v>
      </c>
    </row>
    <row r="678" hidden="1">
      <c r="A678" s="3"/>
      <c r="B678" s="3"/>
      <c r="C678" s="3"/>
      <c r="D678" s="3"/>
      <c r="E678" s="4" t="s">
        <v>856</v>
      </c>
    </row>
    <row r="679" hidden="1">
      <c r="A679" s="3"/>
      <c r="B679" s="3"/>
      <c r="C679" s="3"/>
      <c r="D679" s="3"/>
      <c r="E679" s="4" t="s">
        <v>857</v>
      </c>
    </row>
    <row r="680" hidden="1">
      <c r="A680" s="3"/>
      <c r="B680" s="3"/>
      <c r="C680" s="3"/>
      <c r="D680" s="3"/>
      <c r="E680" s="4" t="s">
        <v>858</v>
      </c>
    </row>
    <row r="681" hidden="1">
      <c r="A681" s="3"/>
      <c r="B681" s="3"/>
      <c r="C681" s="3"/>
      <c r="D681" s="3"/>
      <c r="E681" s="4" t="s">
        <v>859</v>
      </c>
    </row>
    <row r="682" hidden="1">
      <c r="A682" s="3"/>
      <c r="B682" s="3"/>
      <c r="C682" s="3"/>
      <c r="D682" s="3"/>
      <c r="E682" s="4" t="s">
        <v>860</v>
      </c>
    </row>
    <row r="683" hidden="1">
      <c r="A683" s="3"/>
      <c r="B683" s="3"/>
      <c r="C683" s="3"/>
      <c r="D683" s="3"/>
      <c r="E683" s="4" t="s">
        <v>862</v>
      </c>
    </row>
    <row r="684" hidden="1">
      <c r="A684" s="3"/>
      <c r="B684" s="3"/>
      <c r="C684" s="3"/>
      <c r="D684" s="3"/>
      <c r="E684" s="4" t="s">
        <v>863</v>
      </c>
    </row>
    <row r="685" hidden="1">
      <c r="A685" s="3"/>
      <c r="B685" s="3"/>
      <c r="C685" s="3"/>
      <c r="D685" s="3"/>
      <c r="E685" s="4" t="s">
        <v>864</v>
      </c>
    </row>
    <row r="686" hidden="1">
      <c r="A686" s="3"/>
      <c r="B686" s="3"/>
      <c r="C686" s="3"/>
      <c r="D686" s="3"/>
      <c r="E686" s="4" t="s">
        <v>865</v>
      </c>
    </row>
    <row r="687" hidden="1">
      <c r="A687" s="3"/>
      <c r="B687" s="3"/>
      <c r="C687" s="3"/>
      <c r="D687" s="3"/>
      <c r="E687" s="4" t="s">
        <v>867</v>
      </c>
    </row>
    <row r="688" hidden="1">
      <c r="A688" s="3"/>
      <c r="B688" s="3"/>
      <c r="C688" s="3"/>
      <c r="D688" s="3"/>
      <c r="E688" s="4" t="s">
        <v>868</v>
      </c>
    </row>
    <row r="689" hidden="1">
      <c r="A689" s="3"/>
      <c r="B689" s="3"/>
      <c r="C689" s="3"/>
      <c r="D689" s="3"/>
      <c r="E689" s="4" t="s">
        <v>869</v>
      </c>
    </row>
    <row r="690" hidden="1">
      <c r="A690" s="3"/>
      <c r="B690" s="3"/>
      <c r="C690" s="3"/>
      <c r="D690" s="3"/>
      <c r="E690" s="4" t="s">
        <v>870</v>
      </c>
    </row>
    <row r="691" hidden="1">
      <c r="A691" s="3"/>
      <c r="B691" s="3"/>
      <c r="C691" s="3"/>
      <c r="D691" s="3"/>
      <c r="E691" s="4" t="s">
        <v>871</v>
      </c>
    </row>
    <row r="692" hidden="1">
      <c r="A692" s="3"/>
      <c r="B692" s="3"/>
      <c r="C692" s="3"/>
      <c r="D692" s="3"/>
      <c r="E692" s="4" t="s">
        <v>872</v>
      </c>
    </row>
    <row r="693" hidden="1">
      <c r="A693" s="3"/>
      <c r="B693" s="3"/>
      <c r="C693" s="3"/>
      <c r="D693" s="3"/>
      <c r="E693" s="4" t="s">
        <v>873</v>
      </c>
    </row>
    <row r="694" hidden="1">
      <c r="A694" s="3"/>
      <c r="B694" s="3"/>
      <c r="C694" s="3"/>
      <c r="D694" s="3"/>
      <c r="E694" s="4" t="s">
        <v>875</v>
      </c>
    </row>
    <row r="695" hidden="1">
      <c r="A695" s="3"/>
      <c r="B695" s="3"/>
      <c r="C695" s="3"/>
      <c r="D695" s="3"/>
      <c r="E695" s="4" t="s">
        <v>876</v>
      </c>
    </row>
    <row r="696" hidden="1">
      <c r="A696" s="3"/>
      <c r="B696" s="3"/>
      <c r="C696" s="3"/>
      <c r="D696" s="3"/>
      <c r="E696" s="4" t="s">
        <v>877</v>
      </c>
    </row>
    <row r="697" hidden="1">
      <c r="A697" s="3"/>
      <c r="B697" s="3"/>
      <c r="C697" s="3"/>
      <c r="D697" s="3"/>
      <c r="E697" s="4" t="s">
        <v>878</v>
      </c>
    </row>
    <row r="698" hidden="1">
      <c r="A698" s="3"/>
      <c r="B698" s="3"/>
      <c r="C698" s="3"/>
      <c r="D698" s="3"/>
      <c r="E698" s="4" t="s">
        <v>879</v>
      </c>
    </row>
    <row r="699" hidden="1">
      <c r="A699" s="3"/>
      <c r="B699" s="3"/>
      <c r="C699" s="3"/>
      <c r="D699" s="3"/>
      <c r="E699" s="4" t="s">
        <v>880</v>
      </c>
    </row>
    <row r="700" hidden="1">
      <c r="A700" s="3"/>
      <c r="B700" s="3"/>
      <c r="C700" s="3"/>
      <c r="D700" s="3"/>
      <c r="E700" s="4" t="s">
        <v>882</v>
      </c>
    </row>
    <row r="701" hidden="1">
      <c r="A701" s="3"/>
      <c r="B701" s="3"/>
      <c r="C701" s="3"/>
      <c r="D701" s="3"/>
      <c r="E701" s="4" t="s">
        <v>883</v>
      </c>
    </row>
    <row r="702" hidden="1">
      <c r="A702" s="3"/>
      <c r="B702" s="3"/>
      <c r="C702" s="3"/>
      <c r="D702" s="3"/>
      <c r="E702" s="4" t="s">
        <v>884</v>
      </c>
    </row>
    <row r="703" hidden="1">
      <c r="A703" s="3"/>
      <c r="B703" s="3"/>
      <c r="C703" s="3"/>
      <c r="D703" s="3"/>
      <c r="E703" s="4" t="s">
        <v>885</v>
      </c>
    </row>
    <row r="704" hidden="1">
      <c r="A704" s="3"/>
      <c r="B704" s="3"/>
      <c r="C704" s="3"/>
      <c r="D704" s="3"/>
      <c r="E704" s="4" t="s">
        <v>886</v>
      </c>
    </row>
    <row r="705" hidden="1">
      <c r="A705" s="3"/>
      <c r="B705" s="3"/>
      <c r="C705" s="3"/>
      <c r="D705" s="3"/>
      <c r="E705" s="4" t="s">
        <v>887</v>
      </c>
    </row>
    <row r="706" hidden="1">
      <c r="A706" s="3"/>
      <c r="B706" s="3"/>
      <c r="C706" s="3"/>
      <c r="D706" s="3"/>
      <c r="E706" s="4" t="s">
        <v>888</v>
      </c>
    </row>
    <row r="707" hidden="1">
      <c r="A707" s="3"/>
      <c r="B707" s="3"/>
      <c r="C707" s="3"/>
      <c r="D707" s="3"/>
      <c r="E707" s="4" t="s">
        <v>890</v>
      </c>
    </row>
    <row r="708" hidden="1">
      <c r="A708" s="3"/>
      <c r="B708" s="3"/>
      <c r="C708" s="3"/>
      <c r="D708" s="3"/>
      <c r="E708" s="4" t="s">
        <v>891</v>
      </c>
    </row>
    <row r="709" hidden="1">
      <c r="A709" s="3"/>
      <c r="B709" s="3"/>
      <c r="C709" s="3"/>
      <c r="D709" s="3"/>
      <c r="E709" s="4" t="s">
        <v>892</v>
      </c>
    </row>
    <row r="710" hidden="1">
      <c r="A710" s="3"/>
      <c r="B710" s="3"/>
      <c r="C710" s="3"/>
      <c r="D710" s="3"/>
      <c r="E710" s="4" t="s">
        <v>893</v>
      </c>
    </row>
    <row r="711" hidden="1">
      <c r="A711" s="3"/>
      <c r="B711" s="3"/>
      <c r="C711" s="3"/>
      <c r="D711" s="3"/>
      <c r="E711" s="4" t="s">
        <v>894</v>
      </c>
    </row>
    <row r="712" hidden="1">
      <c r="A712" s="3"/>
      <c r="B712" s="3"/>
      <c r="C712" s="3"/>
      <c r="D712" s="3"/>
      <c r="E712" s="4" t="s">
        <v>895</v>
      </c>
    </row>
    <row r="713" hidden="1">
      <c r="A713" s="3"/>
      <c r="B713" s="3"/>
      <c r="C713" s="3"/>
      <c r="D713" s="3"/>
      <c r="E713" s="4" t="s">
        <v>896</v>
      </c>
    </row>
    <row r="714" hidden="1">
      <c r="A714" s="3"/>
      <c r="B714" s="3"/>
      <c r="C714" s="3"/>
      <c r="D714" s="3"/>
      <c r="E714" s="4" t="s">
        <v>898</v>
      </c>
    </row>
    <row r="715" hidden="1">
      <c r="A715" s="3"/>
      <c r="B715" s="3"/>
      <c r="C715" s="3"/>
      <c r="D715" s="3"/>
      <c r="E715" s="4" t="s">
        <v>899</v>
      </c>
    </row>
    <row r="716" hidden="1">
      <c r="A716" s="3"/>
      <c r="B716" s="3"/>
      <c r="C716" s="3"/>
      <c r="D716" s="3"/>
      <c r="E716" s="4" t="s">
        <v>900</v>
      </c>
    </row>
    <row r="717" hidden="1">
      <c r="A717" s="3"/>
      <c r="B717" s="3"/>
      <c r="C717" s="3"/>
      <c r="D717" s="3"/>
      <c r="E717" s="4" t="s">
        <v>901</v>
      </c>
    </row>
    <row r="718" hidden="1">
      <c r="A718" s="3"/>
      <c r="B718" s="3"/>
      <c r="C718" s="3"/>
      <c r="D718" s="3"/>
      <c r="E718" s="4" t="s">
        <v>902</v>
      </c>
    </row>
    <row r="719" hidden="1">
      <c r="A719" s="3"/>
      <c r="B719" s="3"/>
      <c r="C719" s="3"/>
      <c r="D719" s="3"/>
      <c r="E719" s="4" t="s">
        <v>903</v>
      </c>
    </row>
    <row r="720" hidden="1">
      <c r="A720" s="3"/>
      <c r="B720" s="3"/>
      <c r="C720" s="3"/>
      <c r="D720" s="3"/>
      <c r="E720" s="4" t="s">
        <v>905</v>
      </c>
    </row>
    <row r="721" hidden="1">
      <c r="A721" s="3"/>
      <c r="B721" s="3"/>
      <c r="C721" s="3"/>
      <c r="D721" s="3"/>
      <c r="E721" s="4" t="s">
        <v>906</v>
      </c>
    </row>
    <row r="722" hidden="1">
      <c r="A722" s="3"/>
      <c r="B722" s="3"/>
      <c r="C722" s="3"/>
      <c r="D722" s="3"/>
      <c r="E722" s="4" t="s">
        <v>907</v>
      </c>
    </row>
    <row r="723" hidden="1">
      <c r="A723" s="3"/>
      <c r="B723" s="3"/>
      <c r="C723" s="3"/>
      <c r="D723" s="3"/>
      <c r="E723" s="4" t="s">
        <v>908</v>
      </c>
    </row>
    <row r="724" hidden="1">
      <c r="A724" s="3"/>
      <c r="B724" s="3"/>
      <c r="C724" s="3"/>
      <c r="D724" s="3"/>
      <c r="E724" s="4" t="s">
        <v>909</v>
      </c>
    </row>
    <row r="725" hidden="1">
      <c r="A725" s="3"/>
      <c r="B725" s="3"/>
      <c r="C725" s="3"/>
      <c r="D725" s="3"/>
      <c r="E725" s="4" t="s">
        <v>910</v>
      </c>
    </row>
    <row r="726" hidden="1">
      <c r="A726" s="3"/>
      <c r="B726" s="3"/>
      <c r="C726" s="3"/>
      <c r="D726" s="3"/>
      <c r="E726" s="4" t="s">
        <v>911</v>
      </c>
    </row>
    <row r="727" hidden="1">
      <c r="A727" s="3"/>
      <c r="B727" s="3"/>
      <c r="C727" s="3"/>
      <c r="D727" s="3"/>
      <c r="E727" s="4" t="s">
        <v>913</v>
      </c>
    </row>
    <row r="728" hidden="1">
      <c r="A728" s="3"/>
      <c r="B728" s="3"/>
      <c r="C728" s="3"/>
      <c r="D728" s="3"/>
      <c r="E728" s="4" t="s">
        <v>914</v>
      </c>
    </row>
    <row r="729" hidden="1">
      <c r="A729" s="3"/>
      <c r="B729" s="3"/>
      <c r="C729" s="3"/>
      <c r="D729" s="3"/>
      <c r="E729" s="4" t="s">
        <v>915</v>
      </c>
    </row>
    <row r="730" hidden="1">
      <c r="A730" s="3"/>
      <c r="B730" s="3"/>
      <c r="C730" s="3"/>
      <c r="D730" s="3"/>
      <c r="E730" s="4" t="s">
        <v>916</v>
      </c>
    </row>
    <row r="731" hidden="1">
      <c r="A731" s="3"/>
      <c r="B731" s="3"/>
      <c r="C731" s="3"/>
      <c r="D731" s="3"/>
      <c r="E731" s="4" t="s">
        <v>917</v>
      </c>
    </row>
    <row r="732" hidden="1">
      <c r="A732" s="3"/>
      <c r="B732" s="3"/>
      <c r="C732" s="3"/>
      <c r="D732" s="3"/>
      <c r="E732" s="4" t="s">
        <v>918</v>
      </c>
    </row>
    <row r="733" hidden="1">
      <c r="A733" s="3"/>
      <c r="B733" s="3"/>
      <c r="C733" s="3"/>
      <c r="D733" s="3"/>
      <c r="E733" s="4" t="s">
        <v>919</v>
      </c>
    </row>
    <row r="734" hidden="1">
      <c r="A734" s="3"/>
      <c r="B734" s="3"/>
      <c r="C734" s="3"/>
      <c r="D734" s="3"/>
      <c r="E734" s="4" t="s">
        <v>920</v>
      </c>
    </row>
    <row r="735" hidden="1">
      <c r="A735" s="3"/>
      <c r="B735" s="3"/>
      <c r="C735" s="3"/>
      <c r="D735" s="3"/>
      <c r="E735" s="4" t="s">
        <v>922</v>
      </c>
    </row>
    <row r="736" hidden="1">
      <c r="A736" s="3"/>
      <c r="B736" s="3"/>
      <c r="C736" s="3"/>
      <c r="D736" s="3"/>
      <c r="E736" s="4" t="s">
        <v>923</v>
      </c>
    </row>
    <row r="737" hidden="1">
      <c r="A737" s="3"/>
      <c r="B737" s="3"/>
      <c r="C737" s="3"/>
      <c r="D737" s="3"/>
      <c r="E737" s="4" t="s">
        <v>924</v>
      </c>
    </row>
    <row r="738" hidden="1">
      <c r="A738" s="3"/>
      <c r="B738" s="3"/>
      <c r="C738" s="3"/>
      <c r="D738" s="3"/>
      <c r="E738" s="4" t="s">
        <v>925</v>
      </c>
    </row>
    <row r="739" hidden="1">
      <c r="A739" s="3"/>
      <c r="B739" s="3"/>
      <c r="C739" s="3"/>
      <c r="D739" s="3"/>
      <c r="E739" s="4" t="s">
        <v>926</v>
      </c>
    </row>
    <row r="740" hidden="1">
      <c r="A740" s="3"/>
      <c r="B740" s="3"/>
      <c r="C740" s="3"/>
      <c r="D740" s="3"/>
      <c r="E740" s="4" t="s">
        <v>927</v>
      </c>
    </row>
    <row r="741" hidden="1">
      <c r="A741" s="3"/>
      <c r="B741" s="3"/>
      <c r="C741" s="3"/>
      <c r="D741" s="3"/>
      <c r="E741" s="4" t="s">
        <v>928</v>
      </c>
    </row>
    <row r="742" hidden="1">
      <c r="A742" s="3"/>
      <c r="B742" s="3"/>
      <c r="C742" s="3"/>
      <c r="D742" s="3"/>
      <c r="E742" s="4" t="s">
        <v>930</v>
      </c>
    </row>
    <row r="743" hidden="1">
      <c r="A743" s="3"/>
      <c r="B743" s="3"/>
      <c r="C743" s="3"/>
      <c r="D743" s="3"/>
      <c r="E743" s="4" t="s">
        <v>931</v>
      </c>
    </row>
    <row r="744" hidden="1">
      <c r="A744" s="3"/>
      <c r="B744" s="3"/>
      <c r="C744" s="3"/>
      <c r="D744" s="3"/>
      <c r="E744" s="4" t="s">
        <v>932</v>
      </c>
    </row>
    <row r="745" hidden="1">
      <c r="A745" s="3"/>
      <c r="B745" s="3"/>
      <c r="C745" s="3"/>
      <c r="D745" s="3"/>
      <c r="E745" s="4" t="s">
        <v>934</v>
      </c>
    </row>
    <row r="746" hidden="1">
      <c r="A746" s="3"/>
      <c r="B746" s="3"/>
      <c r="C746" s="3"/>
      <c r="D746" s="3"/>
      <c r="E746" s="4" t="s">
        <v>935</v>
      </c>
    </row>
    <row r="747" hidden="1">
      <c r="A747" s="3"/>
      <c r="B747" s="3"/>
      <c r="C747" s="3"/>
      <c r="D747" s="3"/>
      <c r="E747" s="4" t="s">
        <v>936</v>
      </c>
    </row>
    <row r="748" hidden="1">
      <c r="A748" s="3"/>
      <c r="B748" s="3"/>
      <c r="C748" s="3"/>
      <c r="D748" s="3"/>
      <c r="E748" s="4" t="s">
        <v>937</v>
      </c>
    </row>
    <row r="749" hidden="1">
      <c r="A749" s="3"/>
      <c r="B749" s="3"/>
      <c r="C749" s="3"/>
      <c r="D749" s="3"/>
      <c r="E749" s="4" t="s">
        <v>938</v>
      </c>
    </row>
    <row r="750" hidden="1">
      <c r="A750" s="3"/>
      <c r="B750" s="3"/>
      <c r="C750" s="3"/>
      <c r="D750" s="3"/>
      <c r="E750" s="4" t="s">
        <v>940</v>
      </c>
    </row>
    <row r="751" hidden="1">
      <c r="A751" s="3"/>
      <c r="B751" s="3"/>
      <c r="C751" s="3"/>
      <c r="D751" s="3"/>
      <c r="E751" s="4" t="s">
        <v>941</v>
      </c>
    </row>
    <row r="752" hidden="1">
      <c r="A752" s="3"/>
      <c r="B752" s="3"/>
      <c r="C752" s="3"/>
      <c r="D752" s="3"/>
      <c r="E752" s="4" t="s">
        <v>942</v>
      </c>
    </row>
    <row r="753" hidden="1">
      <c r="A753" s="3"/>
      <c r="B753" s="3"/>
      <c r="C753" s="3"/>
      <c r="D753" s="3"/>
      <c r="E753" s="4" t="s">
        <v>943</v>
      </c>
    </row>
    <row r="754" hidden="1">
      <c r="A754" s="3"/>
      <c r="B754" s="3"/>
      <c r="C754" s="3"/>
      <c r="D754" s="3"/>
      <c r="E754" s="4" t="s">
        <v>944</v>
      </c>
    </row>
    <row r="755" hidden="1">
      <c r="A755" s="3"/>
      <c r="B755" s="3"/>
      <c r="C755" s="3"/>
      <c r="D755" s="3"/>
      <c r="E755" s="4" t="s">
        <v>946</v>
      </c>
    </row>
    <row r="756" hidden="1">
      <c r="A756" s="3"/>
      <c r="B756" s="3"/>
      <c r="C756" s="3"/>
      <c r="D756" s="3"/>
      <c r="E756" s="4" t="s">
        <v>947</v>
      </c>
    </row>
    <row r="757" hidden="1">
      <c r="A757" s="3"/>
      <c r="B757" s="3"/>
      <c r="C757" s="3"/>
      <c r="D757" s="3"/>
      <c r="E757" s="4" t="s">
        <v>948</v>
      </c>
    </row>
    <row r="758" hidden="1">
      <c r="A758" s="3"/>
      <c r="B758" s="3"/>
      <c r="C758" s="3"/>
      <c r="D758" s="3"/>
      <c r="E758" s="4" t="s">
        <v>949</v>
      </c>
    </row>
    <row r="759" hidden="1">
      <c r="A759" s="3"/>
      <c r="B759" s="3"/>
      <c r="C759" s="3"/>
      <c r="D759" s="3"/>
      <c r="E759" s="4" t="s">
        <v>950</v>
      </c>
    </row>
    <row r="760" hidden="1">
      <c r="A760" s="3"/>
      <c r="B760" s="3"/>
      <c r="C760" s="3"/>
      <c r="D760" s="3"/>
      <c r="E760" s="4" t="s">
        <v>952</v>
      </c>
    </row>
    <row r="761" hidden="1">
      <c r="A761" s="3"/>
      <c r="B761" s="3"/>
      <c r="C761" s="3"/>
      <c r="D761" s="3"/>
      <c r="E761" s="4" t="s">
        <v>953</v>
      </c>
    </row>
    <row r="762" hidden="1">
      <c r="A762" s="3"/>
      <c r="B762" s="3"/>
      <c r="C762" s="3"/>
      <c r="D762" s="3"/>
      <c r="E762" s="4" t="s">
        <v>954</v>
      </c>
    </row>
    <row r="763" hidden="1">
      <c r="A763" s="3"/>
      <c r="B763" s="3"/>
      <c r="C763" s="3"/>
      <c r="D763" s="3"/>
      <c r="E763" s="4" t="s">
        <v>955</v>
      </c>
    </row>
    <row r="764" hidden="1">
      <c r="A764" s="3"/>
      <c r="B764" s="3"/>
      <c r="C764" s="3"/>
      <c r="D764" s="3"/>
      <c r="E764" s="4" t="s">
        <v>956</v>
      </c>
    </row>
    <row r="765" hidden="1">
      <c r="A765" s="3"/>
      <c r="B765" s="3"/>
      <c r="C765" s="3"/>
      <c r="D765" s="3"/>
      <c r="E765" s="4" t="s">
        <v>957</v>
      </c>
    </row>
    <row r="766" hidden="1">
      <c r="A766" s="3"/>
      <c r="B766" s="3"/>
      <c r="C766" s="3"/>
      <c r="D766" s="3"/>
      <c r="E766" s="4" t="s">
        <v>959</v>
      </c>
    </row>
    <row r="767" hidden="1">
      <c r="A767" s="3"/>
      <c r="B767" s="3"/>
      <c r="C767" s="3"/>
      <c r="D767" s="3"/>
      <c r="E767" s="4" t="s">
        <v>960</v>
      </c>
    </row>
    <row r="768" hidden="1">
      <c r="A768" s="3"/>
      <c r="B768" s="3"/>
      <c r="C768" s="3"/>
      <c r="D768" s="3"/>
      <c r="E768" s="4" t="s">
        <v>961</v>
      </c>
    </row>
    <row r="769" hidden="1">
      <c r="A769" s="3"/>
      <c r="B769" s="3"/>
      <c r="C769" s="3"/>
      <c r="D769" s="3"/>
      <c r="E769" s="4" t="s">
        <v>962</v>
      </c>
    </row>
    <row r="770" hidden="1">
      <c r="A770" s="3"/>
      <c r="B770" s="3"/>
      <c r="C770" s="3"/>
      <c r="D770" s="3"/>
      <c r="E770" s="4" t="s">
        <v>964</v>
      </c>
    </row>
    <row r="771" hidden="1">
      <c r="A771" s="3"/>
      <c r="B771" s="3"/>
      <c r="C771" s="3"/>
      <c r="D771" s="3"/>
      <c r="E771" s="4" t="s">
        <v>965</v>
      </c>
    </row>
    <row r="772" hidden="1">
      <c r="A772" s="3"/>
      <c r="B772" s="3"/>
      <c r="C772" s="3"/>
      <c r="D772" s="3"/>
      <c r="E772" s="4" t="s">
        <v>966</v>
      </c>
    </row>
    <row r="773" hidden="1">
      <c r="A773" s="3"/>
      <c r="B773" s="3"/>
      <c r="C773" s="3"/>
      <c r="D773" s="3"/>
      <c r="E773" s="4" t="s">
        <v>967</v>
      </c>
    </row>
    <row r="774" hidden="1">
      <c r="A774" s="3"/>
      <c r="B774" s="3"/>
      <c r="C774" s="3"/>
      <c r="D774" s="3"/>
      <c r="E774" s="4" t="s">
        <v>968</v>
      </c>
    </row>
    <row r="775" hidden="1">
      <c r="A775" s="3"/>
      <c r="B775" s="3"/>
      <c r="C775" s="3"/>
      <c r="D775" s="3"/>
      <c r="E775" s="4" t="s">
        <v>970</v>
      </c>
    </row>
    <row r="776" hidden="1">
      <c r="A776" s="3"/>
      <c r="B776" s="3"/>
      <c r="C776" s="3"/>
      <c r="D776" s="3"/>
      <c r="E776" s="4" t="s">
        <v>971</v>
      </c>
    </row>
    <row r="777" hidden="1">
      <c r="A777" s="3"/>
      <c r="B777" s="3"/>
      <c r="C777" s="3"/>
      <c r="D777" s="3"/>
      <c r="E777" s="4" t="s">
        <v>972</v>
      </c>
    </row>
    <row r="778" hidden="1">
      <c r="A778" s="3"/>
      <c r="B778" s="3"/>
      <c r="C778" s="3"/>
      <c r="D778" s="3"/>
      <c r="E778" s="4" t="s">
        <v>973</v>
      </c>
    </row>
    <row r="779" hidden="1">
      <c r="A779" s="3"/>
      <c r="B779" s="3"/>
      <c r="C779" s="3"/>
      <c r="D779" s="3"/>
      <c r="E779" s="4" t="s">
        <v>974</v>
      </c>
    </row>
    <row r="780" hidden="1">
      <c r="A780" s="3"/>
      <c r="B780" s="3"/>
      <c r="C780" s="3"/>
      <c r="D780" s="3"/>
      <c r="E780" s="4" t="s">
        <v>975</v>
      </c>
    </row>
    <row r="781" hidden="1">
      <c r="A781" s="3"/>
      <c r="B781" s="3"/>
      <c r="C781" s="3"/>
      <c r="D781" s="3"/>
      <c r="E781" s="4" t="s">
        <v>977</v>
      </c>
    </row>
    <row r="782" hidden="1">
      <c r="A782" s="3"/>
      <c r="B782" s="3"/>
      <c r="C782" s="3"/>
      <c r="D782" s="3"/>
      <c r="E782" s="4" t="s">
        <v>978</v>
      </c>
    </row>
    <row r="783" hidden="1">
      <c r="A783" s="3"/>
      <c r="B783" s="3"/>
      <c r="C783" s="3"/>
      <c r="D783" s="3"/>
      <c r="E783" s="4" t="s">
        <v>979</v>
      </c>
    </row>
    <row r="784" hidden="1">
      <c r="A784" s="3"/>
      <c r="B784" s="3"/>
      <c r="C784" s="3"/>
      <c r="D784" s="3"/>
      <c r="E784" s="4" t="s">
        <v>980</v>
      </c>
    </row>
    <row r="785" hidden="1">
      <c r="A785" s="3"/>
      <c r="B785" s="3"/>
      <c r="C785" s="3"/>
      <c r="D785" s="3"/>
      <c r="E785" s="4" t="s">
        <v>981</v>
      </c>
    </row>
    <row r="786" hidden="1">
      <c r="A786" s="3"/>
      <c r="B786" s="3"/>
      <c r="C786" s="3"/>
      <c r="D786" s="3"/>
      <c r="E786" s="4" t="s">
        <v>983</v>
      </c>
    </row>
    <row r="787" hidden="1">
      <c r="A787" s="3"/>
      <c r="B787" s="3"/>
      <c r="C787" s="3"/>
      <c r="D787" s="3"/>
      <c r="E787" s="4" t="s">
        <v>984</v>
      </c>
    </row>
    <row r="788" hidden="1">
      <c r="A788" s="3"/>
      <c r="B788" s="3"/>
      <c r="C788" s="3"/>
      <c r="D788" s="3"/>
      <c r="E788" s="4" t="s">
        <v>985</v>
      </c>
    </row>
    <row r="789" hidden="1">
      <c r="A789" s="3"/>
      <c r="B789" s="3"/>
      <c r="C789" s="3"/>
      <c r="D789" s="3"/>
      <c r="E789" s="4" t="s">
        <v>986</v>
      </c>
    </row>
    <row r="790" hidden="1">
      <c r="A790" s="3"/>
      <c r="B790" s="3"/>
      <c r="C790" s="3"/>
      <c r="D790" s="3"/>
      <c r="E790" s="4" t="s">
        <v>987</v>
      </c>
    </row>
    <row r="791" hidden="1">
      <c r="A791" s="3"/>
      <c r="B791" s="3"/>
      <c r="C791" s="3"/>
      <c r="D791" s="3"/>
      <c r="E791" s="4" t="s">
        <v>988</v>
      </c>
    </row>
    <row r="792" hidden="1">
      <c r="A792" s="3"/>
      <c r="B792" s="3"/>
      <c r="C792" s="3"/>
      <c r="D792" s="3"/>
      <c r="E792" s="4" t="s">
        <v>989</v>
      </c>
    </row>
    <row r="793" hidden="1">
      <c r="A793" s="3"/>
      <c r="B793" s="3"/>
      <c r="C793" s="3"/>
      <c r="D793" s="3"/>
      <c r="E793" s="4" t="s">
        <v>991</v>
      </c>
    </row>
    <row r="794" hidden="1">
      <c r="A794" s="3"/>
      <c r="B794" s="3"/>
      <c r="C794" s="3"/>
      <c r="D794" s="3"/>
      <c r="E794" s="4" t="s">
        <v>992</v>
      </c>
    </row>
    <row r="795" hidden="1">
      <c r="A795" s="3"/>
      <c r="B795" s="3"/>
      <c r="C795" s="3"/>
      <c r="D795" s="3"/>
      <c r="E795" s="4" t="s">
        <v>993</v>
      </c>
    </row>
    <row r="796" hidden="1">
      <c r="A796" s="3"/>
      <c r="B796" s="3"/>
      <c r="C796" s="3"/>
      <c r="D796" s="3"/>
      <c r="E796" s="4" t="s">
        <v>994</v>
      </c>
    </row>
    <row r="797" hidden="1">
      <c r="A797" s="3"/>
      <c r="B797" s="3"/>
      <c r="C797" s="3"/>
      <c r="D797" s="3"/>
      <c r="E797" s="4" t="s">
        <v>995</v>
      </c>
    </row>
    <row r="798" hidden="1">
      <c r="A798" s="3"/>
      <c r="B798" s="3"/>
      <c r="C798" s="3"/>
      <c r="D798" s="3"/>
      <c r="E798" s="4" t="s">
        <v>996</v>
      </c>
    </row>
    <row r="799" hidden="1">
      <c r="A799" s="3"/>
      <c r="B799" s="3"/>
      <c r="C799" s="3"/>
      <c r="D799" s="3"/>
      <c r="E799" s="4" t="s">
        <v>998</v>
      </c>
    </row>
    <row r="800" hidden="1">
      <c r="A800" s="3"/>
      <c r="B800" s="3"/>
      <c r="C800" s="3"/>
      <c r="D800" s="3"/>
      <c r="E800" s="4" t="s">
        <v>999</v>
      </c>
    </row>
    <row r="801" hidden="1">
      <c r="A801" s="3"/>
      <c r="B801" s="3"/>
      <c r="C801" s="3"/>
      <c r="D801" s="3"/>
      <c r="E801" s="4" t="s">
        <v>1000</v>
      </c>
    </row>
    <row r="802" hidden="1">
      <c r="A802" s="3"/>
      <c r="B802" s="3"/>
      <c r="C802" s="3"/>
      <c r="D802" s="3"/>
      <c r="E802" s="4" t="s">
        <v>1001</v>
      </c>
    </row>
    <row r="803" hidden="1">
      <c r="A803" s="3"/>
      <c r="B803" s="3"/>
      <c r="C803" s="3"/>
      <c r="D803" s="3"/>
      <c r="E803" s="4" t="s">
        <v>1002</v>
      </c>
    </row>
    <row r="804" hidden="1">
      <c r="A804" s="3"/>
      <c r="B804" s="3"/>
      <c r="C804" s="3"/>
      <c r="D804" s="3"/>
      <c r="E804" s="4" t="s">
        <v>1003</v>
      </c>
    </row>
    <row r="805" hidden="1">
      <c r="A805" s="3"/>
      <c r="B805" s="3"/>
      <c r="C805" s="3"/>
      <c r="D805" s="3"/>
      <c r="E805" s="4" t="s">
        <v>1004</v>
      </c>
    </row>
    <row r="806" hidden="1">
      <c r="A806" s="3"/>
      <c r="B806" s="3"/>
      <c r="C806" s="3"/>
      <c r="D806" s="3"/>
      <c r="E806" s="4" t="s">
        <v>1006</v>
      </c>
    </row>
    <row r="807" hidden="1">
      <c r="A807" s="3"/>
      <c r="B807" s="3"/>
      <c r="C807" s="3"/>
      <c r="D807" s="3"/>
      <c r="E807" s="4" t="s">
        <v>1007</v>
      </c>
    </row>
    <row r="808" hidden="1">
      <c r="A808" s="3"/>
      <c r="B808" s="3"/>
      <c r="C808" s="3"/>
      <c r="D808" s="3"/>
      <c r="E808" s="4" t="s">
        <v>1008</v>
      </c>
    </row>
    <row r="809" hidden="1">
      <c r="A809" s="3"/>
      <c r="B809" s="3"/>
      <c r="C809" s="3"/>
      <c r="D809" s="3"/>
      <c r="E809" s="4" t="s">
        <v>1009</v>
      </c>
    </row>
    <row r="810" hidden="1">
      <c r="A810" s="3"/>
      <c r="B810" s="3"/>
      <c r="C810" s="3"/>
      <c r="D810" s="3"/>
      <c r="E810" s="4" t="s">
        <v>1010</v>
      </c>
    </row>
    <row r="811" hidden="1">
      <c r="A811" s="3"/>
      <c r="B811" s="3"/>
      <c r="C811" s="3"/>
      <c r="D811" s="3"/>
      <c r="E811" s="4" t="s">
        <v>1012</v>
      </c>
    </row>
    <row r="812" hidden="1">
      <c r="A812" s="3"/>
      <c r="B812" s="3"/>
      <c r="C812" s="3"/>
      <c r="D812" s="3"/>
      <c r="E812" s="4" t="s">
        <v>1013</v>
      </c>
    </row>
    <row r="813" hidden="1">
      <c r="A813" s="3"/>
      <c r="B813" s="3"/>
      <c r="C813" s="3"/>
      <c r="D813" s="3"/>
      <c r="E813" s="4" t="s">
        <v>1014</v>
      </c>
    </row>
    <row r="814" hidden="1">
      <c r="A814" s="3"/>
      <c r="B814" s="3"/>
      <c r="C814" s="3"/>
      <c r="D814" s="3"/>
      <c r="E814" s="4" t="s">
        <v>1015</v>
      </c>
    </row>
    <row r="815" hidden="1">
      <c r="A815" s="3"/>
      <c r="B815" s="3"/>
      <c r="C815" s="3"/>
      <c r="D815" s="3"/>
      <c r="E815" s="4" t="s">
        <v>1016</v>
      </c>
    </row>
    <row r="816" hidden="1">
      <c r="A816" s="3"/>
      <c r="B816" s="3"/>
      <c r="C816" s="3"/>
      <c r="D816" s="3"/>
      <c r="E816" s="4" t="s">
        <v>1017</v>
      </c>
    </row>
    <row r="817" hidden="1">
      <c r="A817" s="3"/>
      <c r="B817" s="3"/>
      <c r="C817" s="3"/>
      <c r="D817" s="3"/>
      <c r="E817" s="4" t="s">
        <v>1018</v>
      </c>
    </row>
    <row r="818" hidden="1">
      <c r="A818" s="3"/>
      <c r="B818" s="3"/>
      <c r="C818" s="3"/>
      <c r="D818" s="3"/>
      <c r="E818" s="4" t="s">
        <v>1020</v>
      </c>
    </row>
    <row r="819" hidden="1">
      <c r="A819" s="3"/>
      <c r="B819" s="3"/>
      <c r="C819" s="3"/>
      <c r="D819" s="3"/>
      <c r="E819" s="4" t="s">
        <v>1021</v>
      </c>
    </row>
    <row r="820" hidden="1">
      <c r="A820" s="3"/>
      <c r="B820" s="3"/>
      <c r="C820" s="3"/>
      <c r="D820" s="3"/>
      <c r="E820" s="4" t="s">
        <v>1022</v>
      </c>
    </row>
    <row r="821" hidden="1">
      <c r="A821" s="3"/>
      <c r="B821" s="3"/>
      <c r="C821" s="3"/>
      <c r="D821" s="3"/>
      <c r="E821" s="4" t="s">
        <v>1023</v>
      </c>
    </row>
    <row r="822" hidden="1">
      <c r="A822" s="3"/>
      <c r="B822" s="3"/>
      <c r="C822" s="3"/>
      <c r="D822" s="3"/>
      <c r="E822" s="4" t="s">
        <v>1024</v>
      </c>
    </row>
    <row r="823" hidden="1">
      <c r="A823" s="3"/>
      <c r="B823" s="3"/>
      <c r="C823" s="3"/>
      <c r="D823" s="3"/>
      <c r="E823" s="4" t="s">
        <v>1025</v>
      </c>
    </row>
    <row r="824" hidden="1">
      <c r="A824" s="3"/>
      <c r="B824" s="3"/>
      <c r="C824" s="3"/>
      <c r="D824" s="3"/>
      <c r="E824" s="4" t="s">
        <v>1026</v>
      </c>
    </row>
    <row r="825" hidden="1">
      <c r="A825" s="3"/>
      <c r="B825" s="3"/>
      <c r="C825" s="3"/>
      <c r="D825" s="3"/>
      <c r="E825" s="4" t="s">
        <v>1028</v>
      </c>
    </row>
    <row r="826" hidden="1">
      <c r="A826" s="3"/>
      <c r="B826" s="3"/>
      <c r="C826" s="3"/>
      <c r="D826" s="3"/>
      <c r="E826" s="4" t="s">
        <v>1029</v>
      </c>
    </row>
    <row r="827" hidden="1">
      <c r="A827" s="3"/>
      <c r="B827" s="3"/>
      <c r="C827" s="3"/>
      <c r="D827" s="3"/>
      <c r="E827" s="4" t="s">
        <v>1030</v>
      </c>
    </row>
    <row r="828" hidden="1">
      <c r="A828" s="3"/>
      <c r="B828" s="3"/>
      <c r="C828" s="3"/>
      <c r="D828" s="3"/>
      <c r="E828" s="4" t="s">
        <v>1031</v>
      </c>
    </row>
    <row r="829" hidden="1">
      <c r="A829" s="3"/>
      <c r="B829" s="3"/>
      <c r="C829" s="3"/>
      <c r="D829" s="3"/>
      <c r="E829" s="4" t="s">
        <v>1032</v>
      </c>
    </row>
    <row r="830" hidden="1">
      <c r="A830" s="3"/>
      <c r="B830" s="3"/>
      <c r="C830" s="3"/>
      <c r="D830" s="3"/>
      <c r="E830" s="4" t="s">
        <v>1033</v>
      </c>
    </row>
    <row r="831" hidden="1">
      <c r="A831" s="3"/>
      <c r="B831" s="3"/>
      <c r="C831" s="3"/>
      <c r="D831" s="3"/>
      <c r="E831" s="4" t="s">
        <v>1034</v>
      </c>
    </row>
    <row r="832" hidden="1">
      <c r="A832" s="3"/>
      <c r="B832" s="3"/>
      <c r="C832" s="3"/>
      <c r="D832" s="3"/>
      <c r="E832" s="4" t="s">
        <v>1035</v>
      </c>
    </row>
    <row r="833" hidden="1">
      <c r="A833" s="3"/>
      <c r="B833" s="3"/>
      <c r="C833" s="3"/>
      <c r="D833" s="3"/>
      <c r="E833" s="4" t="s">
        <v>1037</v>
      </c>
    </row>
    <row r="834" hidden="1">
      <c r="A834" s="3"/>
      <c r="B834" s="3"/>
      <c r="C834" s="3"/>
      <c r="D834" s="3"/>
      <c r="E834" s="4" t="s">
        <v>1038</v>
      </c>
    </row>
    <row r="835" hidden="1">
      <c r="A835" s="3"/>
      <c r="B835" s="3"/>
      <c r="C835" s="3"/>
      <c r="D835" s="3"/>
      <c r="E835" s="4" t="s">
        <v>1039</v>
      </c>
    </row>
    <row r="836" hidden="1">
      <c r="A836" s="3"/>
      <c r="B836" s="3"/>
      <c r="C836" s="3"/>
      <c r="D836" s="3"/>
      <c r="E836" s="4" t="s">
        <v>1040</v>
      </c>
    </row>
    <row r="837" hidden="1">
      <c r="A837" s="3"/>
      <c r="B837" s="3"/>
      <c r="C837" s="3"/>
      <c r="D837" s="3"/>
      <c r="E837" s="4" t="s">
        <v>1041</v>
      </c>
    </row>
    <row r="838" hidden="1">
      <c r="A838" s="3"/>
      <c r="B838" s="3"/>
      <c r="C838" s="3"/>
      <c r="D838" s="3"/>
      <c r="E838" s="4" t="s">
        <v>1042</v>
      </c>
    </row>
    <row r="839" hidden="1">
      <c r="A839" s="3"/>
      <c r="B839" s="3"/>
      <c r="C839" s="3"/>
      <c r="D839" s="3"/>
      <c r="E839" s="4" t="s">
        <v>1043</v>
      </c>
    </row>
    <row r="840" hidden="1">
      <c r="A840" s="3"/>
      <c r="B840" s="3"/>
      <c r="C840" s="3"/>
      <c r="D840" s="3"/>
      <c r="E840" s="4" t="s">
        <v>1045</v>
      </c>
    </row>
    <row r="841" hidden="1">
      <c r="A841" s="3"/>
      <c r="B841" s="3"/>
      <c r="C841" s="3"/>
      <c r="D841" s="3"/>
      <c r="E841" s="4" t="s">
        <v>1046</v>
      </c>
    </row>
    <row r="842" hidden="1">
      <c r="A842" s="3"/>
      <c r="B842" s="3"/>
      <c r="C842" s="3"/>
      <c r="D842" s="3"/>
      <c r="E842" s="4" t="s">
        <v>1047</v>
      </c>
    </row>
    <row r="843" hidden="1">
      <c r="A843" s="3"/>
      <c r="B843" s="3"/>
      <c r="C843" s="3"/>
      <c r="D843" s="3"/>
      <c r="E843" s="4" t="s">
        <v>1048</v>
      </c>
    </row>
    <row r="844" hidden="1">
      <c r="A844" s="3"/>
      <c r="B844" s="3"/>
      <c r="C844" s="3"/>
      <c r="D844" s="3"/>
      <c r="E844" s="4" t="s">
        <v>1049</v>
      </c>
    </row>
    <row r="845" hidden="1">
      <c r="A845" s="3"/>
      <c r="B845" s="3"/>
      <c r="C845" s="3"/>
      <c r="D845" s="3"/>
      <c r="E845" s="4" t="s">
        <v>1050</v>
      </c>
    </row>
    <row r="846" hidden="1">
      <c r="A846" s="3"/>
      <c r="B846" s="3"/>
      <c r="C846" s="3"/>
      <c r="D846" s="3"/>
      <c r="E846" s="4" t="s">
        <v>1052</v>
      </c>
    </row>
    <row r="847" hidden="1">
      <c r="A847" s="3"/>
      <c r="B847" s="3"/>
      <c r="C847" s="3"/>
      <c r="D847" s="3"/>
      <c r="E847" s="4" t="s">
        <v>1053</v>
      </c>
    </row>
    <row r="848" hidden="1">
      <c r="A848" s="3"/>
      <c r="B848" s="3"/>
      <c r="C848" s="3"/>
      <c r="D848" s="3"/>
      <c r="E848" s="4" t="s">
        <v>1054</v>
      </c>
    </row>
    <row r="849" hidden="1">
      <c r="A849" s="3"/>
      <c r="B849" s="3"/>
      <c r="C849" s="3"/>
      <c r="D849" s="3"/>
      <c r="E849" s="4" t="s">
        <v>1055</v>
      </c>
    </row>
    <row r="850" hidden="1">
      <c r="A850" s="3"/>
      <c r="B850" s="3"/>
      <c r="C850" s="3"/>
      <c r="D850" s="3"/>
      <c r="E850" s="4" t="s">
        <v>1056</v>
      </c>
    </row>
    <row r="851" hidden="1">
      <c r="A851" s="3"/>
      <c r="B851" s="3"/>
      <c r="C851" s="3"/>
      <c r="D851" s="3"/>
      <c r="E851" s="4" t="s">
        <v>1057</v>
      </c>
    </row>
    <row r="852" hidden="1">
      <c r="A852" s="3"/>
      <c r="B852" s="3"/>
      <c r="C852" s="3"/>
      <c r="D852" s="3"/>
      <c r="E852" s="4" t="s">
        <v>1058</v>
      </c>
    </row>
    <row r="853" hidden="1">
      <c r="A853" s="3"/>
      <c r="B853" s="3"/>
      <c r="C853" s="3"/>
      <c r="D853" s="3"/>
      <c r="E853" s="4" t="s">
        <v>1060</v>
      </c>
    </row>
    <row r="854" hidden="1">
      <c r="A854" s="3"/>
      <c r="B854" s="3"/>
      <c r="C854" s="3"/>
      <c r="D854" s="3"/>
      <c r="E854" s="4" t="s">
        <v>1061</v>
      </c>
    </row>
    <row r="855" hidden="1">
      <c r="A855" s="3"/>
      <c r="B855" s="3"/>
      <c r="C855" s="3"/>
      <c r="D855" s="3"/>
      <c r="E855" s="4" t="s">
        <v>1062</v>
      </c>
    </row>
    <row r="856" hidden="1">
      <c r="A856" s="3"/>
      <c r="B856" s="3"/>
      <c r="C856" s="3"/>
      <c r="D856" s="3"/>
      <c r="E856" s="4" t="s">
        <v>1063</v>
      </c>
    </row>
    <row r="857" hidden="1">
      <c r="A857" s="3"/>
      <c r="B857" s="3"/>
      <c r="C857" s="3"/>
      <c r="D857" s="3"/>
      <c r="E857" s="4" t="s">
        <v>1064</v>
      </c>
    </row>
    <row r="858" hidden="1">
      <c r="A858" s="3"/>
      <c r="B858" s="3"/>
      <c r="C858" s="3"/>
      <c r="D858" s="3"/>
      <c r="E858" s="4" t="s">
        <v>1065</v>
      </c>
    </row>
    <row r="859" hidden="1">
      <c r="A859" s="3"/>
      <c r="B859" s="3"/>
      <c r="C859" s="3"/>
      <c r="D859" s="3"/>
      <c r="E859" s="4" t="s">
        <v>1066</v>
      </c>
    </row>
    <row r="860" hidden="1">
      <c r="A860" s="3"/>
      <c r="B860" s="3"/>
      <c r="C860" s="3"/>
      <c r="D860" s="3"/>
      <c r="E860" s="4" t="s">
        <v>1067</v>
      </c>
    </row>
    <row r="861" hidden="1">
      <c r="A861" s="3"/>
      <c r="B861" s="3"/>
      <c r="C861" s="3"/>
      <c r="D861" s="3"/>
      <c r="E861" s="4" t="s">
        <v>1069</v>
      </c>
    </row>
    <row r="862" hidden="1">
      <c r="A862" s="3"/>
      <c r="B862" s="3"/>
      <c r="C862" s="3"/>
      <c r="D862" s="3"/>
      <c r="E862" s="4" t="s">
        <v>1070</v>
      </c>
    </row>
    <row r="863" hidden="1">
      <c r="A863" s="3"/>
      <c r="B863" s="3"/>
      <c r="C863" s="3"/>
      <c r="D863" s="3"/>
      <c r="E863" s="4" t="s">
        <v>1071</v>
      </c>
    </row>
    <row r="864" hidden="1">
      <c r="A864" s="3"/>
      <c r="B864" s="3"/>
      <c r="C864" s="3"/>
      <c r="D864" s="3"/>
      <c r="E864" s="4" t="s">
        <v>1072</v>
      </c>
    </row>
    <row r="865" hidden="1">
      <c r="A865" s="3"/>
      <c r="B865" s="3"/>
      <c r="C865" s="3"/>
      <c r="D865" s="3"/>
      <c r="E865" s="4" t="s">
        <v>1073</v>
      </c>
    </row>
    <row r="866" hidden="1">
      <c r="A866" s="3"/>
      <c r="B866" s="3"/>
      <c r="C866" s="3"/>
      <c r="D866" s="3"/>
      <c r="E866" s="4" t="s">
        <v>1074</v>
      </c>
    </row>
    <row r="867" hidden="1">
      <c r="A867" s="3"/>
      <c r="B867" s="3"/>
      <c r="C867" s="3"/>
      <c r="D867" s="3"/>
      <c r="E867" s="4" t="s">
        <v>1075</v>
      </c>
    </row>
    <row r="868" hidden="1">
      <c r="A868" s="3"/>
      <c r="B868" s="3"/>
      <c r="C868" s="3"/>
      <c r="D868" s="3"/>
      <c r="E868" s="4" t="s">
        <v>1076</v>
      </c>
    </row>
    <row r="869" hidden="1">
      <c r="A869" s="3"/>
      <c r="B869" s="3"/>
      <c r="C869" s="3"/>
      <c r="D869" s="3"/>
      <c r="E869" s="4" t="s">
        <v>1078</v>
      </c>
    </row>
    <row r="870" hidden="1">
      <c r="A870" s="3"/>
      <c r="B870" s="3"/>
      <c r="C870" s="3"/>
      <c r="D870" s="3"/>
      <c r="E870" s="4" t="s">
        <v>1079</v>
      </c>
    </row>
    <row r="871" hidden="1">
      <c r="A871" s="3"/>
      <c r="B871" s="3"/>
      <c r="C871" s="3"/>
      <c r="D871" s="3"/>
      <c r="E871" s="4" t="s">
        <v>1080</v>
      </c>
    </row>
    <row r="872" hidden="1">
      <c r="A872" s="3"/>
      <c r="B872" s="3"/>
      <c r="C872" s="3"/>
      <c r="D872" s="3"/>
      <c r="E872" s="4" t="s">
        <v>1081</v>
      </c>
    </row>
    <row r="873" hidden="1">
      <c r="A873" s="3"/>
      <c r="B873" s="3"/>
      <c r="C873" s="3"/>
      <c r="D873" s="3"/>
      <c r="E873" s="4" t="s">
        <v>1082</v>
      </c>
    </row>
    <row r="874" hidden="1">
      <c r="A874" s="3"/>
      <c r="B874" s="3"/>
      <c r="C874" s="3"/>
      <c r="D874" s="3"/>
      <c r="E874" s="4" t="s">
        <v>1083</v>
      </c>
    </row>
    <row r="875" hidden="1">
      <c r="A875" s="3"/>
      <c r="B875" s="3"/>
      <c r="C875" s="3"/>
      <c r="D875" s="3"/>
      <c r="E875" s="4" t="s">
        <v>1084</v>
      </c>
    </row>
    <row r="876" hidden="1">
      <c r="A876" s="3"/>
      <c r="B876" s="3"/>
      <c r="C876" s="3"/>
      <c r="D876" s="3"/>
      <c r="E876" s="4" t="s">
        <v>1086</v>
      </c>
    </row>
    <row r="877" hidden="1">
      <c r="A877" s="3"/>
      <c r="B877" s="3"/>
      <c r="C877" s="3"/>
      <c r="D877" s="3"/>
      <c r="E877" s="4" t="s">
        <v>1087</v>
      </c>
    </row>
    <row r="878" hidden="1">
      <c r="A878" s="3"/>
      <c r="B878" s="3"/>
      <c r="C878" s="3"/>
      <c r="D878" s="3"/>
      <c r="E878" s="4" t="s">
        <v>1088</v>
      </c>
    </row>
    <row r="879" hidden="1">
      <c r="A879" s="3"/>
      <c r="B879" s="3"/>
      <c r="C879" s="3"/>
      <c r="D879" s="3"/>
      <c r="E879" s="4" t="s">
        <v>1089</v>
      </c>
    </row>
    <row r="880" hidden="1">
      <c r="A880" s="3"/>
      <c r="B880" s="3"/>
      <c r="C880" s="3"/>
      <c r="D880" s="3"/>
      <c r="E880" s="4" t="s">
        <v>1090</v>
      </c>
    </row>
    <row r="881" hidden="1">
      <c r="A881" s="3"/>
      <c r="B881" s="3"/>
      <c r="C881" s="3"/>
      <c r="D881" s="3"/>
      <c r="E881" s="4" t="s">
        <v>1091</v>
      </c>
    </row>
    <row r="882" hidden="1">
      <c r="A882" s="3"/>
      <c r="B882" s="3"/>
      <c r="C882" s="3"/>
      <c r="D882" s="3"/>
      <c r="E882" s="4" t="s">
        <v>1092</v>
      </c>
    </row>
    <row r="883" hidden="1">
      <c r="A883" s="3"/>
      <c r="B883" s="3"/>
      <c r="C883" s="3"/>
      <c r="D883" s="3"/>
      <c r="E883" s="4" t="s">
        <v>1093</v>
      </c>
    </row>
    <row r="884" hidden="1">
      <c r="A884" s="3"/>
      <c r="B884" s="3"/>
      <c r="C884" s="3"/>
      <c r="D884" s="3"/>
      <c r="E884" s="4" t="s">
        <v>1095</v>
      </c>
    </row>
    <row r="885" hidden="1">
      <c r="A885" s="3"/>
      <c r="B885" s="3"/>
      <c r="C885" s="3"/>
      <c r="D885" s="3"/>
      <c r="E885" s="4" t="s">
        <v>1096</v>
      </c>
    </row>
    <row r="886" hidden="1">
      <c r="A886" s="3"/>
      <c r="B886" s="3"/>
      <c r="C886" s="3"/>
      <c r="D886" s="3"/>
      <c r="E886" s="4" t="s">
        <v>1097</v>
      </c>
    </row>
    <row r="887" hidden="1">
      <c r="A887" s="3"/>
      <c r="B887" s="3"/>
      <c r="C887" s="3"/>
      <c r="D887" s="3"/>
      <c r="E887" s="4" t="s">
        <v>1098</v>
      </c>
    </row>
    <row r="888" hidden="1">
      <c r="A888" s="3"/>
      <c r="B888" s="3"/>
      <c r="C888" s="3"/>
      <c r="D888" s="3"/>
      <c r="E888" s="4" t="s">
        <v>1099</v>
      </c>
    </row>
    <row r="889" hidden="1">
      <c r="A889" s="3"/>
      <c r="B889" s="3"/>
      <c r="C889" s="3"/>
      <c r="D889" s="3"/>
      <c r="E889" s="4" t="s">
        <v>1100</v>
      </c>
    </row>
    <row r="890" hidden="1">
      <c r="A890" s="3"/>
      <c r="B890" s="3"/>
      <c r="C890" s="3"/>
      <c r="D890" s="3"/>
      <c r="E890" s="4" t="s">
        <v>1101</v>
      </c>
    </row>
    <row r="891" hidden="1">
      <c r="A891" s="3"/>
      <c r="B891" s="3"/>
      <c r="C891" s="3"/>
      <c r="D891" s="3"/>
      <c r="E891" s="4" t="s">
        <v>1103</v>
      </c>
    </row>
    <row r="892" hidden="1">
      <c r="A892" s="3"/>
      <c r="B892" s="3"/>
      <c r="C892" s="3"/>
      <c r="D892" s="3"/>
      <c r="E892" s="4" t="s">
        <v>1104</v>
      </c>
    </row>
    <row r="893" hidden="1">
      <c r="A893" s="3"/>
      <c r="B893" s="3"/>
      <c r="C893" s="3"/>
      <c r="D893" s="3"/>
      <c r="E893" s="4" t="s">
        <v>1105</v>
      </c>
    </row>
    <row r="894" hidden="1">
      <c r="A894" s="3"/>
      <c r="B894" s="3"/>
      <c r="C894" s="3"/>
      <c r="D894" s="3"/>
      <c r="E894" s="4" t="s">
        <v>1106</v>
      </c>
    </row>
    <row r="895" hidden="1">
      <c r="A895" s="3"/>
      <c r="B895" s="3"/>
      <c r="C895" s="3"/>
      <c r="D895" s="3"/>
      <c r="E895" s="4" t="s">
        <v>1107</v>
      </c>
    </row>
    <row r="896" hidden="1">
      <c r="A896" s="3"/>
      <c r="B896" s="3"/>
      <c r="C896" s="3"/>
      <c r="D896" s="3"/>
      <c r="E896" s="4" t="s">
        <v>1108</v>
      </c>
    </row>
    <row r="897" hidden="1">
      <c r="A897" s="3"/>
      <c r="B897" s="3"/>
      <c r="C897" s="3"/>
      <c r="D897" s="3"/>
      <c r="E897" s="4" t="s">
        <v>1109</v>
      </c>
    </row>
    <row r="898" hidden="1">
      <c r="A898" s="3"/>
      <c r="B898" s="3"/>
      <c r="C898" s="3"/>
      <c r="D898" s="3"/>
      <c r="E898" s="4" t="s">
        <v>1110</v>
      </c>
    </row>
    <row r="899" hidden="1">
      <c r="A899" s="3"/>
      <c r="B899" s="3"/>
      <c r="C899" s="3"/>
      <c r="D899" s="3"/>
      <c r="E899" s="4" t="s">
        <v>1112</v>
      </c>
    </row>
    <row r="900" hidden="1">
      <c r="A900" s="3"/>
      <c r="B900" s="3"/>
      <c r="C900" s="3"/>
      <c r="D900" s="3"/>
      <c r="E900" s="4" t="s">
        <v>1113</v>
      </c>
    </row>
    <row r="901" hidden="1">
      <c r="A901" s="3"/>
      <c r="B901" s="3"/>
      <c r="C901" s="3"/>
      <c r="D901" s="3"/>
      <c r="E901" s="4" t="s">
        <v>1114</v>
      </c>
    </row>
    <row r="902" hidden="1">
      <c r="A902" s="3"/>
      <c r="B902" s="3"/>
      <c r="C902" s="3"/>
      <c r="D902" s="3"/>
      <c r="E902" s="4" t="s">
        <v>1115</v>
      </c>
    </row>
    <row r="903" hidden="1">
      <c r="A903" s="3"/>
      <c r="B903" s="3"/>
      <c r="C903" s="3"/>
      <c r="D903" s="3"/>
      <c r="E903" s="4" t="s">
        <v>1116</v>
      </c>
    </row>
    <row r="904" hidden="1">
      <c r="A904" s="3"/>
      <c r="B904" s="3"/>
      <c r="C904" s="3"/>
      <c r="D904" s="3"/>
      <c r="E904" s="4" t="s">
        <v>1117</v>
      </c>
    </row>
    <row r="905" hidden="1">
      <c r="A905" s="3"/>
      <c r="B905" s="3"/>
      <c r="C905" s="3"/>
      <c r="D905" s="3"/>
      <c r="E905" s="4" t="s">
        <v>1118</v>
      </c>
    </row>
    <row r="906" hidden="1">
      <c r="A906" s="3"/>
      <c r="B906" s="3"/>
      <c r="C906" s="3"/>
      <c r="D906" s="3"/>
      <c r="E906" s="4" t="s">
        <v>1120</v>
      </c>
    </row>
    <row r="907" hidden="1">
      <c r="A907" s="3"/>
      <c r="B907" s="3"/>
      <c r="C907" s="3"/>
      <c r="D907" s="3"/>
      <c r="E907" s="4" t="s">
        <v>1121</v>
      </c>
    </row>
    <row r="908" hidden="1">
      <c r="A908" s="3"/>
      <c r="B908" s="3"/>
      <c r="C908" s="3"/>
      <c r="D908" s="3"/>
      <c r="E908" s="4" t="s">
        <v>1122</v>
      </c>
    </row>
    <row r="909" hidden="1">
      <c r="A909" s="3"/>
      <c r="B909" s="3"/>
      <c r="C909" s="3"/>
      <c r="D909" s="3"/>
      <c r="E909" s="4" t="s">
        <v>1123</v>
      </c>
    </row>
    <row r="910" hidden="1">
      <c r="A910" s="3"/>
      <c r="B910" s="3"/>
      <c r="C910" s="3"/>
      <c r="D910" s="3"/>
      <c r="E910" s="4" t="s">
        <v>1124</v>
      </c>
    </row>
    <row r="911" hidden="1">
      <c r="A911" s="3"/>
      <c r="B911" s="3"/>
      <c r="C911" s="3"/>
      <c r="D911" s="3"/>
      <c r="E911" s="4" t="s">
        <v>1125</v>
      </c>
    </row>
    <row r="912" hidden="1">
      <c r="A912" s="3"/>
      <c r="B912" s="3"/>
      <c r="C912" s="3"/>
      <c r="D912" s="3"/>
      <c r="E912" s="4" t="s">
        <v>1126</v>
      </c>
    </row>
    <row r="913" hidden="1">
      <c r="A913" s="3"/>
      <c r="B913" s="3"/>
      <c r="C913" s="3"/>
      <c r="D913" s="3"/>
      <c r="E913" s="4" t="s">
        <v>1127</v>
      </c>
    </row>
    <row r="914" hidden="1">
      <c r="A914" s="3"/>
      <c r="B914" s="3"/>
      <c r="C914" s="3"/>
      <c r="D914" s="3"/>
      <c r="E914" s="4" t="s">
        <v>1129</v>
      </c>
    </row>
    <row r="915" hidden="1">
      <c r="A915" s="3"/>
      <c r="B915" s="3"/>
      <c r="C915" s="3"/>
      <c r="D915" s="3"/>
      <c r="E915" s="4" t="s">
        <v>1130</v>
      </c>
    </row>
    <row r="916" hidden="1">
      <c r="A916" s="3"/>
      <c r="B916" s="3"/>
      <c r="C916" s="3"/>
      <c r="D916" s="3"/>
      <c r="E916" s="4" t="s">
        <v>1131</v>
      </c>
    </row>
    <row r="917" hidden="1">
      <c r="A917" s="3"/>
      <c r="B917" s="3"/>
      <c r="C917" s="3"/>
      <c r="D917" s="3"/>
      <c r="E917" s="4" t="s">
        <v>1132</v>
      </c>
    </row>
    <row r="918" hidden="1">
      <c r="A918" s="3"/>
      <c r="B918" s="3"/>
      <c r="C918" s="3"/>
      <c r="D918" s="3"/>
      <c r="E918" s="4" t="s">
        <v>1133</v>
      </c>
    </row>
    <row r="919" hidden="1">
      <c r="A919" s="3"/>
      <c r="B919" s="3"/>
      <c r="C919" s="3"/>
      <c r="D919" s="3"/>
      <c r="E919" s="4" t="s">
        <v>1134</v>
      </c>
    </row>
    <row r="920" hidden="1">
      <c r="A920" s="3"/>
      <c r="B920" s="3"/>
      <c r="C920" s="3"/>
      <c r="D920" s="3"/>
      <c r="E920" s="4" t="s">
        <v>1135</v>
      </c>
    </row>
    <row r="921" hidden="1">
      <c r="A921" s="3"/>
      <c r="B921" s="3"/>
      <c r="C921" s="3"/>
      <c r="D921" s="3"/>
      <c r="E921" s="4" t="s">
        <v>1137</v>
      </c>
    </row>
    <row r="922" hidden="1">
      <c r="A922" s="3"/>
      <c r="B922" s="3"/>
      <c r="C922" s="3"/>
      <c r="D922" s="3"/>
      <c r="E922" s="4" t="s">
        <v>1138</v>
      </c>
    </row>
    <row r="923" hidden="1">
      <c r="A923" s="3"/>
      <c r="B923" s="3"/>
      <c r="C923" s="3"/>
      <c r="D923" s="3"/>
      <c r="E923" s="4" t="s">
        <v>1139</v>
      </c>
    </row>
    <row r="924" hidden="1">
      <c r="A924" s="3"/>
      <c r="B924" s="3"/>
      <c r="C924" s="3"/>
      <c r="D924" s="3"/>
      <c r="E924" s="4" t="s">
        <v>1140</v>
      </c>
    </row>
    <row r="925" hidden="1">
      <c r="A925" s="3"/>
      <c r="B925" s="3"/>
      <c r="C925" s="3"/>
      <c r="D925" s="3"/>
      <c r="E925" s="4" t="s">
        <v>1141</v>
      </c>
    </row>
    <row r="926" hidden="1">
      <c r="A926" s="3"/>
      <c r="B926" s="3"/>
      <c r="C926" s="3"/>
      <c r="D926" s="3"/>
      <c r="E926" s="4" t="s">
        <v>1142</v>
      </c>
    </row>
    <row r="927" hidden="1">
      <c r="A927" s="3"/>
      <c r="B927" s="3"/>
      <c r="C927" s="3"/>
      <c r="D927" s="3"/>
      <c r="E927" s="4" t="s">
        <v>1143</v>
      </c>
    </row>
    <row r="928" hidden="1">
      <c r="A928" s="3"/>
      <c r="B928" s="3"/>
      <c r="C928" s="3"/>
      <c r="D928" s="3"/>
      <c r="E928" s="4" t="s">
        <v>1145</v>
      </c>
    </row>
    <row r="929" hidden="1">
      <c r="A929" s="3"/>
      <c r="B929" s="3"/>
      <c r="C929" s="3"/>
      <c r="D929" s="3"/>
      <c r="E929" s="4" t="s">
        <v>1146</v>
      </c>
    </row>
    <row r="930" hidden="1">
      <c r="A930" s="3"/>
      <c r="B930" s="3"/>
      <c r="C930" s="3"/>
      <c r="D930" s="3"/>
      <c r="E930" s="4" t="s">
        <v>1147</v>
      </c>
    </row>
    <row r="931" hidden="1">
      <c r="A931" s="3"/>
      <c r="B931" s="3"/>
      <c r="C931" s="3"/>
      <c r="D931" s="3"/>
      <c r="E931" s="4" t="s">
        <v>1148</v>
      </c>
    </row>
    <row r="932" hidden="1">
      <c r="A932" s="3"/>
      <c r="B932" s="3"/>
      <c r="C932" s="3"/>
      <c r="D932" s="3"/>
      <c r="E932" s="4" t="s">
        <v>1149</v>
      </c>
    </row>
    <row r="933" hidden="1">
      <c r="A933" s="3"/>
      <c r="B933" s="3"/>
      <c r="C933" s="3"/>
      <c r="D933" s="3"/>
      <c r="E933" s="4" t="s">
        <v>1150</v>
      </c>
    </row>
    <row r="934" hidden="1">
      <c r="A934" s="3"/>
      <c r="B934" s="3"/>
      <c r="C934" s="3"/>
      <c r="D934" s="3"/>
      <c r="E934" s="4" t="s">
        <v>15</v>
      </c>
    </row>
    <row r="935" hidden="1">
      <c r="A935" s="3"/>
      <c r="B935" s="3"/>
      <c r="C935" s="3"/>
      <c r="D935" s="3"/>
      <c r="E935" s="4" t="s">
        <v>1152</v>
      </c>
    </row>
    <row r="936" hidden="1">
      <c r="A936" s="3"/>
      <c r="B936" s="3"/>
      <c r="C936" s="3"/>
      <c r="D936" s="3"/>
      <c r="E936" s="4" t="s">
        <v>1153</v>
      </c>
    </row>
    <row r="937" hidden="1">
      <c r="A937" s="3"/>
      <c r="B937" s="3"/>
      <c r="C937" s="3"/>
      <c r="D937" s="3"/>
      <c r="E937" s="4" t="s">
        <v>1154</v>
      </c>
    </row>
    <row r="938" hidden="1">
      <c r="A938" s="3"/>
      <c r="B938" s="3"/>
      <c r="C938" s="3"/>
      <c r="D938" s="3"/>
      <c r="E938" s="4" t="s">
        <v>1155</v>
      </c>
    </row>
    <row r="939" hidden="1">
      <c r="A939" s="3"/>
      <c r="B939" s="3"/>
      <c r="C939" s="3"/>
      <c r="D939" s="3"/>
      <c r="E939" s="4" t="s">
        <v>1156</v>
      </c>
    </row>
    <row r="940" hidden="1">
      <c r="A940" s="3"/>
      <c r="B940" s="3"/>
      <c r="C940" s="3"/>
      <c r="D940" s="3"/>
      <c r="E940" s="4" t="s">
        <v>1157</v>
      </c>
    </row>
    <row r="941" hidden="1">
      <c r="A941" s="3"/>
      <c r="B941" s="3"/>
      <c r="C941" s="3"/>
      <c r="D941" s="3"/>
      <c r="E941" s="4" t="s">
        <v>1159</v>
      </c>
    </row>
    <row r="942" hidden="1">
      <c r="A942" s="3"/>
      <c r="B942" s="3"/>
      <c r="C942" s="3"/>
      <c r="D942" s="3"/>
      <c r="E942" s="4" t="s">
        <v>1160</v>
      </c>
    </row>
    <row r="943" hidden="1">
      <c r="A943" s="3"/>
      <c r="B943" s="3"/>
      <c r="C943" s="3"/>
      <c r="D943" s="3"/>
      <c r="E943" s="4" t="s">
        <v>1161</v>
      </c>
    </row>
    <row r="944" hidden="1">
      <c r="A944" s="3"/>
      <c r="B944" s="3"/>
      <c r="C944" s="3"/>
      <c r="D944" s="3"/>
      <c r="E944" s="4" t="s">
        <v>1162</v>
      </c>
    </row>
    <row r="945" hidden="1">
      <c r="A945" s="3"/>
      <c r="B945" s="3"/>
      <c r="C945" s="3"/>
      <c r="D945" s="3"/>
      <c r="E945" s="4" t="s">
        <v>1163</v>
      </c>
    </row>
    <row r="946" hidden="1">
      <c r="A946" s="3"/>
      <c r="B946" s="3"/>
      <c r="C946" s="3"/>
      <c r="D946" s="3"/>
      <c r="E946" s="4" t="s">
        <v>1164</v>
      </c>
    </row>
    <row r="947" hidden="1">
      <c r="A947" s="3"/>
      <c r="B947" s="3"/>
      <c r="C947" s="3"/>
      <c r="D947" s="3"/>
      <c r="E947" s="4" t="s">
        <v>1165</v>
      </c>
    </row>
    <row r="948" hidden="1">
      <c r="A948" s="3"/>
      <c r="B948" s="3"/>
      <c r="C948" s="3"/>
      <c r="D948" s="3"/>
      <c r="E948" s="4" t="s">
        <v>1166</v>
      </c>
    </row>
    <row r="949" hidden="1">
      <c r="A949" s="3"/>
      <c r="B949" s="3"/>
      <c r="C949" s="3"/>
      <c r="D949" s="3"/>
      <c r="E949" s="4" t="s">
        <v>1168</v>
      </c>
    </row>
    <row r="950" hidden="1">
      <c r="A950" s="3"/>
      <c r="B950" s="3"/>
      <c r="C950" s="3"/>
      <c r="D950" s="3"/>
      <c r="E950" s="4" t="s">
        <v>1169</v>
      </c>
    </row>
    <row r="951" hidden="1">
      <c r="A951" s="3"/>
      <c r="B951" s="3"/>
      <c r="C951" s="3"/>
      <c r="D951" s="3"/>
      <c r="E951" s="4" t="s">
        <v>1170</v>
      </c>
    </row>
    <row r="952" hidden="1">
      <c r="A952" s="3"/>
      <c r="B952" s="3"/>
      <c r="C952" s="3"/>
      <c r="D952" s="3"/>
      <c r="E952" s="4" t="s">
        <v>1171</v>
      </c>
    </row>
    <row r="953" hidden="1">
      <c r="A953" s="3"/>
      <c r="B953" s="3"/>
      <c r="C953" s="3"/>
      <c r="D953" s="3"/>
      <c r="E953" s="4" t="s">
        <v>1172</v>
      </c>
    </row>
    <row r="954" hidden="1">
      <c r="A954" s="3"/>
      <c r="B954" s="3"/>
      <c r="C954" s="3"/>
      <c r="D954" s="3"/>
      <c r="E954" s="4" t="s">
        <v>1173</v>
      </c>
    </row>
    <row r="955" hidden="1">
      <c r="A955" s="3"/>
      <c r="B955" s="3"/>
      <c r="C955" s="3"/>
      <c r="D955" s="3"/>
      <c r="E955" s="4" t="s">
        <v>1174</v>
      </c>
    </row>
    <row r="956" hidden="1">
      <c r="A956" s="3"/>
      <c r="B956" s="3"/>
      <c r="C956" s="3"/>
      <c r="D956" s="3"/>
      <c r="E956" s="4" t="s">
        <v>1176</v>
      </c>
    </row>
    <row r="957" hidden="1">
      <c r="A957" s="3"/>
      <c r="B957" s="3"/>
      <c r="C957" s="3"/>
      <c r="D957" s="3"/>
      <c r="E957" s="4" t="s">
        <v>1177</v>
      </c>
    </row>
    <row r="958" hidden="1">
      <c r="A958" s="3"/>
      <c r="B958" s="3"/>
      <c r="C958" s="3"/>
      <c r="D958" s="3"/>
      <c r="E958" s="4" t="s">
        <v>1178</v>
      </c>
    </row>
    <row r="959" hidden="1">
      <c r="A959" s="3"/>
      <c r="B959" s="3"/>
      <c r="C959" s="3"/>
      <c r="D959" s="3"/>
      <c r="E959" s="4" t="s">
        <v>1179</v>
      </c>
    </row>
    <row r="960" hidden="1">
      <c r="A960" s="3"/>
      <c r="B960" s="3"/>
      <c r="C960" s="3"/>
      <c r="D960" s="3"/>
      <c r="E960" s="4" t="s">
        <v>1180</v>
      </c>
    </row>
    <row r="961" hidden="1">
      <c r="A961" s="3"/>
      <c r="B961" s="3"/>
      <c r="C961" s="3"/>
      <c r="D961" s="3"/>
      <c r="E961" s="4" t="s">
        <v>1181</v>
      </c>
    </row>
    <row r="962" hidden="1">
      <c r="A962" s="3"/>
      <c r="B962" s="3"/>
      <c r="C962" s="3"/>
      <c r="D962" s="3"/>
      <c r="E962" s="4" t="s">
        <v>1182</v>
      </c>
    </row>
    <row r="963" hidden="1">
      <c r="A963" s="3"/>
      <c r="B963" s="3"/>
      <c r="C963" s="3"/>
      <c r="D963" s="3"/>
      <c r="E963" s="4" t="s">
        <v>1184</v>
      </c>
    </row>
    <row r="964" hidden="1">
      <c r="A964" s="3"/>
      <c r="B964" s="3"/>
      <c r="C964" s="3"/>
      <c r="D964" s="3"/>
      <c r="E964" s="4" t="s">
        <v>1185</v>
      </c>
    </row>
    <row r="965" hidden="1">
      <c r="A965" s="3"/>
      <c r="B965" s="3"/>
      <c r="C965" s="3"/>
      <c r="D965" s="3"/>
      <c r="E965" s="4" t="s">
        <v>1186</v>
      </c>
    </row>
    <row r="966" hidden="1">
      <c r="A966" s="3"/>
      <c r="B966" s="3"/>
      <c r="C966" s="3"/>
      <c r="D966" s="3"/>
      <c r="E966" s="4" t="s">
        <v>1187</v>
      </c>
    </row>
    <row r="967" hidden="1">
      <c r="A967" s="3"/>
      <c r="B967" s="3"/>
      <c r="C967" s="3"/>
      <c r="D967" s="3"/>
      <c r="E967" s="4" t="s">
        <v>1188</v>
      </c>
    </row>
    <row r="968" hidden="1">
      <c r="A968" s="3"/>
      <c r="B968" s="3"/>
      <c r="C968" s="3"/>
      <c r="D968" s="3"/>
      <c r="E968" s="4" t="s">
        <v>1189</v>
      </c>
    </row>
    <row r="969" hidden="1">
      <c r="A969" s="3"/>
      <c r="B969" s="3"/>
      <c r="C969" s="3"/>
      <c r="D969" s="3"/>
      <c r="E969" s="4" t="s">
        <v>1190</v>
      </c>
    </row>
    <row r="970" hidden="1">
      <c r="A970" s="3"/>
      <c r="B970" s="3"/>
      <c r="C970" s="3"/>
      <c r="D970" s="3"/>
      <c r="E970" s="4" t="s">
        <v>1192</v>
      </c>
    </row>
    <row r="971" hidden="1">
      <c r="A971" s="3"/>
      <c r="B971" s="3"/>
      <c r="C971" s="3"/>
      <c r="D971" s="3"/>
      <c r="E971" s="4" t="s">
        <v>1193</v>
      </c>
    </row>
    <row r="972" hidden="1">
      <c r="A972" s="3"/>
      <c r="B972" s="3"/>
      <c r="C972" s="3"/>
      <c r="D972" s="3"/>
      <c r="E972" s="4" t="s">
        <v>1194</v>
      </c>
    </row>
    <row r="973" hidden="1">
      <c r="A973" s="3"/>
      <c r="B973" s="3"/>
      <c r="C973" s="3"/>
      <c r="D973" s="3"/>
      <c r="E973" s="4" t="s">
        <v>1195</v>
      </c>
    </row>
    <row r="974" hidden="1">
      <c r="A974" s="3"/>
      <c r="B974" s="3"/>
      <c r="C974" s="3"/>
      <c r="D974" s="3"/>
      <c r="E974" s="4" t="s">
        <v>1196</v>
      </c>
    </row>
    <row r="975" hidden="1">
      <c r="A975" s="3"/>
      <c r="B975" s="3"/>
      <c r="C975" s="3"/>
      <c r="D975" s="3"/>
      <c r="E975" s="4" t="s">
        <v>1197</v>
      </c>
    </row>
    <row r="976" hidden="1">
      <c r="A976" s="3"/>
      <c r="B976" s="3"/>
      <c r="C976" s="3"/>
      <c r="D976" s="3"/>
      <c r="E976" s="4" t="s">
        <v>1198</v>
      </c>
    </row>
    <row r="977" hidden="1">
      <c r="A977" s="3"/>
      <c r="B977" s="3"/>
      <c r="C977" s="3"/>
      <c r="D977" s="3"/>
      <c r="E977" s="4" t="s">
        <v>1199</v>
      </c>
    </row>
    <row r="978" hidden="1">
      <c r="A978" s="3"/>
      <c r="B978" s="3"/>
      <c r="C978" s="3"/>
      <c r="D978" s="3"/>
      <c r="E978" s="4" t="s">
        <v>1201</v>
      </c>
    </row>
    <row r="979" hidden="1">
      <c r="A979" s="3"/>
      <c r="B979" s="3"/>
      <c r="C979" s="3"/>
      <c r="D979" s="3"/>
      <c r="E979" s="4" t="s">
        <v>1202</v>
      </c>
    </row>
    <row r="980" hidden="1">
      <c r="A980" s="3"/>
      <c r="B980" s="3"/>
      <c r="C980" s="3"/>
      <c r="D980" s="3"/>
      <c r="E980" s="4" t="s">
        <v>1203</v>
      </c>
    </row>
    <row r="981" hidden="1">
      <c r="A981" s="3"/>
      <c r="B981" s="3"/>
      <c r="C981" s="3"/>
      <c r="D981" s="3"/>
      <c r="E981" s="4" t="s">
        <v>1204</v>
      </c>
    </row>
    <row r="982" hidden="1">
      <c r="A982" s="3"/>
      <c r="B982" s="3"/>
      <c r="C982" s="3"/>
      <c r="D982" s="3"/>
      <c r="E982" s="4" t="s">
        <v>1205</v>
      </c>
    </row>
    <row r="983" hidden="1">
      <c r="A983" s="3"/>
      <c r="B983" s="3"/>
      <c r="C983" s="3"/>
      <c r="D983" s="3"/>
      <c r="E983" s="4" t="s">
        <v>1206</v>
      </c>
    </row>
    <row r="984" hidden="1">
      <c r="A984" s="3"/>
      <c r="B984" s="3"/>
      <c r="C984" s="3"/>
      <c r="D984" s="3"/>
      <c r="E984" s="4" t="s">
        <v>1207</v>
      </c>
    </row>
    <row r="985" hidden="1">
      <c r="A985" s="3"/>
      <c r="B985" s="3"/>
      <c r="C985" s="3"/>
      <c r="D985" s="3"/>
      <c r="E985" s="4" t="s">
        <v>1209</v>
      </c>
    </row>
    <row r="986" hidden="1">
      <c r="A986" s="3"/>
      <c r="B986" s="3"/>
      <c r="C986" s="3"/>
      <c r="D986" s="3"/>
      <c r="E986" s="4" t="s">
        <v>1210</v>
      </c>
    </row>
    <row r="987" hidden="1">
      <c r="A987" s="3"/>
      <c r="B987" s="3"/>
      <c r="C987" s="3"/>
      <c r="D987" s="3"/>
      <c r="E987" s="4" t="s">
        <v>1211</v>
      </c>
    </row>
    <row r="988" hidden="1">
      <c r="A988" s="3"/>
      <c r="B988" s="3"/>
      <c r="C988" s="3"/>
      <c r="D988" s="3"/>
      <c r="E988" s="4" t="s">
        <v>1212</v>
      </c>
    </row>
    <row r="989" hidden="1">
      <c r="A989" s="3"/>
      <c r="B989" s="3"/>
      <c r="C989" s="3"/>
      <c r="D989" s="3"/>
      <c r="E989" s="4" t="s">
        <v>1213</v>
      </c>
    </row>
    <row r="990" hidden="1">
      <c r="A990" s="3"/>
      <c r="B990" s="3"/>
      <c r="C990" s="3"/>
      <c r="D990" s="3"/>
      <c r="E990" s="4" t="s">
        <v>1214</v>
      </c>
    </row>
    <row r="991" hidden="1">
      <c r="A991" s="3"/>
      <c r="B991" s="3"/>
      <c r="C991" s="3"/>
      <c r="D991" s="3"/>
      <c r="E991" s="4" t="s">
        <v>1215</v>
      </c>
    </row>
    <row r="992" hidden="1">
      <c r="A992" s="3"/>
      <c r="B992" s="3"/>
      <c r="C992" s="3"/>
      <c r="D992" s="3"/>
      <c r="E992" s="4" t="s">
        <v>1217</v>
      </c>
    </row>
    <row r="993" hidden="1">
      <c r="A993" s="3"/>
      <c r="B993" s="3"/>
      <c r="C993" s="3"/>
      <c r="D993" s="3"/>
      <c r="E993" s="4" t="s">
        <v>1218</v>
      </c>
    </row>
    <row r="994" hidden="1">
      <c r="A994" s="3"/>
      <c r="B994" s="3"/>
      <c r="C994" s="3"/>
      <c r="D994" s="3"/>
      <c r="E994" s="4" t="s">
        <v>1219</v>
      </c>
    </row>
    <row r="995" hidden="1">
      <c r="A995" s="3"/>
      <c r="B995" s="3"/>
      <c r="C995" s="3"/>
      <c r="D995" s="3"/>
      <c r="E995" s="4" t="s">
        <v>1220</v>
      </c>
    </row>
    <row r="996" hidden="1">
      <c r="A996" s="3"/>
      <c r="B996" s="3"/>
      <c r="C996" s="3"/>
      <c r="D996" s="3"/>
      <c r="E996" s="4" t="s">
        <v>1221</v>
      </c>
    </row>
    <row r="997" hidden="1">
      <c r="A997" s="3"/>
      <c r="B997" s="3"/>
      <c r="C997" s="3"/>
      <c r="D997" s="3"/>
      <c r="E997" s="4" t="s">
        <v>1222</v>
      </c>
    </row>
    <row r="998" hidden="1">
      <c r="A998" s="3"/>
      <c r="B998" s="3"/>
      <c r="C998" s="3"/>
      <c r="D998" s="3"/>
      <c r="E998" s="4" t="s">
        <v>1224</v>
      </c>
    </row>
    <row r="999" hidden="1">
      <c r="A999" s="3"/>
      <c r="B999" s="3"/>
      <c r="C999" s="3"/>
      <c r="D999" s="3"/>
      <c r="E999" s="4" t="s">
        <v>1225</v>
      </c>
    </row>
    <row r="1000" hidden="1">
      <c r="A1000" s="3"/>
      <c r="B1000" s="3"/>
      <c r="C1000" s="3"/>
      <c r="D1000" s="3"/>
      <c r="E1000" s="4" t="s">
        <v>1226</v>
      </c>
    </row>
    <row r="1001" hidden="1">
      <c r="A1001" s="3"/>
      <c r="B1001" s="3"/>
      <c r="C1001" s="3"/>
      <c r="D1001" s="3"/>
      <c r="E1001" s="4" t="s">
        <v>1227</v>
      </c>
    </row>
    <row r="1002" hidden="1">
      <c r="A1002" s="3"/>
      <c r="B1002" s="3"/>
      <c r="C1002" s="3"/>
      <c r="D1002" s="3"/>
      <c r="E1002" s="4" t="s">
        <v>1228</v>
      </c>
    </row>
    <row r="1003" hidden="1">
      <c r="A1003" s="3"/>
      <c r="B1003" s="3"/>
      <c r="C1003" s="3"/>
      <c r="D1003" s="3"/>
      <c r="E1003" s="4" t="s">
        <v>1229</v>
      </c>
    </row>
    <row r="1004" hidden="1">
      <c r="A1004" s="3"/>
      <c r="B1004" s="3"/>
      <c r="C1004" s="3"/>
      <c r="D1004" s="3"/>
      <c r="E1004" s="4" t="s">
        <v>1230</v>
      </c>
    </row>
    <row r="1005" hidden="1">
      <c r="A1005" s="3"/>
      <c r="B1005" s="3"/>
      <c r="C1005" s="3"/>
      <c r="D1005" s="3"/>
      <c r="E1005" s="4" t="s">
        <v>1231</v>
      </c>
    </row>
    <row r="1006" hidden="1">
      <c r="A1006" s="3"/>
      <c r="B1006" s="3"/>
      <c r="C1006" s="3"/>
      <c r="D1006" s="3"/>
      <c r="E1006" s="4" t="s">
        <v>1233</v>
      </c>
    </row>
    <row r="1007" hidden="1">
      <c r="A1007" s="3"/>
      <c r="B1007" s="3"/>
      <c r="C1007" s="3"/>
      <c r="D1007" s="3"/>
      <c r="E1007" s="4" t="s">
        <v>1234</v>
      </c>
    </row>
    <row r="1008" hidden="1">
      <c r="A1008" s="3"/>
      <c r="B1008" s="3"/>
      <c r="C1008" s="3"/>
      <c r="D1008" s="3"/>
      <c r="E1008" s="4" t="s">
        <v>1235</v>
      </c>
    </row>
    <row r="1009" hidden="1">
      <c r="A1009" s="3"/>
      <c r="B1009" s="3"/>
      <c r="C1009" s="3"/>
      <c r="D1009" s="3"/>
      <c r="E1009" s="4" t="s">
        <v>1236</v>
      </c>
    </row>
    <row r="1010" hidden="1">
      <c r="A1010" s="3"/>
      <c r="B1010" s="3"/>
      <c r="C1010" s="3"/>
      <c r="D1010" s="3"/>
      <c r="E1010" s="4" t="s">
        <v>1237</v>
      </c>
    </row>
    <row r="1011" hidden="1">
      <c r="A1011" s="3"/>
      <c r="B1011" s="3"/>
      <c r="C1011" s="3"/>
      <c r="D1011" s="3"/>
      <c r="E1011" s="4" t="s">
        <v>1238</v>
      </c>
    </row>
    <row r="1012" hidden="1">
      <c r="A1012" s="3"/>
      <c r="B1012" s="3"/>
      <c r="C1012" s="3"/>
      <c r="D1012" s="3"/>
      <c r="E1012" s="4" t="s">
        <v>1239</v>
      </c>
    </row>
    <row r="1013" hidden="1">
      <c r="A1013" s="3"/>
      <c r="B1013" s="3"/>
      <c r="C1013" s="3"/>
      <c r="D1013" s="3"/>
      <c r="E1013" s="4" t="s">
        <v>1241</v>
      </c>
    </row>
    <row r="1014" hidden="1">
      <c r="A1014" s="3"/>
      <c r="B1014" s="3"/>
      <c r="C1014" s="3"/>
      <c r="D1014" s="3"/>
      <c r="E1014" s="4" t="s">
        <v>1242</v>
      </c>
    </row>
    <row r="1015" hidden="1">
      <c r="A1015" s="3"/>
      <c r="B1015" s="3"/>
      <c r="C1015" s="3"/>
      <c r="D1015" s="3"/>
      <c r="E1015" s="4" t="s">
        <v>1243</v>
      </c>
    </row>
    <row r="1016" hidden="1">
      <c r="A1016" s="3"/>
      <c r="B1016" s="3"/>
      <c r="C1016" s="3"/>
      <c r="D1016" s="3"/>
      <c r="E1016" s="4" t="s">
        <v>1244</v>
      </c>
    </row>
    <row r="1017" hidden="1">
      <c r="A1017" s="3"/>
      <c r="B1017" s="3"/>
      <c r="C1017" s="3"/>
      <c r="D1017" s="3"/>
      <c r="E1017" s="4" t="s">
        <v>1245</v>
      </c>
    </row>
    <row r="1018" hidden="1">
      <c r="A1018" s="3"/>
      <c r="B1018" s="3"/>
      <c r="C1018" s="3"/>
      <c r="D1018" s="3"/>
      <c r="E1018" s="4" t="s">
        <v>1246</v>
      </c>
    </row>
    <row r="1019" hidden="1">
      <c r="A1019" s="3"/>
      <c r="B1019" s="3"/>
      <c r="C1019" s="3"/>
      <c r="D1019" s="3"/>
      <c r="E1019" s="4" t="s">
        <v>1247</v>
      </c>
    </row>
    <row r="1020" hidden="1">
      <c r="A1020" s="3"/>
      <c r="B1020" s="3"/>
      <c r="C1020" s="3"/>
      <c r="D1020" s="3"/>
      <c r="E1020" s="4" t="s">
        <v>1249</v>
      </c>
    </row>
    <row r="1021" hidden="1">
      <c r="A1021" s="3"/>
      <c r="B1021" s="3"/>
      <c r="C1021" s="3"/>
      <c r="D1021" s="3"/>
      <c r="E1021" s="4" t="s">
        <v>1250</v>
      </c>
    </row>
    <row r="1022" hidden="1">
      <c r="A1022" s="3"/>
      <c r="B1022" s="3"/>
      <c r="C1022" s="3"/>
      <c r="D1022" s="3"/>
      <c r="E1022" s="4" t="s">
        <v>1251</v>
      </c>
    </row>
    <row r="1023" hidden="1">
      <c r="A1023" s="3"/>
      <c r="B1023" s="3"/>
      <c r="C1023" s="3"/>
      <c r="D1023" s="3"/>
      <c r="E1023" s="4" t="s">
        <v>1252</v>
      </c>
    </row>
    <row r="1024" hidden="1">
      <c r="A1024" s="3"/>
      <c r="B1024" s="3"/>
      <c r="C1024" s="3"/>
      <c r="D1024" s="3"/>
      <c r="E1024" s="4" t="s">
        <v>1253</v>
      </c>
    </row>
    <row r="1025" hidden="1">
      <c r="A1025" s="3"/>
      <c r="B1025" s="3"/>
      <c r="C1025" s="3"/>
      <c r="D1025" s="3"/>
      <c r="E1025" s="4" t="s">
        <v>1254</v>
      </c>
    </row>
    <row r="1026" hidden="1">
      <c r="A1026" s="3"/>
      <c r="B1026" s="3"/>
      <c r="C1026" s="3"/>
      <c r="D1026" s="3"/>
      <c r="E1026" s="4" t="s">
        <v>1255</v>
      </c>
    </row>
    <row r="1027" hidden="1">
      <c r="A1027" s="3"/>
      <c r="B1027" s="3"/>
      <c r="C1027" s="3"/>
      <c r="D1027" s="3"/>
      <c r="E1027" s="4" t="s">
        <v>1256</v>
      </c>
    </row>
    <row r="1028" hidden="1">
      <c r="A1028" s="3"/>
      <c r="B1028" s="3"/>
      <c r="C1028" s="3"/>
      <c r="D1028" s="3"/>
      <c r="E1028" s="4" t="s">
        <v>1257</v>
      </c>
    </row>
    <row r="1029" hidden="1">
      <c r="A1029" s="3"/>
      <c r="B1029" s="3"/>
      <c r="C1029" s="3"/>
      <c r="D1029" s="3"/>
      <c r="E1029" s="4" t="s">
        <v>1258</v>
      </c>
    </row>
    <row r="1030" hidden="1">
      <c r="A1030" s="3"/>
      <c r="B1030" s="3"/>
      <c r="C1030" s="3"/>
      <c r="D1030" s="3"/>
      <c r="E1030" s="4" t="s">
        <v>1260</v>
      </c>
    </row>
    <row r="1031" hidden="1">
      <c r="A1031" s="3"/>
      <c r="B1031" s="3"/>
      <c r="C1031" s="3"/>
      <c r="D1031" s="3"/>
      <c r="E1031" s="4" t="s">
        <v>1261</v>
      </c>
    </row>
    <row r="1032" hidden="1">
      <c r="A1032" s="3"/>
      <c r="B1032" s="3"/>
      <c r="C1032" s="3"/>
      <c r="D1032" s="3"/>
      <c r="E1032" s="4" t="s">
        <v>1262</v>
      </c>
    </row>
    <row r="1033" hidden="1">
      <c r="A1033" s="3"/>
      <c r="B1033" s="3"/>
      <c r="C1033" s="3"/>
      <c r="D1033" s="3"/>
      <c r="E1033" s="4" t="s">
        <v>1263</v>
      </c>
    </row>
    <row r="1034" hidden="1">
      <c r="A1034" s="3"/>
      <c r="B1034" s="3"/>
      <c r="C1034" s="3"/>
      <c r="D1034" s="3"/>
      <c r="E1034" s="4" t="s">
        <v>1264</v>
      </c>
    </row>
    <row r="1035" hidden="1">
      <c r="A1035" s="3"/>
      <c r="B1035" s="3"/>
      <c r="C1035" s="3"/>
      <c r="D1035" s="3"/>
      <c r="E1035" s="4" t="s">
        <v>1265</v>
      </c>
    </row>
    <row r="1036" hidden="1">
      <c r="A1036" s="3"/>
      <c r="B1036" s="3"/>
      <c r="C1036" s="3"/>
      <c r="D1036" s="3"/>
      <c r="E1036" s="4" t="s">
        <v>1267</v>
      </c>
    </row>
    <row r="1037" hidden="1">
      <c r="A1037" s="3"/>
      <c r="B1037" s="3"/>
      <c r="C1037" s="3"/>
      <c r="D1037" s="3"/>
      <c r="E1037" s="4" t="s">
        <v>1268</v>
      </c>
    </row>
    <row r="1038" hidden="1">
      <c r="A1038" s="3"/>
      <c r="B1038" s="3"/>
      <c r="C1038" s="3"/>
      <c r="D1038" s="3"/>
      <c r="E1038" s="4" t="s">
        <v>1269</v>
      </c>
    </row>
    <row r="1039" hidden="1">
      <c r="A1039" s="3"/>
      <c r="B1039" s="3"/>
      <c r="C1039" s="3"/>
      <c r="D1039" s="3"/>
      <c r="E1039" s="4" t="s">
        <v>1270</v>
      </c>
    </row>
    <row r="1040" hidden="1">
      <c r="A1040" s="3"/>
      <c r="B1040" s="3"/>
      <c r="C1040" s="3"/>
      <c r="D1040" s="3"/>
      <c r="E1040" s="4" t="s">
        <v>1271</v>
      </c>
    </row>
    <row r="1041" hidden="1">
      <c r="A1041" s="3"/>
      <c r="B1041" s="3"/>
      <c r="C1041" s="3"/>
      <c r="D1041" s="3"/>
      <c r="E1041" s="4" t="s">
        <v>1272</v>
      </c>
    </row>
    <row r="1042" hidden="1">
      <c r="A1042" s="3"/>
      <c r="B1042" s="3"/>
      <c r="C1042" s="3"/>
      <c r="D1042" s="3"/>
      <c r="E1042" s="4" t="s">
        <v>1273</v>
      </c>
    </row>
    <row r="1043" hidden="1">
      <c r="A1043" s="3"/>
      <c r="B1043" s="3"/>
      <c r="C1043" s="3"/>
      <c r="D1043" s="3"/>
      <c r="E1043" s="4" t="s">
        <v>1275</v>
      </c>
    </row>
    <row r="1044" hidden="1">
      <c r="A1044" s="3"/>
      <c r="B1044" s="3"/>
      <c r="C1044" s="3"/>
      <c r="D1044" s="3"/>
      <c r="E1044" s="4" t="s">
        <v>1276</v>
      </c>
    </row>
    <row r="1045" hidden="1">
      <c r="A1045" s="3"/>
      <c r="B1045" s="3"/>
      <c r="C1045" s="3"/>
      <c r="D1045" s="3"/>
      <c r="E1045" s="4" t="s">
        <v>1277</v>
      </c>
    </row>
    <row r="1046" hidden="1">
      <c r="A1046" s="3"/>
      <c r="B1046" s="3"/>
      <c r="C1046" s="3"/>
      <c r="D1046" s="3"/>
      <c r="E1046" s="4" t="s">
        <v>1278</v>
      </c>
    </row>
    <row r="1047" hidden="1">
      <c r="A1047" s="3"/>
      <c r="B1047" s="3"/>
      <c r="C1047" s="3"/>
      <c r="D1047" s="3"/>
      <c r="E1047" s="4" t="s">
        <v>1279</v>
      </c>
    </row>
    <row r="1048" hidden="1">
      <c r="A1048" s="3"/>
      <c r="B1048" s="3"/>
      <c r="C1048" s="3"/>
      <c r="D1048" s="3"/>
      <c r="E1048" s="4" t="s">
        <v>1280</v>
      </c>
    </row>
    <row r="1049" hidden="1">
      <c r="A1049" s="3"/>
      <c r="B1049" s="3"/>
      <c r="C1049" s="3"/>
      <c r="D1049" s="3"/>
      <c r="E1049" s="4" t="s">
        <v>1281</v>
      </c>
    </row>
    <row r="1050" hidden="1">
      <c r="A1050" s="3"/>
      <c r="B1050" s="3"/>
      <c r="C1050" s="3"/>
      <c r="D1050" s="3"/>
      <c r="E1050" s="4" t="s">
        <v>1282</v>
      </c>
    </row>
    <row r="1051" hidden="1">
      <c r="A1051" s="3"/>
      <c r="B1051" s="3"/>
      <c r="C1051" s="3"/>
      <c r="D1051" s="3"/>
      <c r="E1051" s="4" t="s">
        <v>1284</v>
      </c>
    </row>
    <row r="1052" hidden="1">
      <c r="A1052" s="3"/>
      <c r="B1052" s="3"/>
      <c r="C1052" s="3"/>
      <c r="D1052" s="3"/>
      <c r="E1052" s="4" t="s">
        <v>1285</v>
      </c>
    </row>
    <row r="1053" hidden="1">
      <c r="A1053" s="3"/>
      <c r="B1053" s="3"/>
      <c r="C1053" s="3"/>
      <c r="D1053" s="3"/>
      <c r="E1053" s="4" t="s">
        <v>1286</v>
      </c>
    </row>
    <row r="1054" hidden="1">
      <c r="A1054" s="3"/>
      <c r="B1054" s="3"/>
      <c r="C1054" s="3"/>
      <c r="D1054" s="3"/>
      <c r="E1054" s="4" t="s">
        <v>1287</v>
      </c>
    </row>
    <row r="1055" hidden="1">
      <c r="A1055" s="3"/>
      <c r="B1055" s="3"/>
      <c r="C1055" s="3"/>
      <c r="D1055" s="3"/>
      <c r="E1055" s="4" t="s">
        <v>1288</v>
      </c>
    </row>
    <row r="1056" hidden="1">
      <c r="A1056" s="3"/>
      <c r="B1056" s="3"/>
      <c r="C1056" s="3"/>
      <c r="D1056" s="3"/>
      <c r="E1056" s="4" t="s">
        <v>1289</v>
      </c>
    </row>
    <row r="1057" hidden="1">
      <c r="A1057" s="3"/>
      <c r="B1057" s="3"/>
      <c r="C1057" s="3"/>
      <c r="D1057" s="3"/>
      <c r="E1057" s="4" t="s">
        <v>1290</v>
      </c>
    </row>
    <row r="1058" hidden="1">
      <c r="A1058" s="3"/>
      <c r="B1058" s="3"/>
      <c r="C1058" s="3"/>
      <c r="D1058" s="3"/>
      <c r="E1058" s="4" t="s">
        <v>1292</v>
      </c>
    </row>
    <row r="1059" hidden="1">
      <c r="A1059" s="3"/>
      <c r="B1059" s="3"/>
      <c r="C1059" s="3"/>
      <c r="D1059" s="3"/>
      <c r="E1059" s="4" t="s">
        <v>1293</v>
      </c>
    </row>
    <row r="1060" hidden="1">
      <c r="A1060" s="3"/>
      <c r="B1060" s="3"/>
      <c r="C1060" s="3"/>
      <c r="D1060" s="3"/>
      <c r="E1060" s="4" t="s">
        <v>1294</v>
      </c>
    </row>
    <row r="1061" hidden="1">
      <c r="A1061" s="3"/>
      <c r="B1061" s="3"/>
      <c r="C1061" s="3"/>
      <c r="D1061" s="3"/>
      <c r="E1061" s="4" t="s">
        <v>1295</v>
      </c>
    </row>
    <row r="1062" hidden="1">
      <c r="A1062" s="3"/>
      <c r="B1062" s="3"/>
      <c r="C1062" s="3"/>
      <c r="D1062" s="3"/>
      <c r="E1062" s="4" t="s">
        <v>1296</v>
      </c>
    </row>
    <row r="1063" hidden="1">
      <c r="A1063" s="3"/>
      <c r="B1063" s="3"/>
      <c r="C1063" s="3"/>
      <c r="D1063" s="3"/>
      <c r="E1063" s="4" t="s">
        <v>1297</v>
      </c>
    </row>
    <row r="1064" hidden="1">
      <c r="A1064" s="3"/>
      <c r="B1064" s="3"/>
      <c r="C1064" s="3"/>
      <c r="D1064" s="3"/>
      <c r="E1064" s="4" t="s">
        <v>1298</v>
      </c>
    </row>
    <row r="1065" hidden="1">
      <c r="A1065" s="3"/>
      <c r="B1065" s="3"/>
      <c r="C1065" s="3"/>
      <c r="D1065" s="3"/>
      <c r="E1065" s="4" t="s">
        <v>1299</v>
      </c>
    </row>
    <row r="1066" hidden="1">
      <c r="A1066" s="3"/>
      <c r="B1066" s="3"/>
      <c r="C1066" s="3"/>
      <c r="D1066" s="3"/>
      <c r="E1066" s="4" t="s">
        <v>1301</v>
      </c>
    </row>
    <row r="1067" hidden="1">
      <c r="A1067" s="3"/>
      <c r="B1067" s="3"/>
      <c r="C1067" s="3"/>
      <c r="D1067" s="3"/>
      <c r="E1067" s="4" t="s">
        <v>1302</v>
      </c>
    </row>
    <row r="1068" hidden="1">
      <c r="A1068" s="3"/>
      <c r="B1068" s="3"/>
      <c r="C1068" s="3"/>
      <c r="D1068" s="3"/>
      <c r="E1068" s="4" t="s">
        <v>1303</v>
      </c>
    </row>
    <row r="1069" hidden="1">
      <c r="A1069" s="3"/>
      <c r="B1069" s="3"/>
      <c r="C1069" s="3"/>
      <c r="D1069" s="3"/>
      <c r="E1069" s="4" t="s">
        <v>1304</v>
      </c>
    </row>
    <row r="1070" hidden="1">
      <c r="A1070" s="3"/>
      <c r="B1070" s="3"/>
      <c r="C1070" s="3"/>
      <c r="D1070" s="3"/>
      <c r="E1070" s="4" t="s">
        <v>1305</v>
      </c>
    </row>
    <row r="1071" hidden="1">
      <c r="A1071" s="3"/>
      <c r="B1071" s="3"/>
      <c r="C1071" s="3"/>
      <c r="D1071" s="3"/>
      <c r="E1071" s="4" t="s">
        <v>1306</v>
      </c>
    </row>
    <row r="1072" hidden="1">
      <c r="A1072" s="3"/>
      <c r="B1072" s="3"/>
      <c r="C1072" s="3"/>
      <c r="D1072" s="3"/>
      <c r="E1072" s="4" t="s">
        <v>1307</v>
      </c>
    </row>
    <row r="1073" hidden="1">
      <c r="A1073" s="3"/>
      <c r="B1073" s="3"/>
      <c r="C1073" s="3"/>
      <c r="D1073" s="3"/>
      <c r="E1073" s="4" t="s">
        <v>1309</v>
      </c>
    </row>
    <row r="1074" hidden="1">
      <c r="A1074" s="3"/>
      <c r="B1074" s="3"/>
      <c r="C1074" s="3"/>
      <c r="D1074" s="3"/>
      <c r="E1074" s="4" t="s">
        <v>1310</v>
      </c>
    </row>
    <row r="1075" hidden="1">
      <c r="A1075" s="3"/>
      <c r="B1075" s="3"/>
      <c r="C1075" s="3"/>
      <c r="D1075" s="3"/>
      <c r="E1075" s="4" t="s">
        <v>1311</v>
      </c>
    </row>
    <row r="1076" hidden="1">
      <c r="A1076" s="3"/>
      <c r="B1076" s="3"/>
      <c r="C1076" s="3"/>
      <c r="D1076" s="3"/>
      <c r="E1076" s="4" t="s">
        <v>1312</v>
      </c>
    </row>
    <row r="1077" hidden="1">
      <c r="A1077" s="3"/>
      <c r="B1077" s="3"/>
      <c r="C1077" s="3"/>
      <c r="D1077" s="3"/>
      <c r="E1077" s="4" t="s">
        <v>1313</v>
      </c>
    </row>
    <row r="1078" hidden="1">
      <c r="A1078" s="3"/>
      <c r="B1078" s="3"/>
      <c r="C1078" s="3"/>
      <c r="D1078" s="3"/>
      <c r="E1078" s="4" t="s">
        <v>1314</v>
      </c>
    </row>
    <row r="1079" hidden="1">
      <c r="A1079" s="3"/>
      <c r="B1079" s="3"/>
      <c r="C1079" s="3"/>
      <c r="D1079" s="3"/>
      <c r="E1079" s="4" t="s">
        <v>1315</v>
      </c>
    </row>
    <row r="1080" hidden="1">
      <c r="A1080" s="3"/>
      <c r="B1080" s="3"/>
      <c r="C1080" s="3"/>
      <c r="D1080" s="3"/>
      <c r="E1080" s="4" t="s">
        <v>1317</v>
      </c>
    </row>
    <row r="1081" hidden="1">
      <c r="A1081" s="3"/>
      <c r="B1081" s="3"/>
      <c r="C1081" s="3"/>
      <c r="D1081" s="3"/>
      <c r="E1081" s="4" t="s">
        <v>1318</v>
      </c>
    </row>
    <row r="1082" hidden="1">
      <c r="A1082" s="3"/>
      <c r="B1082" s="3"/>
      <c r="C1082" s="3"/>
      <c r="D1082" s="3"/>
      <c r="E1082" s="4" t="s">
        <v>1319</v>
      </c>
    </row>
    <row r="1083" hidden="1">
      <c r="A1083" s="3"/>
      <c r="B1083" s="3"/>
      <c r="C1083" s="3"/>
      <c r="D1083" s="3"/>
      <c r="E1083" s="4" t="s">
        <v>1320</v>
      </c>
    </row>
    <row r="1084" hidden="1">
      <c r="A1084" s="3"/>
      <c r="B1084" s="3"/>
      <c r="C1084" s="3"/>
      <c r="D1084" s="3"/>
      <c r="E1084" s="4" t="s">
        <v>1321</v>
      </c>
    </row>
    <row r="1085" hidden="1">
      <c r="A1085" s="3"/>
      <c r="B1085" s="3"/>
      <c r="C1085" s="3"/>
      <c r="D1085" s="3"/>
      <c r="E1085" s="4" t="s">
        <v>1322</v>
      </c>
    </row>
    <row r="1086" hidden="1">
      <c r="A1086" s="3"/>
      <c r="B1086" s="3"/>
      <c r="C1086" s="3"/>
      <c r="D1086" s="3"/>
      <c r="E1086" s="4" t="s">
        <v>1323</v>
      </c>
    </row>
    <row r="1087" hidden="1">
      <c r="A1087" s="3"/>
      <c r="B1087" s="3"/>
      <c r="C1087" s="3"/>
      <c r="D1087" s="3"/>
      <c r="E1087" s="4" t="s">
        <v>1324</v>
      </c>
    </row>
    <row r="1088" hidden="1">
      <c r="A1088" s="3"/>
      <c r="B1088" s="3"/>
      <c r="C1088" s="3"/>
      <c r="D1088" s="3"/>
      <c r="E1088" s="4" t="s">
        <v>1326</v>
      </c>
    </row>
    <row r="1089" hidden="1">
      <c r="A1089" s="3"/>
      <c r="B1089" s="3"/>
      <c r="C1089" s="3"/>
      <c r="D1089" s="3"/>
      <c r="E1089" s="4" t="s">
        <v>1327</v>
      </c>
    </row>
    <row r="1090" hidden="1">
      <c r="A1090" s="3"/>
      <c r="B1090" s="3"/>
      <c r="C1090" s="3"/>
      <c r="D1090" s="3"/>
      <c r="E1090" s="4" t="s">
        <v>1328</v>
      </c>
    </row>
    <row r="1091" hidden="1">
      <c r="A1091" s="3"/>
      <c r="B1091" s="3"/>
      <c r="C1091" s="3"/>
      <c r="D1091" s="3"/>
      <c r="E1091" s="4" t="s">
        <v>1329</v>
      </c>
    </row>
    <row r="1092" hidden="1">
      <c r="A1092" s="3"/>
      <c r="B1092" s="3"/>
      <c r="C1092" s="3"/>
      <c r="D1092" s="3"/>
      <c r="E1092" s="4" t="s">
        <v>1330</v>
      </c>
    </row>
    <row r="1093" hidden="1">
      <c r="A1093" s="3"/>
      <c r="B1093" s="3"/>
      <c r="C1093" s="3"/>
      <c r="D1093" s="3"/>
      <c r="E1093" s="4" t="s">
        <v>1331</v>
      </c>
    </row>
    <row r="1094" hidden="1">
      <c r="A1094" s="3"/>
      <c r="B1094" s="3"/>
      <c r="C1094" s="3"/>
      <c r="D1094" s="3"/>
      <c r="E1094" s="4" t="s">
        <v>1332</v>
      </c>
    </row>
    <row r="1095" hidden="1">
      <c r="A1095" s="3"/>
      <c r="B1095" s="3"/>
      <c r="C1095" s="3"/>
      <c r="D1095" s="3"/>
      <c r="E1095" s="4" t="s">
        <v>1334</v>
      </c>
    </row>
    <row r="1096" hidden="1">
      <c r="A1096" s="3"/>
      <c r="B1096" s="3"/>
      <c r="C1096" s="3"/>
      <c r="D1096" s="3"/>
      <c r="E1096" s="4" t="s">
        <v>1335</v>
      </c>
    </row>
    <row r="1097" hidden="1">
      <c r="A1097" s="3"/>
      <c r="B1097" s="3"/>
      <c r="C1097" s="3"/>
      <c r="D1097" s="3"/>
      <c r="E1097" s="4" t="s">
        <v>1336</v>
      </c>
    </row>
    <row r="1098" hidden="1">
      <c r="A1098" s="3"/>
      <c r="B1098" s="3"/>
      <c r="C1098" s="3"/>
      <c r="D1098" s="3"/>
      <c r="E1098" s="4" t="s">
        <v>1337</v>
      </c>
    </row>
    <row r="1099" hidden="1">
      <c r="A1099" s="3"/>
      <c r="B1099" s="3"/>
      <c r="C1099" s="3"/>
      <c r="D1099" s="3"/>
      <c r="E1099" s="4" t="s">
        <v>1338</v>
      </c>
    </row>
    <row r="1100" hidden="1">
      <c r="A1100" s="3"/>
      <c r="B1100" s="3"/>
      <c r="C1100" s="3"/>
      <c r="D1100" s="3"/>
      <c r="E1100" s="4" t="s">
        <v>1339</v>
      </c>
    </row>
    <row r="1101" hidden="1">
      <c r="A1101" s="3"/>
      <c r="B1101" s="3"/>
      <c r="C1101" s="3"/>
      <c r="D1101" s="3"/>
      <c r="E1101" s="4" t="s">
        <v>1340</v>
      </c>
    </row>
    <row r="1102" hidden="1">
      <c r="A1102" s="3"/>
      <c r="B1102" s="3"/>
      <c r="C1102" s="3"/>
      <c r="D1102" s="3"/>
      <c r="E1102" s="4" t="s">
        <v>1342</v>
      </c>
    </row>
    <row r="1103" hidden="1">
      <c r="A1103" s="3"/>
      <c r="B1103" s="3"/>
      <c r="C1103" s="3"/>
      <c r="D1103" s="3"/>
      <c r="E1103" s="4" t="s">
        <v>1343</v>
      </c>
    </row>
    <row r="1104" hidden="1">
      <c r="A1104" s="3"/>
      <c r="B1104" s="3"/>
      <c r="C1104" s="3"/>
      <c r="D1104" s="3"/>
      <c r="E1104" s="4" t="s">
        <v>1344</v>
      </c>
    </row>
    <row r="1105" hidden="1">
      <c r="A1105" s="3"/>
      <c r="B1105" s="3"/>
      <c r="C1105" s="3"/>
      <c r="D1105" s="3"/>
      <c r="E1105" s="4" t="s">
        <v>1345</v>
      </c>
    </row>
    <row r="1106" hidden="1">
      <c r="A1106" s="3"/>
      <c r="B1106" s="3"/>
      <c r="C1106" s="3"/>
      <c r="D1106" s="3"/>
      <c r="E1106" s="4" t="s">
        <v>1346</v>
      </c>
    </row>
    <row r="1107" hidden="1">
      <c r="A1107" s="3"/>
      <c r="B1107" s="3"/>
      <c r="C1107" s="3"/>
      <c r="D1107" s="3"/>
      <c r="E1107" s="4" t="s">
        <v>1347</v>
      </c>
    </row>
    <row r="1108" hidden="1">
      <c r="A1108" s="3"/>
      <c r="B1108" s="3"/>
      <c r="C1108" s="3"/>
      <c r="D1108" s="3"/>
      <c r="E1108" s="4" t="s">
        <v>1348</v>
      </c>
    </row>
    <row r="1109" hidden="1">
      <c r="A1109" s="3"/>
      <c r="B1109" s="3"/>
      <c r="C1109" s="3"/>
      <c r="D1109" s="3"/>
      <c r="E1109" s="4" t="s">
        <v>1349</v>
      </c>
    </row>
    <row r="1110" hidden="1">
      <c r="A1110" s="3"/>
      <c r="B1110" s="3"/>
      <c r="C1110" s="3"/>
      <c r="D1110" s="3"/>
      <c r="E1110" s="4" t="s">
        <v>1351</v>
      </c>
    </row>
    <row r="1111" hidden="1">
      <c r="A1111" s="3"/>
      <c r="B1111" s="3"/>
      <c r="C1111" s="3"/>
      <c r="D1111" s="3"/>
      <c r="E1111" s="4" t="s">
        <v>1352</v>
      </c>
    </row>
    <row r="1112" hidden="1">
      <c r="A1112" s="3"/>
      <c r="B1112" s="3"/>
      <c r="C1112" s="3"/>
      <c r="D1112" s="3"/>
      <c r="E1112" s="4" t="s">
        <v>1353</v>
      </c>
    </row>
    <row r="1113" hidden="1">
      <c r="A1113" s="3"/>
      <c r="B1113" s="3"/>
      <c r="C1113" s="3"/>
      <c r="D1113" s="3"/>
      <c r="E1113" s="4" t="s">
        <v>1354</v>
      </c>
    </row>
    <row r="1114" hidden="1">
      <c r="A1114" s="3"/>
      <c r="B1114" s="3"/>
      <c r="C1114" s="3"/>
      <c r="D1114" s="3"/>
      <c r="E1114" s="4" t="s">
        <v>1355</v>
      </c>
    </row>
    <row r="1115" hidden="1">
      <c r="A1115" s="3"/>
      <c r="B1115" s="3"/>
      <c r="C1115" s="3"/>
      <c r="D1115" s="3"/>
      <c r="E1115" s="4" t="s">
        <v>1356</v>
      </c>
    </row>
    <row r="1116" hidden="1">
      <c r="A1116" s="3"/>
      <c r="B1116" s="3"/>
      <c r="C1116" s="3"/>
      <c r="D1116" s="3"/>
      <c r="E1116" s="4" t="s">
        <v>1358</v>
      </c>
    </row>
    <row r="1117" hidden="1">
      <c r="A1117" s="3"/>
      <c r="B1117" s="3"/>
      <c r="C1117" s="3"/>
      <c r="D1117" s="3"/>
      <c r="E1117" s="4" t="s">
        <v>1359</v>
      </c>
    </row>
    <row r="1118" hidden="1">
      <c r="A1118" s="3"/>
      <c r="B1118" s="3"/>
      <c r="C1118" s="3"/>
      <c r="D1118" s="3"/>
      <c r="E1118" s="4" t="s">
        <v>1361</v>
      </c>
    </row>
    <row r="1119" hidden="1">
      <c r="A1119" s="3"/>
      <c r="B1119" s="3"/>
      <c r="C1119" s="3"/>
      <c r="D1119" s="3"/>
      <c r="E1119" s="4" t="s">
        <v>1362</v>
      </c>
    </row>
    <row r="1120" hidden="1">
      <c r="A1120" s="3"/>
      <c r="B1120" s="3"/>
      <c r="C1120" s="3"/>
      <c r="D1120" s="3"/>
      <c r="E1120" s="4" t="s">
        <v>1363</v>
      </c>
    </row>
    <row r="1121" hidden="1">
      <c r="A1121" s="3"/>
      <c r="B1121" s="3"/>
      <c r="C1121" s="3"/>
      <c r="D1121" s="3"/>
      <c r="E1121" s="4" t="s">
        <v>1364</v>
      </c>
    </row>
    <row r="1122" hidden="1">
      <c r="A1122" s="3"/>
      <c r="B1122" s="3"/>
      <c r="C1122" s="3"/>
      <c r="D1122" s="3"/>
      <c r="E1122" s="4" t="s">
        <v>1366</v>
      </c>
    </row>
    <row r="1123" hidden="1">
      <c r="A1123" s="3"/>
      <c r="B1123" s="3"/>
      <c r="C1123" s="3"/>
      <c r="D1123" s="3"/>
      <c r="E1123" s="4" t="s">
        <v>1367</v>
      </c>
    </row>
    <row r="1124" hidden="1">
      <c r="A1124" s="3"/>
      <c r="B1124" s="3"/>
      <c r="C1124" s="3"/>
      <c r="D1124" s="3"/>
      <c r="E1124" s="4" t="s">
        <v>1368</v>
      </c>
    </row>
    <row r="1125" hidden="1">
      <c r="A1125" s="3"/>
      <c r="B1125" s="3"/>
      <c r="C1125" s="3"/>
      <c r="D1125" s="3"/>
      <c r="E1125" s="4" t="s">
        <v>1369</v>
      </c>
    </row>
    <row r="1126" hidden="1">
      <c r="A1126" s="3"/>
      <c r="B1126" s="3"/>
      <c r="C1126" s="3"/>
      <c r="D1126" s="3"/>
      <c r="E1126" s="4" t="s">
        <v>1370</v>
      </c>
    </row>
    <row r="1127" hidden="1">
      <c r="A1127" s="3"/>
      <c r="B1127" s="3"/>
      <c r="C1127" s="3"/>
      <c r="D1127" s="3"/>
      <c r="E1127" s="4" t="s">
        <v>1371</v>
      </c>
    </row>
    <row r="1128" hidden="1">
      <c r="A1128" s="3"/>
      <c r="B1128" s="3"/>
      <c r="C1128" s="3"/>
      <c r="D1128" s="3"/>
      <c r="E1128" s="4" t="s">
        <v>1373</v>
      </c>
    </row>
    <row r="1129" hidden="1">
      <c r="A1129" s="3"/>
      <c r="B1129" s="3"/>
      <c r="C1129" s="3"/>
      <c r="D1129" s="3"/>
      <c r="E1129" s="4" t="s">
        <v>1374</v>
      </c>
    </row>
    <row r="1130" hidden="1">
      <c r="A1130" s="3"/>
      <c r="B1130" s="3"/>
      <c r="C1130" s="3"/>
      <c r="D1130" s="3"/>
      <c r="E1130" s="4" t="s">
        <v>1375</v>
      </c>
    </row>
    <row r="1131" hidden="1">
      <c r="A1131" s="3"/>
      <c r="B1131" s="3"/>
      <c r="C1131" s="3"/>
      <c r="D1131" s="3"/>
      <c r="E1131" s="4" t="s">
        <v>1376</v>
      </c>
    </row>
    <row r="1132" hidden="1">
      <c r="A1132" s="3"/>
      <c r="B1132" s="3"/>
      <c r="C1132" s="3"/>
      <c r="D1132" s="3"/>
      <c r="E1132" s="4" t="s">
        <v>1377</v>
      </c>
    </row>
    <row r="1133" hidden="1">
      <c r="A1133" s="3"/>
      <c r="B1133" s="3"/>
      <c r="C1133" s="3"/>
      <c r="D1133" s="3"/>
      <c r="E1133" s="4" t="s">
        <v>1378</v>
      </c>
    </row>
    <row r="1134" hidden="1">
      <c r="A1134" s="3"/>
      <c r="B1134" s="3"/>
      <c r="C1134" s="3"/>
      <c r="D1134" s="3"/>
      <c r="E1134" s="4" t="s">
        <v>1379</v>
      </c>
    </row>
    <row r="1135" hidden="1">
      <c r="A1135" s="3"/>
      <c r="B1135" s="3"/>
      <c r="C1135" s="3"/>
      <c r="D1135" s="3"/>
      <c r="E1135" s="4" t="s">
        <v>1380</v>
      </c>
    </row>
    <row r="1136" hidden="1">
      <c r="A1136" s="3"/>
      <c r="B1136" s="3"/>
      <c r="C1136" s="3"/>
      <c r="D1136" s="3"/>
      <c r="E1136" s="4" t="s">
        <v>1382</v>
      </c>
    </row>
    <row r="1137" hidden="1">
      <c r="A1137" s="3"/>
      <c r="B1137" s="3"/>
      <c r="C1137" s="3"/>
      <c r="D1137" s="3"/>
      <c r="E1137" s="4" t="s">
        <v>1383</v>
      </c>
    </row>
    <row r="1138" hidden="1">
      <c r="A1138" s="3"/>
      <c r="B1138" s="3"/>
      <c r="C1138" s="3"/>
      <c r="D1138" s="3"/>
      <c r="E1138" s="4" t="s">
        <v>1384</v>
      </c>
    </row>
    <row r="1139" hidden="1">
      <c r="A1139" s="3"/>
      <c r="B1139" s="3"/>
      <c r="C1139" s="3"/>
      <c r="D1139" s="3"/>
      <c r="E1139" s="4" t="s">
        <v>1385</v>
      </c>
    </row>
    <row r="1140" hidden="1">
      <c r="A1140" s="3"/>
      <c r="B1140" s="3"/>
      <c r="C1140" s="3"/>
      <c r="D1140" s="3"/>
      <c r="E1140" s="4" t="s">
        <v>1386</v>
      </c>
    </row>
    <row r="1141" hidden="1">
      <c r="A1141" s="3"/>
      <c r="B1141" s="3"/>
      <c r="C1141" s="3"/>
      <c r="D1141" s="3"/>
      <c r="E1141" s="4" t="s">
        <v>1387</v>
      </c>
    </row>
    <row r="1142" hidden="1">
      <c r="A1142" s="3"/>
      <c r="B1142" s="3"/>
      <c r="C1142" s="3"/>
      <c r="D1142" s="3"/>
      <c r="E1142" s="4" t="s">
        <v>1388</v>
      </c>
    </row>
    <row r="1143" hidden="1">
      <c r="A1143" s="3"/>
      <c r="B1143" s="3"/>
      <c r="C1143" s="3"/>
      <c r="D1143" s="3"/>
      <c r="E1143" s="4" t="s">
        <v>1390</v>
      </c>
    </row>
    <row r="1144" hidden="1">
      <c r="A1144" s="3"/>
      <c r="B1144" s="3"/>
      <c r="C1144" s="3"/>
      <c r="D1144" s="3"/>
      <c r="E1144" s="4" t="s">
        <v>1391</v>
      </c>
    </row>
    <row r="1145" hidden="1">
      <c r="A1145" s="3"/>
      <c r="B1145" s="3"/>
      <c r="C1145" s="3"/>
      <c r="D1145" s="3"/>
      <c r="E1145" s="4" t="s">
        <v>1392</v>
      </c>
    </row>
    <row r="1146" hidden="1">
      <c r="A1146" s="3"/>
      <c r="B1146" s="3"/>
      <c r="C1146" s="3"/>
      <c r="D1146" s="3"/>
      <c r="E1146" s="4" t="s">
        <v>1393</v>
      </c>
    </row>
    <row r="1147" hidden="1">
      <c r="A1147" s="3"/>
      <c r="B1147" s="3"/>
      <c r="C1147" s="3"/>
      <c r="D1147" s="3"/>
      <c r="E1147" s="4" t="s">
        <v>1394</v>
      </c>
    </row>
    <row r="1148" hidden="1">
      <c r="A1148" s="3"/>
      <c r="B1148" s="3"/>
      <c r="C1148" s="3"/>
      <c r="D1148" s="3"/>
      <c r="E1148" s="4" t="s">
        <v>1395</v>
      </c>
    </row>
    <row r="1149" hidden="1">
      <c r="A1149" s="3"/>
      <c r="B1149" s="3"/>
      <c r="C1149" s="3"/>
      <c r="D1149" s="3"/>
      <c r="E1149" s="4" t="s">
        <v>1396</v>
      </c>
    </row>
    <row r="1150" hidden="1">
      <c r="A1150" s="3"/>
      <c r="B1150" s="3"/>
      <c r="C1150" s="3"/>
      <c r="D1150" s="3"/>
      <c r="E1150" s="4" t="s">
        <v>1397</v>
      </c>
    </row>
    <row r="1151" hidden="1">
      <c r="A1151" s="3"/>
      <c r="B1151" s="3"/>
      <c r="C1151" s="3"/>
      <c r="D1151" s="3"/>
      <c r="E1151" s="4" t="s">
        <v>1399</v>
      </c>
    </row>
    <row r="1152" hidden="1">
      <c r="A1152" s="3"/>
      <c r="B1152" s="3"/>
      <c r="C1152" s="3"/>
      <c r="D1152" s="3"/>
      <c r="E1152" s="4" t="s">
        <v>1400</v>
      </c>
    </row>
    <row r="1153" hidden="1">
      <c r="A1153" s="3"/>
      <c r="B1153" s="3"/>
      <c r="C1153" s="3"/>
      <c r="D1153" s="3"/>
      <c r="E1153" s="4" t="s">
        <v>1401</v>
      </c>
    </row>
    <row r="1154" hidden="1">
      <c r="A1154" s="3"/>
      <c r="B1154" s="3"/>
      <c r="C1154" s="3"/>
      <c r="D1154" s="3"/>
      <c r="E1154" s="4" t="s">
        <v>1402</v>
      </c>
    </row>
    <row r="1155" hidden="1">
      <c r="A1155" s="3"/>
      <c r="B1155" s="3"/>
      <c r="C1155" s="3"/>
      <c r="D1155" s="3"/>
      <c r="E1155" s="4" t="s">
        <v>1403</v>
      </c>
    </row>
    <row r="1156" hidden="1">
      <c r="A1156" s="3"/>
      <c r="B1156" s="3"/>
      <c r="C1156" s="3"/>
      <c r="D1156" s="3"/>
      <c r="E1156" s="4" t="s">
        <v>1404</v>
      </c>
    </row>
    <row r="1157" hidden="1">
      <c r="A1157" s="3"/>
      <c r="B1157" s="3"/>
      <c r="C1157" s="3"/>
      <c r="D1157" s="3"/>
      <c r="E1157" s="4" t="s">
        <v>1405</v>
      </c>
    </row>
    <row r="1158" hidden="1">
      <c r="A1158" s="3"/>
      <c r="B1158" s="3"/>
      <c r="C1158" s="3"/>
      <c r="D1158" s="3"/>
      <c r="E1158" s="4" t="s">
        <v>1407</v>
      </c>
    </row>
    <row r="1159" hidden="1">
      <c r="A1159" s="3"/>
      <c r="B1159" s="3"/>
      <c r="C1159" s="3"/>
      <c r="D1159" s="3"/>
      <c r="E1159" s="4" t="s">
        <v>1408</v>
      </c>
    </row>
    <row r="1160" hidden="1">
      <c r="A1160" s="3"/>
      <c r="B1160" s="3"/>
      <c r="C1160" s="3"/>
      <c r="D1160" s="3"/>
      <c r="E1160" s="4" t="s">
        <v>1409</v>
      </c>
    </row>
    <row r="1161" hidden="1">
      <c r="A1161" s="3"/>
      <c r="B1161" s="3"/>
      <c r="C1161" s="3"/>
      <c r="D1161" s="3"/>
      <c r="E1161" s="4" t="s">
        <v>1410</v>
      </c>
    </row>
    <row r="1162" hidden="1">
      <c r="A1162" s="3"/>
      <c r="B1162" s="3"/>
      <c r="C1162" s="3"/>
      <c r="D1162" s="3"/>
      <c r="E1162" s="4" t="s">
        <v>1411</v>
      </c>
    </row>
    <row r="1163" hidden="1">
      <c r="A1163" s="3"/>
      <c r="B1163" s="3"/>
      <c r="C1163" s="3"/>
      <c r="D1163" s="3"/>
      <c r="E1163" s="4" t="s">
        <v>1412</v>
      </c>
    </row>
    <row r="1164" hidden="1">
      <c r="A1164" s="3"/>
      <c r="B1164" s="3"/>
      <c r="C1164" s="3"/>
      <c r="D1164" s="3"/>
      <c r="E1164" s="4" t="s">
        <v>1413</v>
      </c>
    </row>
    <row r="1165" hidden="1">
      <c r="A1165" s="3"/>
      <c r="B1165" s="3"/>
      <c r="C1165" s="3"/>
      <c r="D1165" s="3"/>
      <c r="E1165" s="4" t="s">
        <v>1414</v>
      </c>
    </row>
    <row r="1166" hidden="1">
      <c r="A1166" s="3"/>
      <c r="B1166" s="3"/>
      <c r="C1166" s="3"/>
      <c r="D1166" s="3"/>
      <c r="E1166" s="4" t="s">
        <v>1416</v>
      </c>
    </row>
    <row r="1167" hidden="1">
      <c r="A1167" s="3"/>
      <c r="B1167" s="3"/>
      <c r="C1167" s="3"/>
      <c r="D1167" s="3"/>
      <c r="E1167" s="4" t="s">
        <v>1417</v>
      </c>
    </row>
    <row r="1168" hidden="1">
      <c r="A1168" s="3"/>
      <c r="B1168" s="3"/>
      <c r="C1168" s="3"/>
      <c r="D1168" s="3"/>
      <c r="E1168" s="4" t="s">
        <v>1418</v>
      </c>
    </row>
    <row r="1169" hidden="1">
      <c r="A1169" s="3"/>
      <c r="B1169" s="3"/>
      <c r="C1169" s="3"/>
      <c r="D1169" s="3"/>
      <c r="E1169" s="4" t="s">
        <v>1419</v>
      </c>
    </row>
    <row r="1170" hidden="1">
      <c r="A1170" s="3"/>
      <c r="B1170" s="3"/>
      <c r="C1170" s="3"/>
      <c r="D1170" s="3"/>
      <c r="E1170" s="4" t="s">
        <v>1420</v>
      </c>
    </row>
    <row r="1171" hidden="1">
      <c r="A1171" s="3"/>
      <c r="B1171" s="3"/>
      <c r="C1171" s="3"/>
      <c r="D1171" s="3"/>
      <c r="E1171" s="4" t="s">
        <v>1422</v>
      </c>
    </row>
    <row r="1172" hidden="1">
      <c r="A1172" s="3"/>
      <c r="B1172" s="3"/>
      <c r="C1172" s="3"/>
      <c r="D1172" s="3"/>
      <c r="E1172" s="4" t="s">
        <v>1423</v>
      </c>
    </row>
    <row r="1173" hidden="1">
      <c r="A1173" s="3"/>
      <c r="B1173" s="3"/>
      <c r="C1173" s="3"/>
      <c r="D1173" s="3"/>
      <c r="E1173" s="4" t="s">
        <v>1424</v>
      </c>
    </row>
    <row r="1174" hidden="1">
      <c r="A1174" s="3"/>
      <c r="B1174" s="3"/>
      <c r="C1174" s="3"/>
      <c r="D1174" s="3"/>
      <c r="E1174" s="4" t="s">
        <v>1425</v>
      </c>
    </row>
    <row r="1175" hidden="1">
      <c r="A1175" s="3"/>
      <c r="B1175" s="3"/>
      <c r="C1175" s="3"/>
      <c r="D1175" s="3"/>
      <c r="E1175" s="4" t="s">
        <v>1426</v>
      </c>
    </row>
    <row r="1176" hidden="1">
      <c r="A1176" s="3"/>
      <c r="B1176" s="3"/>
      <c r="C1176" s="3"/>
      <c r="D1176" s="3"/>
      <c r="E1176" s="4" t="s">
        <v>1428</v>
      </c>
    </row>
    <row r="1177" hidden="1">
      <c r="A1177" s="3"/>
      <c r="B1177" s="3"/>
      <c r="C1177" s="3"/>
      <c r="D1177" s="3"/>
      <c r="E1177" s="4" t="s">
        <v>1429</v>
      </c>
    </row>
    <row r="1178" hidden="1">
      <c r="A1178" s="3"/>
      <c r="B1178" s="3"/>
      <c r="C1178" s="3"/>
      <c r="D1178" s="3"/>
      <c r="E1178" s="4" t="s">
        <v>1430</v>
      </c>
    </row>
    <row r="1179" hidden="1">
      <c r="A1179" s="3"/>
      <c r="B1179" s="3"/>
      <c r="C1179" s="3"/>
      <c r="D1179" s="3"/>
      <c r="E1179" s="4" t="s">
        <v>1431</v>
      </c>
    </row>
    <row r="1180" hidden="1">
      <c r="A1180" s="3"/>
      <c r="B1180" s="3"/>
      <c r="C1180" s="3"/>
      <c r="D1180" s="3"/>
      <c r="E1180" s="4" t="s">
        <v>1432</v>
      </c>
    </row>
    <row r="1181" hidden="1">
      <c r="A1181" s="3"/>
      <c r="B1181" s="3"/>
      <c r="C1181" s="3"/>
      <c r="D1181" s="3"/>
      <c r="E1181" s="4" t="s">
        <v>1433</v>
      </c>
    </row>
    <row r="1182" hidden="1">
      <c r="A1182" s="3"/>
      <c r="B1182" s="3"/>
      <c r="C1182" s="3"/>
      <c r="D1182" s="3"/>
      <c r="E1182" s="4" t="s">
        <v>1434</v>
      </c>
    </row>
    <row r="1183" hidden="1">
      <c r="A1183" s="3"/>
      <c r="B1183" s="3"/>
      <c r="C1183" s="3"/>
      <c r="D1183" s="3"/>
      <c r="E1183" s="4" t="s">
        <v>1436</v>
      </c>
    </row>
    <row r="1184" hidden="1">
      <c r="A1184" s="3"/>
      <c r="B1184" s="3"/>
      <c r="C1184" s="3"/>
      <c r="D1184" s="3"/>
      <c r="E1184" s="4" t="s">
        <v>1437</v>
      </c>
    </row>
    <row r="1185" hidden="1">
      <c r="A1185" s="3"/>
      <c r="B1185" s="3"/>
      <c r="C1185" s="3"/>
      <c r="D1185" s="3"/>
      <c r="E1185" s="4" t="s">
        <v>1438</v>
      </c>
    </row>
    <row r="1186" hidden="1">
      <c r="A1186" s="3"/>
      <c r="B1186" s="3"/>
      <c r="C1186" s="3"/>
      <c r="D1186" s="3"/>
      <c r="E1186" s="4" t="s">
        <v>1439</v>
      </c>
    </row>
    <row r="1187" hidden="1">
      <c r="A1187" s="3"/>
      <c r="B1187" s="3"/>
      <c r="C1187" s="3"/>
      <c r="D1187" s="3"/>
      <c r="E1187" s="4" t="s">
        <v>1440</v>
      </c>
    </row>
    <row r="1188" hidden="1">
      <c r="A1188" s="3"/>
      <c r="B1188" s="3"/>
      <c r="C1188" s="3"/>
      <c r="D1188" s="3"/>
      <c r="E1188" s="4" t="s">
        <v>1441</v>
      </c>
    </row>
    <row r="1189" hidden="1">
      <c r="A1189" s="3"/>
      <c r="B1189" s="3"/>
      <c r="C1189" s="3"/>
      <c r="D1189" s="3"/>
      <c r="E1189" s="4" t="s">
        <v>1442</v>
      </c>
    </row>
    <row r="1190" hidden="1">
      <c r="A1190" s="3"/>
      <c r="B1190" s="3"/>
      <c r="C1190" s="3"/>
      <c r="D1190" s="3"/>
      <c r="E1190" s="4" t="s">
        <v>1443</v>
      </c>
    </row>
    <row r="1191" hidden="1">
      <c r="A1191" s="3"/>
      <c r="B1191" s="3"/>
      <c r="C1191" s="3"/>
      <c r="D1191" s="3"/>
      <c r="E1191" s="4" t="s">
        <v>1445</v>
      </c>
    </row>
    <row r="1192" hidden="1">
      <c r="A1192" s="3"/>
      <c r="B1192" s="3"/>
      <c r="C1192" s="3"/>
      <c r="D1192" s="3"/>
      <c r="E1192" s="4" t="s">
        <v>1446</v>
      </c>
    </row>
    <row r="1193" hidden="1">
      <c r="A1193" s="3"/>
      <c r="B1193" s="3"/>
      <c r="C1193" s="3"/>
      <c r="D1193" s="3"/>
      <c r="E1193" s="4" t="s">
        <v>1447</v>
      </c>
    </row>
    <row r="1194" hidden="1">
      <c r="A1194" s="3"/>
      <c r="B1194" s="3"/>
      <c r="C1194" s="3"/>
      <c r="D1194" s="3"/>
      <c r="E1194" s="4" t="s">
        <v>1448</v>
      </c>
    </row>
    <row r="1195" hidden="1">
      <c r="A1195" s="3"/>
      <c r="B1195" s="3"/>
      <c r="C1195" s="3"/>
      <c r="D1195" s="3"/>
      <c r="E1195" s="4" t="s">
        <v>1449</v>
      </c>
    </row>
    <row r="1196" hidden="1">
      <c r="A1196" s="3"/>
      <c r="B1196" s="3"/>
      <c r="C1196" s="3"/>
      <c r="D1196" s="3"/>
      <c r="E1196" s="4" t="s">
        <v>1450</v>
      </c>
    </row>
    <row r="1197" hidden="1">
      <c r="A1197" s="3"/>
      <c r="B1197" s="3"/>
      <c r="C1197" s="3"/>
      <c r="D1197" s="3"/>
      <c r="E1197" s="4" t="s">
        <v>1451</v>
      </c>
    </row>
    <row r="1198" hidden="1">
      <c r="A1198" s="3"/>
      <c r="B1198" s="3"/>
      <c r="C1198" s="3"/>
      <c r="D1198" s="3"/>
      <c r="E1198" s="4" t="s">
        <v>1453</v>
      </c>
    </row>
    <row r="1199" hidden="1">
      <c r="A1199" s="3"/>
      <c r="B1199" s="3"/>
      <c r="C1199" s="3"/>
      <c r="D1199" s="3"/>
      <c r="E1199" s="4" t="s">
        <v>1454</v>
      </c>
    </row>
    <row r="1200" hidden="1">
      <c r="A1200" s="3"/>
      <c r="B1200" s="3"/>
      <c r="C1200" s="3"/>
      <c r="D1200" s="3"/>
      <c r="E1200" s="4" t="s">
        <v>1455</v>
      </c>
    </row>
    <row r="1201" hidden="1">
      <c r="A1201" s="3"/>
      <c r="B1201" s="3"/>
      <c r="C1201" s="3"/>
      <c r="D1201" s="3"/>
      <c r="E1201" s="4" t="s">
        <v>1456</v>
      </c>
    </row>
    <row r="1202" hidden="1">
      <c r="A1202" s="3"/>
      <c r="B1202" s="3"/>
      <c r="C1202" s="3"/>
      <c r="D1202" s="3"/>
      <c r="E1202" s="4" t="s">
        <v>1457</v>
      </c>
    </row>
    <row r="1203" hidden="1">
      <c r="A1203" s="3"/>
      <c r="B1203" s="3"/>
      <c r="C1203" s="3"/>
      <c r="D1203" s="3"/>
      <c r="E1203" s="4" t="s">
        <v>1458</v>
      </c>
    </row>
    <row r="1204" hidden="1">
      <c r="A1204" s="3"/>
      <c r="B1204" s="3"/>
      <c r="C1204" s="3"/>
      <c r="D1204" s="3"/>
      <c r="E1204" s="4" t="s">
        <v>1460</v>
      </c>
    </row>
    <row r="1205" hidden="1">
      <c r="A1205" s="3"/>
      <c r="B1205" s="3"/>
      <c r="C1205" s="3"/>
      <c r="D1205" s="3"/>
      <c r="E1205" s="4" t="s">
        <v>1461</v>
      </c>
    </row>
    <row r="1206" hidden="1">
      <c r="A1206" s="3"/>
      <c r="B1206" s="3"/>
      <c r="C1206" s="3"/>
      <c r="D1206" s="3"/>
      <c r="E1206" s="4" t="s">
        <v>1462</v>
      </c>
    </row>
    <row r="1207" hidden="1">
      <c r="A1207" s="3"/>
      <c r="B1207" s="3"/>
      <c r="C1207" s="3"/>
      <c r="D1207" s="3"/>
      <c r="E1207" s="4" t="s">
        <v>1463</v>
      </c>
    </row>
    <row r="1208" hidden="1">
      <c r="A1208" s="3"/>
      <c r="B1208" s="3"/>
      <c r="C1208" s="3"/>
      <c r="D1208" s="3"/>
      <c r="E1208" s="4" t="s">
        <v>1465</v>
      </c>
    </row>
    <row r="1209" hidden="1">
      <c r="A1209" s="3"/>
      <c r="B1209" s="3"/>
      <c r="C1209" s="3"/>
      <c r="D1209" s="3"/>
      <c r="E1209" s="4" t="s">
        <v>1466</v>
      </c>
    </row>
    <row r="1210" hidden="1">
      <c r="A1210" s="3"/>
      <c r="B1210" s="3"/>
      <c r="C1210" s="3"/>
      <c r="D1210" s="3"/>
      <c r="E1210" s="4" t="s">
        <v>1468</v>
      </c>
    </row>
    <row r="1211" hidden="1">
      <c r="A1211" s="3"/>
      <c r="B1211" s="3"/>
      <c r="C1211" s="3"/>
      <c r="D1211" s="3"/>
      <c r="E1211" s="4" t="s">
        <v>1469</v>
      </c>
    </row>
    <row r="1212" hidden="1">
      <c r="A1212" s="3"/>
      <c r="B1212" s="3"/>
      <c r="C1212" s="3"/>
      <c r="D1212" s="3"/>
      <c r="E1212" s="4" t="s">
        <v>1470</v>
      </c>
    </row>
    <row r="1213" hidden="1">
      <c r="A1213" s="3"/>
      <c r="B1213" s="3"/>
      <c r="C1213" s="3"/>
      <c r="D1213" s="3"/>
      <c r="E1213" s="4" t="s">
        <v>1472</v>
      </c>
    </row>
    <row r="1214" hidden="1">
      <c r="A1214" s="3"/>
      <c r="B1214" s="3"/>
      <c r="C1214" s="3"/>
      <c r="D1214" s="3"/>
      <c r="E1214" s="4" t="s">
        <v>1473</v>
      </c>
    </row>
    <row r="1215" hidden="1">
      <c r="A1215" s="3"/>
      <c r="B1215" s="3"/>
      <c r="C1215" s="3"/>
      <c r="D1215" s="3"/>
      <c r="E1215" s="4" t="s">
        <v>1474</v>
      </c>
    </row>
    <row r="1216" hidden="1">
      <c r="A1216" s="3"/>
      <c r="B1216" s="3"/>
      <c r="C1216" s="3"/>
      <c r="D1216" s="3"/>
      <c r="E1216" s="4" t="s">
        <v>1475</v>
      </c>
    </row>
    <row r="1217" hidden="1">
      <c r="A1217" s="3"/>
      <c r="B1217" s="3"/>
      <c r="C1217" s="3"/>
      <c r="D1217" s="3"/>
      <c r="E1217" s="4" t="s">
        <v>1476</v>
      </c>
    </row>
    <row r="1218" hidden="1">
      <c r="A1218" s="3"/>
      <c r="B1218" s="3"/>
      <c r="C1218" s="3"/>
      <c r="D1218" s="3"/>
      <c r="E1218" s="4" t="s">
        <v>1478</v>
      </c>
    </row>
    <row r="1219" hidden="1">
      <c r="A1219" s="3"/>
      <c r="B1219" s="3"/>
      <c r="C1219" s="3"/>
      <c r="D1219" s="3"/>
      <c r="E1219" s="4" t="s">
        <v>1479</v>
      </c>
    </row>
    <row r="1220" hidden="1">
      <c r="A1220" s="3"/>
      <c r="B1220" s="3"/>
      <c r="C1220" s="3"/>
      <c r="D1220" s="3"/>
      <c r="E1220" s="4" t="s">
        <v>1480</v>
      </c>
    </row>
    <row r="1221" hidden="1">
      <c r="A1221" s="3"/>
      <c r="B1221" s="3"/>
      <c r="C1221" s="3"/>
      <c r="D1221" s="3"/>
      <c r="E1221" s="4" t="s">
        <v>1481</v>
      </c>
    </row>
    <row r="1222" hidden="1">
      <c r="A1222" s="3"/>
      <c r="B1222" s="3"/>
      <c r="C1222" s="3"/>
      <c r="D1222" s="3"/>
      <c r="E1222" s="4" t="s">
        <v>1483</v>
      </c>
    </row>
    <row r="1223" hidden="1">
      <c r="A1223" s="3"/>
      <c r="B1223" s="3"/>
      <c r="C1223" s="3"/>
      <c r="D1223" s="3"/>
      <c r="E1223" s="4" t="s">
        <v>1484</v>
      </c>
    </row>
    <row r="1224" hidden="1">
      <c r="A1224" s="3"/>
      <c r="B1224" s="3"/>
      <c r="C1224" s="3"/>
      <c r="D1224" s="3"/>
      <c r="E1224" s="4" t="s">
        <v>1485</v>
      </c>
    </row>
    <row r="1225" hidden="1">
      <c r="A1225" s="3"/>
      <c r="B1225" s="3"/>
      <c r="C1225" s="3"/>
      <c r="D1225" s="3"/>
      <c r="E1225" s="4" t="s">
        <v>1486</v>
      </c>
    </row>
    <row r="1226" hidden="1">
      <c r="A1226" s="3"/>
      <c r="B1226" s="3"/>
      <c r="C1226" s="3"/>
      <c r="D1226" s="3"/>
      <c r="E1226" s="4" t="s">
        <v>1488</v>
      </c>
    </row>
    <row r="1227" hidden="1">
      <c r="A1227" s="3"/>
      <c r="B1227" s="3"/>
      <c r="C1227" s="3"/>
      <c r="D1227" s="3"/>
      <c r="E1227" s="4" t="s">
        <v>1490</v>
      </c>
    </row>
    <row r="1228" hidden="1">
      <c r="A1228" s="3"/>
      <c r="B1228" s="3"/>
      <c r="C1228" s="3"/>
      <c r="D1228" s="3"/>
      <c r="E1228" s="4" t="s">
        <v>1491</v>
      </c>
    </row>
    <row r="1229" hidden="1">
      <c r="A1229" s="3"/>
      <c r="B1229" s="3"/>
      <c r="C1229" s="3"/>
      <c r="D1229" s="3"/>
      <c r="E1229" s="4" t="s">
        <v>1492</v>
      </c>
    </row>
    <row r="1230" hidden="1">
      <c r="A1230" s="3"/>
      <c r="B1230" s="3"/>
      <c r="C1230" s="3"/>
      <c r="D1230" s="3"/>
      <c r="E1230" s="4" t="s">
        <v>1493</v>
      </c>
    </row>
    <row r="1231" hidden="1">
      <c r="A1231" s="3"/>
      <c r="B1231" s="3"/>
      <c r="C1231" s="3"/>
      <c r="D1231" s="3"/>
      <c r="E1231" s="4" t="s">
        <v>1495</v>
      </c>
    </row>
    <row r="1232" hidden="1">
      <c r="A1232" s="3"/>
      <c r="B1232" s="3"/>
      <c r="C1232" s="3"/>
      <c r="D1232" s="3"/>
      <c r="E1232" s="4" t="s">
        <v>1496</v>
      </c>
    </row>
    <row r="1233" hidden="1">
      <c r="A1233" s="3"/>
      <c r="B1233" s="3"/>
      <c r="C1233" s="3"/>
      <c r="D1233" s="3"/>
      <c r="E1233" s="4" t="s">
        <v>1497</v>
      </c>
    </row>
    <row r="1234" hidden="1">
      <c r="A1234" s="3"/>
      <c r="B1234" s="3"/>
      <c r="C1234" s="3"/>
      <c r="D1234" s="3"/>
      <c r="E1234" s="4" t="s">
        <v>1498</v>
      </c>
    </row>
    <row r="1235" hidden="1">
      <c r="A1235" s="3"/>
      <c r="B1235" s="3"/>
      <c r="C1235" s="3"/>
      <c r="D1235" s="3"/>
      <c r="E1235" s="4" t="s">
        <v>1499</v>
      </c>
    </row>
    <row r="1236" hidden="1">
      <c r="A1236" s="3"/>
      <c r="B1236" s="3"/>
      <c r="C1236" s="3"/>
      <c r="D1236" s="3"/>
      <c r="E1236" s="4" t="s">
        <v>1501</v>
      </c>
    </row>
    <row r="1237" hidden="1">
      <c r="A1237" s="3"/>
      <c r="B1237" s="3"/>
      <c r="C1237" s="3"/>
      <c r="D1237" s="3"/>
      <c r="E1237" s="4" t="s">
        <v>1502</v>
      </c>
    </row>
    <row r="1238" hidden="1">
      <c r="A1238" s="3"/>
      <c r="B1238" s="3"/>
      <c r="C1238" s="3"/>
      <c r="D1238" s="3"/>
      <c r="E1238" s="4" t="s">
        <v>1503</v>
      </c>
    </row>
    <row r="1239" hidden="1">
      <c r="A1239" s="3"/>
      <c r="B1239" s="3"/>
      <c r="C1239" s="3"/>
      <c r="D1239" s="3"/>
      <c r="E1239" s="4" t="s">
        <v>1504</v>
      </c>
    </row>
    <row r="1240" hidden="1">
      <c r="A1240" s="3"/>
      <c r="B1240" s="3"/>
      <c r="C1240" s="3"/>
      <c r="D1240" s="3"/>
      <c r="E1240" s="4" t="s">
        <v>1505</v>
      </c>
    </row>
    <row r="1241" hidden="1">
      <c r="A1241" s="3"/>
      <c r="B1241" s="3"/>
      <c r="C1241" s="3"/>
      <c r="D1241" s="3"/>
      <c r="E1241" s="4" t="s">
        <v>1507</v>
      </c>
    </row>
    <row r="1242" hidden="1">
      <c r="A1242" s="3"/>
      <c r="B1242" s="3"/>
      <c r="C1242" s="3"/>
      <c r="D1242" s="3"/>
      <c r="E1242" s="4" t="s">
        <v>1508</v>
      </c>
    </row>
    <row r="1243" hidden="1">
      <c r="A1243" s="3"/>
      <c r="B1243" s="3"/>
      <c r="C1243" s="3"/>
      <c r="D1243" s="3"/>
      <c r="E1243" s="4" t="s">
        <v>1509</v>
      </c>
    </row>
    <row r="1244" hidden="1">
      <c r="A1244" s="3"/>
      <c r="B1244" s="3"/>
      <c r="C1244" s="3"/>
      <c r="D1244" s="3"/>
      <c r="E1244" s="4" t="s">
        <v>1510</v>
      </c>
    </row>
    <row r="1245" hidden="1">
      <c r="A1245" s="3"/>
      <c r="B1245" s="3"/>
      <c r="C1245" s="3"/>
      <c r="D1245" s="3"/>
      <c r="E1245" s="4" t="s">
        <v>1513</v>
      </c>
    </row>
    <row r="1246" hidden="1">
      <c r="A1246" s="3"/>
      <c r="B1246" s="3"/>
      <c r="C1246" s="3"/>
      <c r="D1246" s="3"/>
      <c r="E1246" s="4" t="s">
        <v>1514</v>
      </c>
    </row>
    <row r="1247" hidden="1">
      <c r="A1247" s="3"/>
      <c r="B1247" s="3"/>
      <c r="C1247" s="3"/>
      <c r="D1247" s="3"/>
      <c r="E1247" s="4" t="s">
        <v>1515</v>
      </c>
    </row>
    <row r="1248" hidden="1">
      <c r="A1248" s="3"/>
      <c r="B1248" s="3"/>
      <c r="C1248" s="3"/>
      <c r="D1248" s="3"/>
      <c r="E1248" s="4" t="s">
        <v>1516</v>
      </c>
    </row>
    <row r="1249" hidden="1">
      <c r="A1249" s="3"/>
      <c r="B1249" s="3"/>
      <c r="C1249" s="3"/>
      <c r="D1249" s="3"/>
      <c r="E1249" s="4" t="s">
        <v>1517</v>
      </c>
    </row>
    <row r="1250" hidden="1">
      <c r="A1250" s="3"/>
      <c r="B1250" s="3"/>
      <c r="C1250" s="3"/>
      <c r="D1250" s="3"/>
      <c r="E1250" s="4" t="s">
        <v>1518</v>
      </c>
    </row>
    <row r="1251" hidden="1">
      <c r="A1251" s="3"/>
      <c r="B1251" s="3"/>
      <c r="C1251" s="3"/>
      <c r="D1251" s="3"/>
      <c r="E1251" s="4" t="s">
        <v>1520</v>
      </c>
    </row>
    <row r="1252" hidden="1">
      <c r="A1252" s="3"/>
      <c r="B1252" s="3"/>
      <c r="C1252" s="3"/>
      <c r="D1252" s="3"/>
      <c r="E1252" s="4" t="s">
        <v>1521</v>
      </c>
    </row>
    <row r="1253" hidden="1">
      <c r="A1253" s="3"/>
      <c r="B1253" s="3"/>
      <c r="C1253" s="3"/>
      <c r="D1253" s="3"/>
      <c r="E1253" s="4" t="s">
        <v>1522</v>
      </c>
    </row>
    <row r="1254" hidden="1">
      <c r="A1254" s="3"/>
      <c r="B1254" s="3"/>
      <c r="C1254" s="3"/>
      <c r="D1254" s="3"/>
      <c r="E1254" s="4" t="s">
        <v>1523</v>
      </c>
    </row>
    <row r="1255" hidden="1">
      <c r="A1255" s="3"/>
      <c r="B1255" s="3"/>
      <c r="C1255" s="3"/>
      <c r="D1255" s="3"/>
      <c r="E1255" s="4" t="s">
        <v>1524</v>
      </c>
    </row>
    <row r="1256" hidden="1">
      <c r="A1256" s="3"/>
      <c r="B1256" s="3"/>
      <c r="C1256" s="3"/>
      <c r="D1256" s="3"/>
      <c r="E1256" s="4" t="s">
        <v>1526</v>
      </c>
    </row>
    <row r="1257" hidden="1">
      <c r="A1257" s="3"/>
      <c r="B1257" s="3"/>
      <c r="C1257" s="3"/>
      <c r="D1257" s="3"/>
      <c r="E1257" s="4" t="s">
        <v>1527</v>
      </c>
    </row>
    <row r="1258" hidden="1">
      <c r="A1258" s="3"/>
      <c r="B1258" s="3"/>
      <c r="C1258" s="3"/>
      <c r="D1258" s="3"/>
      <c r="E1258" s="4" t="s">
        <v>1528</v>
      </c>
    </row>
    <row r="1259" hidden="1">
      <c r="A1259" s="3"/>
      <c r="B1259" s="3"/>
      <c r="C1259" s="3"/>
      <c r="D1259" s="3"/>
      <c r="E1259" s="4" t="s">
        <v>1529</v>
      </c>
    </row>
    <row r="1260" hidden="1">
      <c r="A1260" s="3"/>
      <c r="B1260" s="3"/>
      <c r="C1260" s="3"/>
      <c r="D1260" s="3"/>
      <c r="E1260" s="4" t="s">
        <v>1531</v>
      </c>
    </row>
    <row r="1261" hidden="1">
      <c r="A1261" s="3"/>
      <c r="B1261" s="3"/>
      <c r="C1261" s="3"/>
      <c r="D1261" s="3"/>
      <c r="E1261" s="4" t="s">
        <v>1532</v>
      </c>
    </row>
    <row r="1262" hidden="1">
      <c r="A1262" s="3"/>
      <c r="B1262" s="3"/>
      <c r="C1262" s="3"/>
      <c r="D1262" s="3"/>
      <c r="E1262" s="4" t="s">
        <v>1533</v>
      </c>
    </row>
    <row r="1263" hidden="1">
      <c r="A1263" s="3"/>
      <c r="B1263" s="3"/>
      <c r="C1263" s="3"/>
      <c r="D1263" s="3"/>
      <c r="E1263" s="4" t="s">
        <v>1534</v>
      </c>
    </row>
    <row r="1264" hidden="1">
      <c r="A1264" s="3"/>
      <c r="B1264" s="3"/>
      <c r="C1264" s="3"/>
      <c r="D1264" s="3"/>
      <c r="E1264" s="4" t="s">
        <v>1535</v>
      </c>
    </row>
    <row r="1265" hidden="1">
      <c r="A1265" s="3"/>
      <c r="B1265" s="3"/>
      <c r="C1265" s="3"/>
      <c r="D1265" s="3"/>
      <c r="E1265" s="4" t="s">
        <v>1538</v>
      </c>
    </row>
    <row r="1266" hidden="1">
      <c r="A1266" s="3"/>
      <c r="B1266" s="3"/>
      <c r="C1266" s="3"/>
      <c r="D1266" s="3"/>
      <c r="E1266" s="4" t="s">
        <v>1540</v>
      </c>
    </row>
    <row r="1267" hidden="1">
      <c r="A1267" s="3"/>
      <c r="B1267" s="3"/>
      <c r="C1267" s="3"/>
      <c r="D1267" s="3"/>
      <c r="E1267" s="4" t="s">
        <v>1541</v>
      </c>
    </row>
    <row r="1268" hidden="1">
      <c r="A1268" s="3"/>
      <c r="B1268" s="3"/>
      <c r="C1268" s="3"/>
      <c r="D1268" s="3"/>
      <c r="E1268" s="4" t="s">
        <v>1542</v>
      </c>
    </row>
    <row r="1269" hidden="1">
      <c r="A1269" s="3"/>
      <c r="B1269" s="3"/>
      <c r="C1269" s="3"/>
      <c r="D1269" s="3"/>
      <c r="E1269" s="4" t="s">
        <v>1544</v>
      </c>
    </row>
    <row r="1270" hidden="1">
      <c r="A1270" s="3"/>
      <c r="B1270" s="3"/>
      <c r="C1270" s="3"/>
      <c r="D1270" s="3"/>
      <c r="E1270" s="4" t="s">
        <v>1545</v>
      </c>
    </row>
    <row r="1271" hidden="1">
      <c r="A1271" s="3"/>
      <c r="B1271" s="3"/>
      <c r="C1271" s="3"/>
      <c r="D1271" s="3"/>
      <c r="E1271" s="4" t="s">
        <v>1546</v>
      </c>
    </row>
    <row r="1272" hidden="1">
      <c r="A1272" s="3"/>
      <c r="B1272" s="3"/>
      <c r="C1272" s="3"/>
      <c r="D1272" s="3"/>
      <c r="E1272" s="4" t="s">
        <v>1547</v>
      </c>
    </row>
    <row r="1273" hidden="1">
      <c r="A1273" s="3"/>
      <c r="B1273" s="3"/>
      <c r="C1273" s="3"/>
      <c r="D1273" s="3"/>
      <c r="E1273" s="4" t="s">
        <v>1549</v>
      </c>
    </row>
    <row r="1274" hidden="1">
      <c r="A1274" s="3"/>
      <c r="B1274" s="3"/>
      <c r="C1274" s="3"/>
      <c r="D1274" s="3"/>
      <c r="E1274" s="4" t="s">
        <v>1550</v>
      </c>
    </row>
    <row r="1275" hidden="1">
      <c r="A1275" s="3"/>
      <c r="B1275" s="3"/>
      <c r="C1275" s="3"/>
      <c r="D1275" s="3"/>
      <c r="E1275" s="4" t="s">
        <v>1551</v>
      </c>
    </row>
    <row r="1276" hidden="1">
      <c r="A1276" s="3"/>
      <c r="B1276" s="3"/>
      <c r="C1276" s="3"/>
      <c r="D1276" s="3"/>
      <c r="E1276" s="4" t="s">
        <v>1552</v>
      </c>
    </row>
    <row r="1277" hidden="1">
      <c r="A1277" s="3"/>
      <c r="B1277" s="3"/>
      <c r="C1277" s="3"/>
      <c r="D1277" s="3"/>
      <c r="E1277" s="4" t="s">
        <v>1553</v>
      </c>
    </row>
    <row r="1278" hidden="1">
      <c r="A1278" s="3"/>
      <c r="B1278" s="3"/>
      <c r="C1278" s="3"/>
      <c r="D1278" s="3"/>
      <c r="E1278" s="4" t="s">
        <v>1555</v>
      </c>
    </row>
    <row r="1279" hidden="1">
      <c r="A1279" s="3"/>
      <c r="B1279" s="3"/>
      <c r="C1279" s="3"/>
      <c r="D1279" s="3"/>
      <c r="E1279" s="4" t="s">
        <v>1556</v>
      </c>
    </row>
    <row r="1280" hidden="1">
      <c r="A1280" s="3"/>
      <c r="B1280" s="3"/>
      <c r="C1280" s="3"/>
      <c r="D1280" s="3"/>
      <c r="E1280" s="4" t="s">
        <v>1557</v>
      </c>
    </row>
    <row r="1281" hidden="1">
      <c r="A1281" s="3"/>
      <c r="B1281" s="3"/>
      <c r="C1281" s="3"/>
      <c r="D1281" s="3"/>
      <c r="E1281" s="4" t="s">
        <v>1559</v>
      </c>
    </row>
    <row r="1282" hidden="1">
      <c r="A1282" s="3"/>
      <c r="B1282" s="3"/>
      <c r="C1282" s="3"/>
      <c r="D1282" s="3"/>
      <c r="E1282" s="4" t="s">
        <v>1560</v>
      </c>
    </row>
    <row r="1283" hidden="1">
      <c r="A1283" s="3"/>
      <c r="B1283" s="3"/>
      <c r="C1283" s="3"/>
      <c r="D1283" s="3"/>
      <c r="E1283" s="4" t="s">
        <v>1561</v>
      </c>
    </row>
    <row r="1284" hidden="1">
      <c r="A1284" s="3"/>
      <c r="B1284" s="3"/>
      <c r="C1284" s="3"/>
      <c r="D1284" s="3"/>
      <c r="E1284" s="4" t="s">
        <v>1563</v>
      </c>
    </row>
    <row r="1285" hidden="1">
      <c r="A1285" s="3"/>
      <c r="B1285" s="3"/>
      <c r="C1285" s="3"/>
      <c r="D1285" s="3"/>
      <c r="E1285" s="4" t="s">
        <v>1564</v>
      </c>
    </row>
    <row r="1286" hidden="1">
      <c r="A1286" s="3"/>
      <c r="B1286" s="3"/>
      <c r="C1286" s="3"/>
      <c r="D1286" s="3"/>
      <c r="E1286" s="4" t="s">
        <v>1566</v>
      </c>
    </row>
    <row r="1287" hidden="1">
      <c r="A1287" s="3"/>
      <c r="B1287" s="3"/>
      <c r="C1287" s="3"/>
      <c r="D1287" s="3"/>
      <c r="E1287" s="4" t="s">
        <v>1567</v>
      </c>
    </row>
    <row r="1288" hidden="1">
      <c r="A1288" s="3"/>
      <c r="B1288" s="3"/>
      <c r="C1288" s="3"/>
      <c r="D1288" s="3"/>
      <c r="E1288" s="4" t="s">
        <v>1568</v>
      </c>
    </row>
    <row r="1289" hidden="1">
      <c r="A1289" s="3"/>
      <c r="B1289" s="3"/>
      <c r="C1289" s="3"/>
      <c r="D1289" s="3"/>
      <c r="E1289" s="4" t="s">
        <v>1569</v>
      </c>
    </row>
    <row r="1290" hidden="1">
      <c r="A1290" s="3"/>
      <c r="B1290" s="3"/>
      <c r="C1290" s="3"/>
      <c r="D1290" s="3"/>
      <c r="E1290" s="4" t="s">
        <v>1570</v>
      </c>
    </row>
    <row r="1291" hidden="1">
      <c r="A1291" s="3"/>
      <c r="B1291" s="3"/>
      <c r="C1291" s="3"/>
      <c r="D1291" s="3"/>
      <c r="E1291" s="4" t="s">
        <v>1572</v>
      </c>
    </row>
    <row r="1292" hidden="1">
      <c r="A1292" s="3"/>
      <c r="B1292" s="3"/>
      <c r="C1292" s="3"/>
      <c r="D1292" s="3"/>
      <c r="E1292" s="4" t="s">
        <v>1574</v>
      </c>
    </row>
    <row r="1293" hidden="1">
      <c r="A1293" s="3"/>
      <c r="B1293" s="3"/>
      <c r="C1293" s="3"/>
      <c r="D1293" s="3"/>
      <c r="E1293" s="4" t="s">
        <v>1575</v>
      </c>
    </row>
    <row r="1294" hidden="1">
      <c r="A1294" s="3"/>
      <c r="B1294" s="3"/>
      <c r="C1294" s="3"/>
      <c r="D1294" s="3"/>
      <c r="E1294" s="4" t="s">
        <v>1576</v>
      </c>
    </row>
    <row r="1295" hidden="1">
      <c r="A1295" s="3"/>
      <c r="B1295" s="3"/>
      <c r="C1295" s="3"/>
      <c r="D1295" s="3"/>
      <c r="E1295" s="4" t="s">
        <v>1577</v>
      </c>
    </row>
    <row r="1296" hidden="1">
      <c r="A1296" s="3"/>
      <c r="B1296" s="3"/>
      <c r="C1296" s="3"/>
      <c r="D1296" s="3"/>
      <c r="E1296" s="4" t="s">
        <v>1578</v>
      </c>
    </row>
    <row r="1297" hidden="1">
      <c r="A1297" s="3"/>
      <c r="B1297" s="3"/>
      <c r="C1297" s="3"/>
      <c r="D1297" s="3"/>
      <c r="E1297" s="4" t="s">
        <v>1580</v>
      </c>
    </row>
    <row r="1298" hidden="1">
      <c r="A1298" s="3"/>
      <c r="B1298" s="3"/>
      <c r="C1298" s="3"/>
      <c r="D1298" s="3"/>
      <c r="E1298" s="4" t="s">
        <v>1581</v>
      </c>
    </row>
    <row r="1299" hidden="1">
      <c r="A1299" s="3"/>
      <c r="B1299" s="3"/>
      <c r="C1299" s="3"/>
      <c r="D1299" s="3"/>
      <c r="E1299" s="4" t="s">
        <v>1582</v>
      </c>
    </row>
    <row r="1300" hidden="1">
      <c r="A1300" s="3"/>
      <c r="B1300" s="3"/>
      <c r="C1300" s="3"/>
      <c r="D1300" s="3"/>
      <c r="E1300" s="4" t="s">
        <v>1583</v>
      </c>
    </row>
    <row r="1301" hidden="1">
      <c r="A1301" s="3"/>
      <c r="B1301" s="3"/>
      <c r="C1301" s="3"/>
      <c r="D1301" s="3"/>
      <c r="E1301" s="4" t="s">
        <v>1585</v>
      </c>
    </row>
    <row r="1302" hidden="1">
      <c r="A1302" s="3"/>
      <c r="B1302" s="3"/>
      <c r="C1302" s="3"/>
      <c r="D1302" s="3"/>
      <c r="E1302" s="4" t="s">
        <v>1586</v>
      </c>
    </row>
    <row r="1303" hidden="1">
      <c r="A1303" s="3"/>
      <c r="B1303" s="3"/>
      <c r="C1303" s="3"/>
      <c r="D1303" s="3"/>
      <c r="E1303" s="4" t="s">
        <v>1587</v>
      </c>
    </row>
    <row r="1304" hidden="1">
      <c r="A1304" s="3"/>
      <c r="B1304" s="3"/>
      <c r="C1304" s="3"/>
      <c r="D1304" s="3"/>
      <c r="E1304" s="4" t="s">
        <v>1588</v>
      </c>
    </row>
    <row r="1305" hidden="1">
      <c r="A1305" s="3"/>
      <c r="B1305" s="3"/>
      <c r="C1305" s="3"/>
      <c r="D1305" s="3"/>
      <c r="E1305" s="4" t="s">
        <v>1590</v>
      </c>
    </row>
    <row r="1306" hidden="1">
      <c r="A1306" s="3"/>
      <c r="B1306" s="3"/>
      <c r="C1306" s="3"/>
      <c r="D1306" s="3"/>
      <c r="E1306" s="4" t="s">
        <v>1591</v>
      </c>
    </row>
    <row r="1307" hidden="1">
      <c r="A1307" s="3"/>
      <c r="B1307" s="3"/>
      <c r="C1307" s="3"/>
      <c r="D1307" s="3"/>
      <c r="E1307" s="4" t="s">
        <v>1592</v>
      </c>
    </row>
    <row r="1308" hidden="1">
      <c r="A1308" s="3"/>
      <c r="B1308" s="3"/>
      <c r="C1308" s="3"/>
      <c r="D1308" s="3"/>
      <c r="E1308" s="4" t="s">
        <v>1594</v>
      </c>
    </row>
    <row r="1309" hidden="1">
      <c r="A1309" s="3"/>
      <c r="B1309" s="3"/>
      <c r="C1309" s="3"/>
      <c r="D1309" s="3"/>
      <c r="E1309" s="4" t="s">
        <v>1595</v>
      </c>
    </row>
    <row r="1310" hidden="1">
      <c r="A1310" s="3"/>
      <c r="B1310" s="3"/>
      <c r="C1310" s="3"/>
      <c r="D1310" s="3"/>
      <c r="E1310" s="4" t="s">
        <v>1596</v>
      </c>
    </row>
    <row r="1311" hidden="1">
      <c r="A1311" s="3"/>
      <c r="B1311" s="3"/>
      <c r="C1311" s="3"/>
      <c r="D1311" s="3"/>
      <c r="E1311" s="4" t="s">
        <v>1598</v>
      </c>
    </row>
    <row r="1312" hidden="1">
      <c r="A1312" s="3"/>
      <c r="B1312" s="3"/>
      <c r="C1312" s="3"/>
      <c r="D1312" s="3"/>
      <c r="E1312" s="4" t="s">
        <v>1599</v>
      </c>
    </row>
    <row r="1313" hidden="1">
      <c r="A1313" s="3"/>
      <c r="B1313" s="3"/>
      <c r="C1313" s="3"/>
      <c r="D1313" s="3"/>
      <c r="E1313" s="4" t="s">
        <v>1600</v>
      </c>
    </row>
    <row r="1314" hidden="1">
      <c r="A1314" s="3"/>
      <c r="B1314" s="3"/>
      <c r="C1314" s="3"/>
      <c r="D1314" s="3"/>
      <c r="E1314" s="4" t="s">
        <v>1602</v>
      </c>
    </row>
    <row r="1315" hidden="1">
      <c r="A1315" s="3"/>
      <c r="B1315" s="3"/>
      <c r="C1315" s="3"/>
      <c r="D1315" s="3"/>
      <c r="E1315" s="4" t="s">
        <v>1603</v>
      </c>
    </row>
    <row r="1316" hidden="1">
      <c r="A1316" s="3"/>
      <c r="B1316" s="3"/>
      <c r="C1316" s="3"/>
      <c r="D1316" s="3"/>
      <c r="E1316" s="4" t="s">
        <v>1604</v>
      </c>
    </row>
    <row r="1317" hidden="1">
      <c r="A1317" s="3"/>
      <c r="B1317" s="3"/>
      <c r="C1317" s="3"/>
      <c r="D1317" s="3"/>
      <c r="E1317" s="4" t="s">
        <v>1606</v>
      </c>
    </row>
    <row r="1318" hidden="1">
      <c r="A1318" s="3"/>
      <c r="B1318" s="3"/>
      <c r="C1318" s="3"/>
      <c r="D1318" s="3"/>
      <c r="E1318" s="4" t="s">
        <v>1607</v>
      </c>
    </row>
    <row r="1319" hidden="1">
      <c r="A1319" s="3"/>
      <c r="B1319" s="3"/>
      <c r="C1319" s="3"/>
      <c r="D1319" s="3"/>
      <c r="E1319" s="4" t="s">
        <v>1608</v>
      </c>
    </row>
    <row r="1320" hidden="1">
      <c r="A1320" s="3"/>
      <c r="B1320" s="3"/>
      <c r="C1320" s="3"/>
      <c r="D1320" s="3"/>
      <c r="E1320" s="4" t="s">
        <v>1610</v>
      </c>
    </row>
    <row r="1321" hidden="1">
      <c r="A1321" s="3"/>
      <c r="B1321" s="3"/>
      <c r="C1321" s="3"/>
      <c r="D1321" s="3"/>
      <c r="E1321" s="4" t="s">
        <v>1611</v>
      </c>
    </row>
    <row r="1322" hidden="1">
      <c r="A1322" s="3"/>
      <c r="B1322" s="3"/>
      <c r="C1322" s="3"/>
      <c r="D1322" s="3"/>
      <c r="E1322" s="4" t="s">
        <v>1612</v>
      </c>
    </row>
    <row r="1323" hidden="1">
      <c r="A1323" s="3"/>
      <c r="B1323" s="3"/>
      <c r="C1323" s="3"/>
      <c r="D1323" s="3"/>
      <c r="E1323" s="4" t="s">
        <v>1614</v>
      </c>
    </row>
    <row r="1324" hidden="1">
      <c r="A1324" s="3"/>
      <c r="B1324" s="3"/>
      <c r="C1324" s="3"/>
      <c r="D1324" s="3"/>
      <c r="E1324" s="4" t="s">
        <v>1615</v>
      </c>
    </row>
    <row r="1325" hidden="1">
      <c r="A1325" s="3"/>
      <c r="B1325" s="3"/>
      <c r="C1325" s="3"/>
      <c r="D1325" s="3"/>
      <c r="E1325" s="4" t="s">
        <v>1616</v>
      </c>
    </row>
    <row r="1326" hidden="1">
      <c r="A1326" s="3"/>
      <c r="B1326" s="3"/>
      <c r="C1326" s="3"/>
      <c r="D1326" s="3"/>
      <c r="E1326" s="4" t="s">
        <v>1618</v>
      </c>
    </row>
    <row r="1327" hidden="1">
      <c r="A1327" s="3"/>
      <c r="B1327" s="3"/>
      <c r="C1327" s="3"/>
      <c r="D1327" s="3"/>
      <c r="E1327" s="4" t="s">
        <v>1619</v>
      </c>
    </row>
    <row r="1328" hidden="1">
      <c r="A1328" s="3"/>
      <c r="B1328" s="3"/>
      <c r="C1328" s="3"/>
      <c r="D1328" s="3"/>
      <c r="E1328" s="4" t="s">
        <v>1620</v>
      </c>
    </row>
    <row r="1329" hidden="1">
      <c r="A1329" s="3"/>
      <c r="B1329" s="3"/>
      <c r="C1329" s="3"/>
      <c r="D1329" s="3"/>
      <c r="E1329" s="4" t="s">
        <v>1622</v>
      </c>
    </row>
    <row r="1330" hidden="1">
      <c r="A1330" s="3"/>
      <c r="B1330" s="3"/>
      <c r="C1330" s="3"/>
      <c r="D1330" s="3"/>
      <c r="E1330" s="4" t="s">
        <v>1623</v>
      </c>
    </row>
    <row r="1331" hidden="1">
      <c r="A1331" s="3"/>
      <c r="B1331" s="3"/>
      <c r="C1331" s="3"/>
      <c r="D1331" s="3"/>
      <c r="E1331" s="4" t="s">
        <v>1625</v>
      </c>
    </row>
    <row r="1332" hidden="1">
      <c r="A1332" s="3"/>
      <c r="B1332" s="3"/>
      <c r="C1332" s="3"/>
      <c r="D1332" s="3"/>
      <c r="E1332" s="4" t="s">
        <v>1627</v>
      </c>
    </row>
    <row r="1333" hidden="1">
      <c r="A1333" s="3"/>
      <c r="B1333" s="3"/>
      <c r="C1333" s="3"/>
      <c r="D1333" s="3"/>
      <c r="E1333" s="4" t="s">
        <v>1628</v>
      </c>
    </row>
    <row r="1334" hidden="1">
      <c r="A1334" s="3"/>
      <c r="B1334" s="3"/>
      <c r="C1334" s="3"/>
      <c r="D1334" s="3"/>
      <c r="E1334" s="4" t="s">
        <v>1629</v>
      </c>
    </row>
    <row r="1335" hidden="1">
      <c r="A1335" s="3"/>
      <c r="B1335" s="3"/>
      <c r="C1335" s="3"/>
      <c r="D1335" s="3"/>
      <c r="E1335" s="4" t="s">
        <v>1630</v>
      </c>
    </row>
    <row r="1336" hidden="1">
      <c r="A1336" s="3"/>
      <c r="B1336" s="3"/>
      <c r="C1336" s="3"/>
      <c r="D1336" s="3"/>
      <c r="E1336" s="4" t="s">
        <v>1632</v>
      </c>
    </row>
    <row r="1337" hidden="1">
      <c r="A1337" s="3"/>
      <c r="B1337" s="3"/>
      <c r="C1337" s="3"/>
      <c r="D1337" s="3"/>
      <c r="E1337" s="4" t="s">
        <v>1633</v>
      </c>
    </row>
    <row r="1338" hidden="1">
      <c r="A1338" s="3"/>
      <c r="B1338" s="3"/>
      <c r="C1338" s="3"/>
      <c r="D1338" s="3"/>
      <c r="E1338" s="4" t="s">
        <v>1634</v>
      </c>
    </row>
    <row r="1339" hidden="1">
      <c r="A1339" s="3"/>
      <c r="B1339" s="3"/>
      <c r="C1339" s="3"/>
      <c r="D1339" s="3"/>
      <c r="E1339" s="4" t="s">
        <v>1635</v>
      </c>
    </row>
    <row r="1340" hidden="1">
      <c r="A1340" s="3"/>
      <c r="B1340" s="3"/>
      <c r="C1340" s="3"/>
      <c r="D1340" s="3"/>
      <c r="E1340" s="4" t="s">
        <v>1636</v>
      </c>
    </row>
    <row r="1341" hidden="1">
      <c r="A1341" s="3"/>
      <c r="B1341" s="3"/>
      <c r="C1341" s="3"/>
      <c r="D1341" s="3"/>
      <c r="E1341" s="4" t="s">
        <v>1638</v>
      </c>
    </row>
    <row r="1342" hidden="1">
      <c r="A1342" s="3"/>
      <c r="B1342" s="3"/>
      <c r="C1342" s="3"/>
      <c r="D1342" s="3"/>
      <c r="E1342" s="4" t="s">
        <v>1639</v>
      </c>
    </row>
    <row r="1343" hidden="1">
      <c r="A1343" s="3"/>
      <c r="B1343" s="3"/>
      <c r="C1343" s="3"/>
      <c r="D1343" s="3"/>
      <c r="E1343" s="4" t="s">
        <v>1640</v>
      </c>
    </row>
    <row r="1344" hidden="1">
      <c r="A1344" s="3"/>
      <c r="B1344" s="3"/>
      <c r="C1344" s="3"/>
      <c r="D1344" s="3"/>
      <c r="E1344" s="4" t="s">
        <v>1641</v>
      </c>
    </row>
    <row r="1345" hidden="1">
      <c r="A1345" s="3"/>
      <c r="B1345" s="3"/>
      <c r="C1345" s="3"/>
      <c r="D1345" s="3"/>
      <c r="E1345" s="4" t="s">
        <v>1643</v>
      </c>
    </row>
    <row r="1346" hidden="1">
      <c r="A1346" s="3"/>
      <c r="B1346" s="3"/>
      <c r="C1346" s="3"/>
      <c r="D1346" s="3"/>
      <c r="E1346" s="4" t="s">
        <v>1644</v>
      </c>
    </row>
    <row r="1347" hidden="1">
      <c r="A1347" s="3"/>
      <c r="B1347" s="3"/>
      <c r="C1347" s="3"/>
      <c r="D1347" s="3"/>
      <c r="E1347" s="4" t="s">
        <v>1645</v>
      </c>
    </row>
    <row r="1348" hidden="1">
      <c r="A1348" s="3"/>
      <c r="B1348" s="3"/>
      <c r="C1348" s="3"/>
      <c r="D1348" s="3"/>
      <c r="E1348" s="4" t="s">
        <v>1646</v>
      </c>
    </row>
    <row r="1349" hidden="1">
      <c r="A1349" s="3"/>
      <c r="B1349" s="3"/>
      <c r="C1349" s="3"/>
      <c r="D1349" s="3"/>
      <c r="E1349" s="4" t="s">
        <v>1647</v>
      </c>
    </row>
    <row r="1350" hidden="1">
      <c r="A1350" s="3"/>
      <c r="B1350" s="3"/>
      <c r="C1350" s="3"/>
      <c r="D1350" s="3"/>
      <c r="E1350" s="4" t="s">
        <v>1649</v>
      </c>
    </row>
    <row r="1351" hidden="1">
      <c r="A1351" s="3"/>
      <c r="B1351" s="3"/>
      <c r="C1351" s="3"/>
      <c r="D1351" s="3"/>
      <c r="E1351" s="4" t="s">
        <v>1650</v>
      </c>
    </row>
    <row r="1352" hidden="1">
      <c r="A1352" s="3"/>
      <c r="B1352" s="3"/>
      <c r="C1352" s="3"/>
      <c r="D1352" s="3"/>
      <c r="E1352" s="4" t="s">
        <v>1651</v>
      </c>
    </row>
    <row r="1353" hidden="1">
      <c r="A1353" s="3"/>
      <c r="B1353" s="3"/>
      <c r="C1353" s="3"/>
      <c r="D1353" s="3"/>
      <c r="E1353" s="4" t="s">
        <v>1652</v>
      </c>
    </row>
    <row r="1354" hidden="1">
      <c r="A1354" s="3"/>
      <c r="B1354" s="3"/>
      <c r="C1354" s="3"/>
      <c r="D1354" s="3"/>
      <c r="E1354" s="4" t="s">
        <v>1653</v>
      </c>
    </row>
    <row r="1355" hidden="1">
      <c r="A1355" s="3"/>
      <c r="B1355" s="3"/>
      <c r="C1355" s="3"/>
      <c r="D1355" s="3"/>
      <c r="E1355" s="4" t="s">
        <v>1655</v>
      </c>
    </row>
    <row r="1356" hidden="1">
      <c r="A1356" s="3"/>
      <c r="B1356" s="3"/>
      <c r="C1356" s="3"/>
      <c r="D1356" s="3"/>
      <c r="E1356" s="4" t="s">
        <v>1656</v>
      </c>
    </row>
    <row r="1357" hidden="1">
      <c r="A1357" s="3"/>
      <c r="B1357" s="3"/>
      <c r="C1357" s="3"/>
      <c r="D1357" s="3"/>
      <c r="E1357" s="4" t="s">
        <v>1657</v>
      </c>
    </row>
    <row r="1358" hidden="1">
      <c r="A1358" s="3"/>
      <c r="B1358" s="3"/>
      <c r="C1358" s="3"/>
      <c r="D1358" s="3"/>
      <c r="E1358" s="4" t="s">
        <v>1658</v>
      </c>
    </row>
    <row r="1359" hidden="1">
      <c r="A1359" s="3"/>
      <c r="B1359" s="3"/>
      <c r="C1359" s="3"/>
      <c r="D1359" s="3"/>
      <c r="E1359" s="4" t="s">
        <v>1659</v>
      </c>
    </row>
    <row r="1360" hidden="1">
      <c r="A1360" s="3"/>
      <c r="B1360" s="3"/>
      <c r="C1360" s="3"/>
      <c r="D1360" s="3"/>
      <c r="E1360" s="4" t="s">
        <v>1661</v>
      </c>
    </row>
    <row r="1361" hidden="1">
      <c r="A1361" s="3"/>
      <c r="B1361" s="3"/>
      <c r="C1361" s="3"/>
      <c r="D1361" s="3"/>
      <c r="E1361" s="4" t="s">
        <v>1662</v>
      </c>
    </row>
    <row r="1362" hidden="1">
      <c r="A1362" s="3"/>
      <c r="B1362" s="3"/>
      <c r="C1362" s="3"/>
      <c r="D1362" s="3"/>
      <c r="E1362" s="4" t="s">
        <v>1663</v>
      </c>
    </row>
    <row r="1363" hidden="1">
      <c r="A1363" s="3"/>
      <c r="B1363" s="3"/>
      <c r="C1363" s="3"/>
      <c r="D1363" s="3"/>
      <c r="E1363" s="4" t="s">
        <v>1664</v>
      </c>
    </row>
    <row r="1364" hidden="1">
      <c r="A1364" s="3"/>
      <c r="B1364" s="3"/>
      <c r="C1364" s="3"/>
      <c r="D1364" s="3"/>
      <c r="E1364" s="4" t="s">
        <v>1665</v>
      </c>
    </row>
    <row r="1365" hidden="1">
      <c r="A1365" s="3"/>
      <c r="B1365" s="3"/>
      <c r="C1365" s="3"/>
      <c r="D1365" s="3"/>
      <c r="E1365" s="4" t="s">
        <v>1667</v>
      </c>
    </row>
    <row r="1366" hidden="1">
      <c r="A1366" s="3"/>
      <c r="B1366" s="3"/>
      <c r="C1366" s="3"/>
      <c r="D1366" s="3"/>
      <c r="E1366" s="4" t="s">
        <v>1668</v>
      </c>
    </row>
    <row r="1367" hidden="1">
      <c r="A1367" s="3"/>
      <c r="B1367" s="3"/>
      <c r="C1367" s="3"/>
      <c r="D1367" s="3"/>
      <c r="E1367" s="4" t="s">
        <v>1669</v>
      </c>
    </row>
    <row r="1368" hidden="1">
      <c r="A1368" s="3"/>
      <c r="B1368" s="3"/>
      <c r="C1368" s="3"/>
      <c r="D1368" s="3"/>
      <c r="E1368" s="4" t="s">
        <v>1670</v>
      </c>
    </row>
    <row r="1369" hidden="1">
      <c r="A1369" s="3"/>
      <c r="B1369" s="3"/>
      <c r="C1369" s="3"/>
      <c r="D1369" s="3"/>
      <c r="E1369" s="4" t="s">
        <v>1672</v>
      </c>
    </row>
    <row r="1370" hidden="1">
      <c r="A1370" s="3"/>
      <c r="B1370" s="3"/>
      <c r="C1370" s="3"/>
      <c r="D1370" s="3"/>
      <c r="E1370" s="4" t="s">
        <v>1673</v>
      </c>
    </row>
    <row r="1371" hidden="1">
      <c r="A1371" s="3"/>
      <c r="B1371" s="3"/>
      <c r="C1371" s="3"/>
      <c r="D1371" s="3"/>
      <c r="E1371" s="4" t="s">
        <v>1674</v>
      </c>
    </row>
    <row r="1372" hidden="1">
      <c r="A1372" s="3"/>
      <c r="B1372" s="3"/>
      <c r="C1372" s="3"/>
      <c r="D1372" s="3"/>
      <c r="E1372" s="4" t="s">
        <v>1676</v>
      </c>
    </row>
    <row r="1373" hidden="1">
      <c r="A1373" s="3"/>
      <c r="B1373" s="3"/>
      <c r="C1373" s="3"/>
      <c r="D1373" s="3"/>
      <c r="E1373" s="4" t="s">
        <v>1677</v>
      </c>
    </row>
    <row r="1374" hidden="1">
      <c r="A1374" s="3"/>
      <c r="B1374" s="3"/>
      <c r="C1374" s="3"/>
      <c r="D1374" s="3"/>
      <c r="E1374" s="4" t="s">
        <v>1678</v>
      </c>
    </row>
    <row r="1375" hidden="1">
      <c r="A1375" s="3"/>
      <c r="B1375" s="3"/>
      <c r="C1375" s="3"/>
      <c r="D1375" s="3"/>
      <c r="E1375" s="4" t="s">
        <v>1679</v>
      </c>
    </row>
    <row r="1376" hidden="1">
      <c r="A1376" s="3"/>
      <c r="B1376" s="3"/>
      <c r="C1376" s="3"/>
      <c r="D1376" s="3"/>
      <c r="E1376" s="4" t="s">
        <v>1681</v>
      </c>
    </row>
    <row r="1377" hidden="1">
      <c r="A1377" s="3"/>
      <c r="B1377" s="3"/>
      <c r="C1377" s="3"/>
      <c r="D1377" s="3"/>
      <c r="E1377" s="4" t="s">
        <v>1682</v>
      </c>
    </row>
    <row r="1378" hidden="1">
      <c r="A1378" s="3"/>
      <c r="B1378" s="3"/>
      <c r="C1378" s="3"/>
      <c r="D1378" s="3"/>
      <c r="E1378" s="4" t="s">
        <v>1683</v>
      </c>
    </row>
    <row r="1379" hidden="1">
      <c r="A1379" s="3"/>
      <c r="B1379" s="3"/>
      <c r="C1379" s="3"/>
      <c r="D1379" s="3"/>
      <c r="E1379" s="4" t="s">
        <v>1684</v>
      </c>
    </row>
    <row r="1380" hidden="1">
      <c r="A1380" s="3"/>
      <c r="B1380" s="3"/>
      <c r="C1380" s="3"/>
      <c r="D1380" s="3"/>
      <c r="E1380" s="4" t="s">
        <v>1686</v>
      </c>
    </row>
    <row r="1381" hidden="1">
      <c r="A1381" s="3"/>
      <c r="B1381" s="3"/>
      <c r="C1381" s="3"/>
      <c r="D1381" s="3"/>
      <c r="E1381" s="4" t="s">
        <v>1687</v>
      </c>
    </row>
    <row r="1382" hidden="1">
      <c r="A1382" s="3"/>
      <c r="B1382" s="3"/>
      <c r="C1382" s="3"/>
      <c r="D1382" s="3"/>
      <c r="E1382" s="4" t="s">
        <v>1688</v>
      </c>
    </row>
    <row r="1383" hidden="1">
      <c r="A1383" s="3"/>
      <c r="B1383" s="3"/>
      <c r="C1383" s="3"/>
      <c r="D1383" s="3"/>
      <c r="E1383" s="4" t="s">
        <v>1689</v>
      </c>
    </row>
    <row r="1384" hidden="1">
      <c r="A1384" s="3"/>
      <c r="B1384" s="3"/>
      <c r="C1384" s="3"/>
      <c r="D1384" s="3"/>
      <c r="E1384" s="4" t="s">
        <v>1690</v>
      </c>
    </row>
    <row r="1385" hidden="1">
      <c r="A1385" s="3"/>
      <c r="B1385" s="3"/>
      <c r="C1385" s="3"/>
      <c r="D1385" s="3"/>
      <c r="E1385" s="4" t="s">
        <v>1691</v>
      </c>
    </row>
    <row r="1386" hidden="1">
      <c r="A1386" s="3"/>
      <c r="B1386" s="3"/>
      <c r="C1386" s="3"/>
      <c r="D1386" s="3"/>
      <c r="E1386" s="4" t="s">
        <v>1693</v>
      </c>
    </row>
    <row r="1387" hidden="1">
      <c r="A1387" s="3"/>
      <c r="B1387" s="3"/>
      <c r="C1387" s="3"/>
      <c r="D1387" s="3"/>
      <c r="E1387" s="4" t="s">
        <v>1694</v>
      </c>
    </row>
    <row r="1388" hidden="1">
      <c r="A1388" s="3"/>
      <c r="B1388" s="3"/>
      <c r="C1388" s="3"/>
      <c r="D1388" s="3"/>
      <c r="E1388" s="4" t="s">
        <v>1695</v>
      </c>
    </row>
    <row r="1389" hidden="1">
      <c r="A1389" s="3"/>
      <c r="B1389" s="3"/>
      <c r="C1389" s="3"/>
      <c r="D1389" s="3"/>
      <c r="E1389" s="4" t="s">
        <v>1697</v>
      </c>
    </row>
    <row r="1390" hidden="1">
      <c r="A1390" s="3"/>
      <c r="B1390" s="3"/>
      <c r="C1390" s="3"/>
      <c r="D1390" s="3"/>
      <c r="E1390" s="4" t="s">
        <v>1698</v>
      </c>
    </row>
    <row r="1391" hidden="1">
      <c r="A1391" s="3"/>
      <c r="B1391" s="3"/>
      <c r="C1391" s="3"/>
      <c r="D1391" s="3"/>
      <c r="E1391" s="4" t="s">
        <v>1700</v>
      </c>
    </row>
    <row r="1392" hidden="1">
      <c r="A1392" s="3"/>
      <c r="B1392" s="3"/>
      <c r="C1392" s="3"/>
      <c r="D1392" s="3"/>
      <c r="E1392" s="4" t="s">
        <v>1701</v>
      </c>
    </row>
    <row r="1393" hidden="1">
      <c r="A1393" s="3"/>
      <c r="B1393" s="3"/>
      <c r="C1393" s="3"/>
      <c r="D1393" s="3"/>
      <c r="E1393" s="4" t="s">
        <v>1703</v>
      </c>
    </row>
    <row r="1394" hidden="1">
      <c r="A1394" s="3"/>
      <c r="B1394" s="3"/>
      <c r="C1394" s="3"/>
      <c r="D1394" s="3"/>
      <c r="E1394" s="4" t="s">
        <v>1704</v>
      </c>
    </row>
    <row r="1395" hidden="1">
      <c r="A1395" s="3"/>
      <c r="B1395" s="3"/>
      <c r="C1395" s="3"/>
      <c r="D1395" s="3"/>
      <c r="E1395" s="4" t="s">
        <v>1705</v>
      </c>
    </row>
    <row r="1396" hidden="1">
      <c r="A1396" s="3"/>
      <c r="B1396" s="3"/>
      <c r="C1396" s="3"/>
      <c r="D1396" s="3"/>
      <c r="E1396" s="4" t="s">
        <v>1706</v>
      </c>
    </row>
    <row r="1397" hidden="1">
      <c r="A1397" s="3"/>
      <c r="B1397" s="3"/>
      <c r="C1397" s="3"/>
      <c r="D1397" s="3"/>
      <c r="E1397" s="4" t="s">
        <v>1707</v>
      </c>
    </row>
    <row r="1398" hidden="1">
      <c r="A1398" s="3"/>
      <c r="B1398" s="3"/>
      <c r="C1398" s="3"/>
      <c r="D1398" s="3"/>
      <c r="E1398" s="4" t="s">
        <v>1709</v>
      </c>
    </row>
    <row r="1399" hidden="1">
      <c r="A1399" s="3"/>
      <c r="B1399" s="3"/>
      <c r="C1399" s="3"/>
      <c r="D1399" s="3"/>
      <c r="E1399" s="4" t="s">
        <v>1710</v>
      </c>
    </row>
    <row r="1400" hidden="1">
      <c r="A1400" s="3"/>
      <c r="B1400" s="3"/>
      <c r="C1400" s="3"/>
      <c r="D1400" s="3"/>
      <c r="E1400" s="4" t="s">
        <v>1711</v>
      </c>
    </row>
    <row r="1401" hidden="1">
      <c r="A1401" s="3"/>
      <c r="B1401" s="3"/>
      <c r="C1401" s="3"/>
      <c r="D1401" s="3"/>
      <c r="E1401" s="4" t="s">
        <v>1712</v>
      </c>
    </row>
    <row r="1402" hidden="1">
      <c r="A1402" s="3"/>
      <c r="B1402" s="3"/>
      <c r="C1402" s="3"/>
      <c r="D1402" s="3"/>
      <c r="E1402" s="4" t="s">
        <v>1713</v>
      </c>
    </row>
    <row r="1403" hidden="1">
      <c r="A1403" s="3"/>
      <c r="B1403" s="3"/>
      <c r="C1403" s="3"/>
      <c r="D1403" s="3"/>
      <c r="E1403" s="4" t="s">
        <v>1715</v>
      </c>
    </row>
    <row r="1404" hidden="1">
      <c r="A1404" s="3"/>
      <c r="B1404" s="3"/>
      <c r="C1404" s="3"/>
      <c r="D1404" s="3"/>
      <c r="E1404" s="4" t="s">
        <v>1716</v>
      </c>
    </row>
    <row r="1405" hidden="1">
      <c r="A1405" s="3"/>
      <c r="B1405" s="3"/>
      <c r="C1405" s="3"/>
      <c r="D1405" s="3"/>
      <c r="E1405" s="4" t="s">
        <v>1717</v>
      </c>
    </row>
    <row r="1406" hidden="1">
      <c r="A1406" s="3"/>
      <c r="B1406" s="3"/>
      <c r="C1406" s="3"/>
      <c r="D1406" s="3"/>
      <c r="E1406" s="4" t="s">
        <v>1719</v>
      </c>
    </row>
    <row r="1407" hidden="1">
      <c r="A1407" s="3"/>
      <c r="B1407" s="3"/>
      <c r="C1407" s="3"/>
      <c r="D1407" s="3"/>
      <c r="E1407" s="4" t="s">
        <v>1720</v>
      </c>
    </row>
    <row r="1408" hidden="1">
      <c r="A1408" s="3"/>
      <c r="B1408" s="3"/>
      <c r="C1408" s="3"/>
      <c r="D1408" s="3"/>
      <c r="E1408" s="4" t="s">
        <v>1721</v>
      </c>
    </row>
    <row r="1409" hidden="1">
      <c r="A1409" s="3"/>
      <c r="B1409" s="3"/>
      <c r="C1409" s="3"/>
      <c r="D1409" s="3"/>
      <c r="E1409" s="4" t="s">
        <v>1722</v>
      </c>
    </row>
    <row r="1410" hidden="1">
      <c r="A1410" s="3"/>
      <c r="B1410" s="3"/>
      <c r="C1410" s="3"/>
      <c r="D1410" s="3"/>
      <c r="E1410" s="4" t="s">
        <v>1724</v>
      </c>
    </row>
    <row r="1411" hidden="1">
      <c r="A1411" s="3"/>
      <c r="B1411" s="3"/>
      <c r="C1411" s="3"/>
      <c r="D1411" s="3"/>
      <c r="E1411" s="4" t="s">
        <v>1726</v>
      </c>
    </row>
    <row r="1412" hidden="1">
      <c r="A1412" s="3"/>
      <c r="B1412" s="3"/>
      <c r="C1412" s="3"/>
      <c r="D1412" s="3"/>
      <c r="E1412" s="4" t="s">
        <v>1727</v>
      </c>
    </row>
    <row r="1413" hidden="1">
      <c r="A1413" s="3"/>
      <c r="B1413" s="3"/>
      <c r="C1413" s="3"/>
      <c r="D1413" s="3"/>
      <c r="E1413" s="4" t="s">
        <v>1728</v>
      </c>
    </row>
    <row r="1414" hidden="1">
      <c r="A1414" s="3"/>
      <c r="B1414" s="3"/>
      <c r="C1414" s="3"/>
      <c r="D1414" s="3"/>
      <c r="E1414" s="4" t="s">
        <v>1730</v>
      </c>
    </row>
    <row r="1415" hidden="1">
      <c r="A1415" s="3"/>
      <c r="B1415" s="3"/>
      <c r="C1415" s="3"/>
      <c r="D1415" s="3"/>
      <c r="E1415" s="4" t="s">
        <v>1731</v>
      </c>
    </row>
    <row r="1416" hidden="1">
      <c r="A1416" s="3"/>
      <c r="B1416" s="3"/>
      <c r="C1416" s="3"/>
      <c r="D1416" s="3"/>
      <c r="E1416" s="4" t="s">
        <v>1733</v>
      </c>
    </row>
    <row r="1417" hidden="1">
      <c r="A1417" s="3"/>
      <c r="B1417" s="3"/>
      <c r="C1417" s="3"/>
      <c r="D1417" s="3"/>
      <c r="E1417" s="4" t="s">
        <v>1734</v>
      </c>
    </row>
    <row r="1418" hidden="1">
      <c r="A1418" s="3"/>
      <c r="B1418" s="3"/>
      <c r="C1418" s="3"/>
      <c r="D1418" s="3"/>
      <c r="E1418" s="4" t="s">
        <v>1735</v>
      </c>
    </row>
    <row r="1419" hidden="1">
      <c r="A1419" s="3"/>
      <c r="B1419" s="3"/>
      <c r="C1419" s="3"/>
      <c r="D1419" s="3"/>
      <c r="E1419" s="4" t="s">
        <v>1737</v>
      </c>
    </row>
    <row r="1420" hidden="1">
      <c r="A1420" s="3"/>
      <c r="B1420" s="3"/>
      <c r="C1420" s="3"/>
      <c r="D1420" s="3"/>
      <c r="E1420" s="4" t="s">
        <v>1738</v>
      </c>
    </row>
    <row r="1421" hidden="1">
      <c r="A1421" s="3"/>
      <c r="B1421" s="3"/>
      <c r="C1421" s="3"/>
      <c r="D1421" s="3"/>
      <c r="E1421" s="4" t="s">
        <v>1739</v>
      </c>
    </row>
    <row r="1422" hidden="1">
      <c r="A1422" s="3"/>
      <c r="B1422" s="3"/>
      <c r="C1422" s="3"/>
      <c r="D1422" s="3"/>
      <c r="E1422" s="4" t="s">
        <v>1740</v>
      </c>
    </row>
    <row r="1423" hidden="1">
      <c r="A1423" s="3"/>
      <c r="B1423" s="3"/>
      <c r="C1423" s="3"/>
      <c r="D1423" s="3"/>
      <c r="E1423" s="4" t="s">
        <v>1742</v>
      </c>
    </row>
    <row r="1424" hidden="1">
      <c r="A1424" s="3"/>
      <c r="B1424" s="3"/>
      <c r="C1424" s="3"/>
      <c r="D1424" s="3"/>
      <c r="E1424" s="4" t="s">
        <v>1743</v>
      </c>
    </row>
    <row r="1425" hidden="1">
      <c r="A1425" s="3"/>
      <c r="B1425" s="3"/>
      <c r="C1425" s="3"/>
      <c r="D1425" s="3"/>
      <c r="E1425" s="4" t="s">
        <v>1744</v>
      </c>
    </row>
    <row r="1426" hidden="1">
      <c r="A1426" s="3"/>
      <c r="B1426" s="3"/>
      <c r="C1426" s="3"/>
      <c r="D1426" s="3"/>
      <c r="E1426" s="4" t="s">
        <v>1745</v>
      </c>
    </row>
    <row r="1427" hidden="1">
      <c r="A1427" s="3"/>
      <c r="B1427" s="3"/>
      <c r="C1427" s="3"/>
      <c r="D1427" s="3"/>
      <c r="E1427" s="4" t="s">
        <v>1746</v>
      </c>
    </row>
    <row r="1428" hidden="1">
      <c r="A1428" s="3"/>
      <c r="B1428" s="3"/>
      <c r="C1428" s="3"/>
      <c r="D1428" s="3"/>
      <c r="E1428" s="4" t="s">
        <v>1748</v>
      </c>
    </row>
    <row r="1429" hidden="1">
      <c r="A1429" s="3"/>
      <c r="B1429" s="3"/>
      <c r="C1429" s="3"/>
      <c r="D1429" s="3"/>
      <c r="E1429" s="4" t="s">
        <v>1749</v>
      </c>
    </row>
    <row r="1430" hidden="1">
      <c r="A1430" s="3"/>
      <c r="B1430" s="3"/>
      <c r="C1430" s="3"/>
      <c r="D1430" s="3"/>
      <c r="E1430" s="4" t="s">
        <v>1751</v>
      </c>
    </row>
    <row r="1431" hidden="1">
      <c r="A1431" s="3"/>
      <c r="B1431" s="3"/>
      <c r="C1431" s="3"/>
      <c r="D1431" s="3"/>
      <c r="E1431" s="4" t="s">
        <v>1752</v>
      </c>
    </row>
    <row r="1432" hidden="1">
      <c r="A1432" s="3"/>
      <c r="B1432" s="3"/>
      <c r="C1432" s="3"/>
      <c r="D1432" s="3"/>
      <c r="E1432" s="4" t="s">
        <v>1754</v>
      </c>
    </row>
    <row r="1433" hidden="1">
      <c r="A1433" s="3"/>
      <c r="B1433" s="3"/>
      <c r="C1433" s="3"/>
      <c r="D1433" s="3"/>
      <c r="E1433" s="4" t="s">
        <v>1755</v>
      </c>
    </row>
    <row r="1434" hidden="1">
      <c r="A1434" s="3"/>
      <c r="B1434" s="3"/>
      <c r="C1434" s="3"/>
      <c r="D1434" s="3"/>
      <c r="E1434" s="4" t="s">
        <v>1756</v>
      </c>
    </row>
    <row r="1435" hidden="1">
      <c r="A1435" s="3"/>
      <c r="B1435" s="3"/>
      <c r="C1435" s="3"/>
      <c r="D1435" s="3"/>
      <c r="E1435" s="4" t="s">
        <v>1757</v>
      </c>
    </row>
    <row r="1436" hidden="1">
      <c r="A1436" s="3"/>
      <c r="B1436" s="3"/>
      <c r="C1436" s="3"/>
      <c r="D1436" s="3"/>
      <c r="E1436" s="4" t="s">
        <v>1758</v>
      </c>
    </row>
    <row r="1437" hidden="1">
      <c r="A1437" s="3"/>
      <c r="B1437" s="3"/>
      <c r="C1437" s="3"/>
      <c r="D1437" s="3"/>
      <c r="E1437" s="4" t="s">
        <v>1760</v>
      </c>
    </row>
    <row r="1438" hidden="1">
      <c r="A1438" s="3"/>
      <c r="B1438" s="3"/>
      <c r="C1438" s="3"/>
      <c r="D1438" s="3"/>
      <c r="E1438" s="4" t="s">
        <v>1761</v>
      </c>
    </row>
    <row r="1439" hidden="1">
      <c r="A1439" s="3"/>
      <c r="B1439" s="3"/>
      <c r="C1439" s="3"/>
      <c r="D1439" s="3"/>
      <c r="E1439" s="4" t="s">
        <v>1763</v>
      </c>
    </row>
    <row r="1440" hidden="1">
      <c r="A1440" s="3"/>
      <c r="B1440" s="3"/>
      <c r="C1440" s="3"/>
      <c r="D1440" s="3"/>
      <c r="E1440" s="4" t="s">
        <v>1764</v>
      </c>
    </row>
    <row r="1441" hidden="1">
      <c r="A1441" s="3"/>
      <c r="B1441" s="3"/>
      <c r="C1441" s="3"/>
      <c r="D1441" s="3"/>
      <c r="E1441" s="4" t="s">
        <v>1766</v>
      </c>
    </row>
    <row r="1442" hidden="1">
      <c r="A1442" s="3"/>
      <c r="B1442" s="3"/>
      <c r="C1442" s="3"/>
      <c r="D1442" s="3"/>
      <c r="E1442" s="4" t="s">
        <v>1767</v>
      </c>
    </row>
    <row r="1443" hidden="1">
      <c r="A1443" s="3"/>
      <c r="B1443" s="3"/>
      <c r="C1443" s="3"/>
      <c r="D1443" s="3"/>
      <c r="E1443" s="4" t="s">
        <v>1768</v>
      </c>
    </row>
    <row r="1444" hidden="1">
      <c r="A1444" s="3"/>
      <c r="B1444" s="3"/>
      <c r="C1444" s="3"/>
      <c r="D1444" s="3"/>
      <c r="E1444" s="4" t="s">
        <v>1769</v>
      </c>
    </row>
    <row r="1445" hidden="1">
      <c r="A1445" s="3"/>
      <c r="B1445" s="3"/>
      <c r="C1445" s="3"/>
      <c r="D1445" s="3"/>
      <c r="E1445" s="4" t="s">
        <v>1771</v>
      </c>
    </row>
    <row r="1446" hidden="1">
      <c r="A1446" s="3"/>
      <c r="B1446" s="3"/>
      <c r="C1446" s="3"/>
      <c r="D1446" s="3"/>
      <c r="E1446" s="4" t="s">
        <v>1772</v>
      </c>
    </row>
    <row r="1447" hidden="1">
      <c r="A1447" s="3"/>
      <c r="B1447" s="3"/>
      <c r="C1447" s="3"/>
      <c r="D1447" s="3"/>
      <c r="E1447" s="4" t="s">
        <v>1773</v>
      </c>
    </row>
    <row r="1448" hidden="1">
      <c r="A1448" s="3"/>
      <c r="B1448" s="3"/>
      <c r="C1448" s="3"/>
      <c r="D1448" s="3"/>
      <c r="E1448" s="4" t="s">
        <v>1775</v>
      </c>
    </row>
    <row r="1449" hidden="1">
      <c r="A1449" s="3"/>
      <c r="B1449" s="3"/>
      <c r="C1449" s="3"/>
      <c r="D1449" s="3"/>
      <c r="E1449" s="4" t="s">
        <v>1776</v>
      </c>
    </row>
    <row r="1450" hidden="1">
      <c r="A1450" s="3"/>
      <c r="B1450" s="3"/>
      <c r="C1450" s="3"/>
      <c r="D1450" s="3"/>
      <c r="E1450" s="4" t="s">
        <v>1777</v>
      </c>
    </row>
    <row r="1451" hidden="1">
      <c r="A1451" s="3"/>
      <c r="B1451" s="3"/>
      <c r="C1451" s="3"/>
      <c r="D1451" s="3"/>
      <c r="E1451" s="4" t="s">
        <v>1778</v>
      </c>
    </row>
    <row r="1452" hidden="1">
      <c r="A1452" s="3"/>
      <c r="B1452" s="3"/>
      <c r="C1452" s="3"/>
      <c r="D1452" s="3"/>
      <c r="E1452" s="4" t="s">
        <v>1780</v>
      </c>
    </row>
    <row r="1453" hidden="1">
      <c r="A1453" s="3"/>
      <c r="B1453" s="3"/>
      <c r="C1453" s="3"/>
      <c r="D1453" s="3"/>
      <c r="E1453" s="4" t="s">
        <v>1783</v>
      </c>
    </row>
    <row r="1454" hidden="1">
      <c r="A1454" s="3"/>
      <c r="B1454" s="3"/>
      <c r="C1454" s="3"/>
      <c r="D1454" s="3"/>
      <c r="E1454" s="4" t="s">
        <v>1785</v>
      </c>
    </row>
    <row r="1455" hidden="1">
      <c r="A1455" s="3"/>
      <c r="B1455" s="3"/>
      <c r="C1455" s="3"/>
      <c r="D1455" s="3"/>
      <c r="E1455" s="4" t="s">
        <v>1786</v>
      </c>
    </row>
    <row r="1456" hidden="1">
      <c r="A1456" s="3"/>
      <c r="B1456" s="3"/>
      <c r="C1456" s="3"/>
      <c r="D1456" s="3"/>
      <c r="E1456" s="4" t="s">
        <v>1787</v>
      </c>
    </row>
    <row r="1457" hidden="1">
      <c r="A1457" s="3"/>
      <c r="B1457" s="3"/>
      <c r="C1457" s="3"/>
      <c r="D1457" s="3"/>
      <c r="E1457" s="4" t="s">
        <v>1789</v>
      </c>
    </row>
    <row r="1458" hidden="1">
      <c r="A1458" s="3"/>
      <c r="B1458" s="3"/>
      <c r="C1458" s="3"/>
      <c r="D1458" s="3"/>
      <c r="E1458" s="4" t="s">
        <v>1790</v>
      </c>
    </row>
    <row r="1459" hidden="1">
      <c r="A1459" s="3"/>
      <c r="B1459" s="3"/>
      <c r="C1459" s="3"/>
      <c r="D1459" s="3"/>
      <c r="E1459" s="4" t="s">
        <v>1791</v>
      </c>
    </row>
    <row r="1460" hidden="1">
      <c r="A1460" s="3"/>
      <c r="B1460" s="3"/>
      <c r="C1460" s="3"/>
      <c r="D1460" s="3"/>
      <c r="E1460" s="4" t="s">
        <v>1793</v>
      </c>
    </row>
    <row r="1461" hidden="1">
      <c r="A1461" s="3"/>
      <c r="B1461" s="3"/>
      <c r="C1461" s="3"/>
      <c r="D1461" s="3"/>
      <c r="E1461" s="4" t="s">
        <v>1796</v>
      </c>
    </row>
    <row r="1462" hidden="1">
      <c r="A1462" s="3"/>
      <c r="B1462" s="3"/>
      <c r="C1462" s="3"/>
      <c r="D1462" s="3"/>
      <c r="E1462" s="4" t="s">
        <v>1798</v>
      </c>
    </row>
    <row r="1463" hidden="1">
      <c r="A1463" s="3"/>
      <c r="B1463" s="3"/>
      <c r="C1463" s="3"/>
      <c r="D1463" s="3"/>
      <c r="E1463" s="4" t="s">
        <v>1799</v>
      </c>
    </row>
    <row r="1464" hidden="1">
      <c r="A1464" s="3"/>
      <c r="B1464" s="3"/>
      <c r="C1464" s="3"/>
      <c r="D1464" s="3"/>
      <c r="E1464" s="4" t="s">
        <v>1800</v>
      </c>
    </row>
    <row r="1465" hidden="1">
      <c r="A1465" s="3"/>
      <c r="B1465" s="3"/>
      <c r="C1465" s="3"/>
      <c r="D1465" s="3"/>
      <c r="E1465" s="4" t="s">
        <v>1801</v>
      </c>
    </row>
    <row r="1466" hidden="1">
      <c r="A1466" s="3"/>
      <c r="B1466" s="3"/>
      <c r="C1466" s="3"/>
      <c r="D1466" s="3"/>
      <c r="E1466" s="4" t="s">
        <v>1803</v>
      </c>
    </row>
    <row r="1467" hidden="1">
      <c r="A1467" s="3"/>
      <c r="B1467" s="3"/>
      <c r="C1467" s="3"/>
      <c r="D1467" s="3"/>
      <c r="E1467" s="4" t="s">
        <v>1805</v>
      </c>
    </row>
    <row r="1468" hidden="1">
      <c r="A1468" s="3"/>
      <c r="B1468" s="3"/>
      <c r="C1468" s="3"/>
      <c r="D1468" s="3"/>
      <c r="E1468" s="4" t="s">
        <v>1808</v>
      </c>
    </row>
    <row r="1469" hidden="1">
      <c r="A1469" s="3"/>
      <c r="B1469" s="3"/>
      <c r="C1469" s="3"/>
      <c r="D1469" s="3"/>
      <c r="E1469" s="4" t="s">
        <v>1809</v>
      </c>
    </row>
    <row r="1470" hidden="1">
      <c r="A1470" s="3"/>
      <c r="B1470" s="3"/>
      <c r="C1470" s="3"/>
      <c r="D1470" s="3"/>
      <c r="E1470" s="4" t="s">
        <v>1810</v>
      </c>
    </row>
    <row r="1471" hidden="1">
      <c r="A1471" s="3"/>
      <c r="B1471" s="3"/>
      <c r="C1471" s="3"/>
      <c r="D1471" s="3"/>
      <c r="E1471" s="4" t="s">
        <v>1811</v>
      </c>
    </row>
    <row r="1472" hidden="1">
      <c r="A1472" s="3"/>
      <c r="B1472" s="3"/>
      <c r="C1472" s="3"/>
      <c r="D1472" s="3"/>
      <c r="E1472" s="4" t="s">
        <v>1813</v>
      </c>
    </row>
    <row r="1473" hidden="1">
      <c r="A1473" s="3"/>
      <c r="B1473" s="3"/>
      <c r="C1473" s="3"/>
      <c r="D1473" s="3"/>
      <c r="E1473" s="4" t="s">
        <v>1814</v>
      </c>
    </row>
    <row r="1474" hidden="1">
      <c r="A1474" s="3"/>
      <c r="B1474" s="3"/>
      <c r="C1474" s="3"/>
      <c r="D1474" s="3"/>
      <c r="E1474" s="4" t="s">
        <v>1815</v>
      </c>
    </row>
    <row r="1475" hidden="1">
      <c r="A1475" s="3"/>
      <c r="B1475" s="3"/>
      <c r="C1475" s="3"/>
      <c r="D1475" s="3"/>
      <c r="E1475" s="4" t="s">
        <v>1817</v>
      </c>
    </row>
    <row r="1476" hidden="1">
      <c r="A1476" s="3"/>
      <c r="B1476" s="3"/>
      <c r="C1476" s="3"/>
      <c r="D1476" s="3"/>
      <c r="E1476" s="4" t="s">
        <v>1818</v>
      </c>
    </row>
    <row r="1477" hidden="1">
      <c r="A1477" s="3"/>
      <c r="B1477" s="3"/>
      <c r="C1477" s="3"/>
      <c r="D1477" s="3"/>
      <c r="E1477" s="4" t="s">
        <v>1819</v>
      </c>
    </row>
    <row r="1478" hidden="1">
      <c r="A1478" s="3"/>
      <c r="B1478" s="3"/>
      <c r="C1478" s="3"/>
      <c r="D1478" s="3"/>
      <c r="E1478" s="4" t="s">
        <v>1822</v>
      </c>
    </row>
    <row r="1479" hidden="1">
      <c r="A1479" s="3"/>
      <c r="B1479" s="3"/>
      <c r="C1479" s="3"/>
      <c r="D1479" s="3"/>
      <c r="E1479" s="4" t="s">
        <v>1823</v>
      </c>
    </row>
    <row r="1480" hidden="1">
      <c r="A1480" s="3"/>
      <c r="B1480" s="3"/>
      <c r="C1480" s="3"/>
      <c r="D1480" s="3"/>
      <c r="E1480" s="4" t="s">
        <v>1824</v>
      </c>
    </row>
    <row r="1481" hidden="1">
      <c r="A1481" s="3"/>
      <c r="B1481" s="3"/>
      <c r="C1481" s="3"/>
      <c r="D1481" s="3"/>
      <c r="E1481" s="4" t="s">
        <v>1825</v>
      </c>
    </row>
    <row r="1482" hidden="1">
      <c r="A1482" s="3"/>
      <c r="B1482" s="3"/>
      <c r="C1482" s="3"/>
      <c r="D1482" s="3"/>
      <c r="E1482" s="4" t="s">
        <v>1826</v>
      </c>
    </row>
    <row r="1483" hidden="1">
      <c r="A1483" s="3"/>
      <c r="B1483" s="3"/>
      <c r="C1483" s="3"/>
      <c r="D1483" s="3"/>
      <c r="E1483" s="4" t="s">
        <v>1828</v>
      </c>
    </row>
    <row r="1484" hidden="1">
      <c r="A1484" s="3"/>
      <c r="B1484" s="3"/>
      <c r="C1484" s="3"/>
      <c r="D1484" s="3"/>
      <c r="E1484" s="4" t="s">
        <v>1830</v>
      </c>
    </row>
    <row r="1485" hidden="1">
      <c r="A1485" s="3"/>
      <c r="B1485" s="3"/>
      <c r="C1485" s="3"/>
      <c r="D1485" s="3"/>
      <c r="E1485" s="4" t="s">
        <v>1831</v>
      </c>
    </row>
    <row r="1486" hidden="1">
      <c r="A1486" s="3"/>
      <c r="B1486" s="3"/>
      <c r="C1486" s="3"/>
      <c r="D1486" s="3"/>
      <c r="E1486" s="4" t="s">
        <v>1833</v>
      </c>
    </row>
    <row r="1487" hidden="1">
      <c r="A1487" s="3"/>
      <c r="B1487" s="3"/>
      <c r="C1487" s="3"/>
      <c r="D1487" s="3"/>
      <c r="E1487" s="4" t="s">
        <v>1834</v>
      </c>
    </row>
    <row r="1488" hidden="1">
      <c r="A1488" s="3"/>
      <c r="B1488" s="3"/>
      <c r="C1488" s="3"/>
      <c r="D1488" s="3"/>
      <c r="E1488" s="4" t="s">
        <v>1835</v>
      </c>
    </row>
    <row r="1489" hidden="1">
      <c r="A1489" s="3"/>
      <c r="B1489" s="3"/>
      <c r="C1489" s="3"/>
      <c r="D1489" s="3"/>
      <c r="E1489" s="4" t="s">
        <v>1837</v>
      </c>
    </row>
    <row r="1490" hidden="1">
      <c r="A1490" s="3"/>
      <c r="B1490" s="3"/>
      <c r="C1490" s="3"/>
      <c r="D1490" s="3"/>
      <c r="E1490" s="4" t="s">
        <v>1840</v>
      </c>
    </row>
    <row r="1491" hidden="1">
      <c r="A1491" s="3"/>
      <c r="B1491" s="3"/>
      <c r="C1491" s="3"/>
      <c r="D1491" s="3"/>
      <c r="E1491" s="4" t="s">
        <v>1841</v>
      </c>
    </row>
    <row r="1492" hidden="1">
      <c r="A1492" s="3"/>
      <c r="B1492" s="3"/>
      <c r="C1492" s="3"/>
      <c r="D1492" s="3"/>
      <c r="E1492" s="4" t="s">
        <v>1842</v>
      </c>
    </row>
    <row r="1493" hidden="1">
      <c r="A1493" s="3"/>
      <c r="B1493" s="3"/>
      <c r="C1493" s="3"/>
      <c r="D1493" s="3"/>
      <c r="E1493" s="4" t="s">
        <v>1843</v>
      </c>
    </row>
    <row r="1494" hidden="1">
      <c r="A1494" s="3"/>
      <c r="B1494" s="3"/>
      <c r="C1494" s="3"/>
      <c r="D1494" s="3"/>
      <c r="E1494" s="4" t="s">
        <v>1845</v>
      </c>
    </row>
    <row r="1495" hidden="1">
      <c r="A1495" s="3"/>
      <c r="B1495" s="3"/>
      <c r="C1495" s="3"/>
      <c r="D1495" s="3"/>
      <c r="E1495" s="4" t="s">
        <v>1846</v>
      </c>
    </row>
    <row r="1496" hidden="1">
      <c r="A1496" s="3"/>
      <c r="B1496" s="3"/>
      <c r="C1496" s="3"/>
      <c r="D1496" s="3"/>
      <c r="E1496" s="4" t="s">
        <v>1847</v>
      </c>
    </row>
    <row r="1497" hidden="1">
      <c r="A1497" s="3"/>
      <c r="B1497" s="3"/>
      <c r="C1497" s="3"/>
      <c r="D1497" s="3"/>
      <c r="E1497" s="4" t="s">
        <v>1849</v>
      </c>
    </row>
    <row r="1498" hidden="1">
      <c r="A1498" s="3"/>
      <c r="B1498" s="3"/>
      <c r="C1498" s="3"/>
      <c r="D1498" s="3"/>
      <c r="E1498" s="4" t="s">
        <v>1850</v>
      </c>
    </row>
    <row r="1499" hidden="1">
      <c r="A1499" s="3"/>
      <c r="B1499" s="3"/>
      <c r="C1499" s="3"/>
      <c r="D1499" s="3"/>
      <c r="E1499" s="4" t="s">
        <v>1851</v>
      </c>
    </row>
    <row r="1500" hidden="1">
      <c r="A1500" s="3"/>
      <c r="B1500" s="3"/>
      <c r="C1500" s="3"/>
      <c r="D1500" s="3"/>
      <c r="E1500" s="4" t="s">
        <v>1852</v>
      </c>
    </row>
    <row r="1501" hidden="1">
      <c r="A1501" s="3"/>
      <c r="B1501" s="3"/>
      <c r="C1501" s="3"/>
      <c r="D1501" s="3"/>
      <c r="E1501" s="4" t="s">
        <v>1854</v>
      </c>
    </row>
    <row r="1502" hidden="1">
      <c r="A1502" s="3"/>
      <c r="B1502" s="3"/>
      <c r="C1502" s="3"/>
      <c r="D1502" s="3"/>
      <c r="E1502" s="4" t="s">
        <v>1855</v>
      </c>
    </row>
    <row r="1503" hidden="1">
      <c r="A1503" s="3"/>
      <c r="B1503" s="3"/>
      <c r="C1503" s="3"/>
      <c r="D1503" s="3"/>
      <c r="E1503" s="4" t="s">
        <v>1856</v>
      </c>
    </row>
    <row r="1504" hidden="1">
      <c r="A1504" s="3"/>
      <c r="B1504" s="3"/>
      <c r="C1504" s="3"/>
      <c r="D1504" s="3"/>
      <c r="E1504" s="4" t="s">
        <v>1858</v>
      </c>
    </row>
    <row r="1505" hidden="1">
      <c r="A1505" s="3"/>
      <c r="B1505" s="3"/>
      <c r="C1505" s="3"/>
      <c r="D1505" s="3"/>
      <c r="E1505" s="4" t="s">
        <v>1860</v>
      </c>
    </row>
    <row r="1506" hidden="1">
      <c r="A1506" s="3"/>
      <c r="B1506" s="3"/>
      <c r="C1506" s="3"/>
      <c r="D1506" s="3"/>
      <c r="E1506" s="4" t="s">
        <v>1862</v>
      </c>
    </row>
    <row r="1507" hidden="1">
      <c r="A1507" s="3"/>
      <c r="B1507" s="3"/>
      <c r="C1507" s="3"/>
      <c r="D1507" s="3"/>
      <c r="E1507" s="4" t="s">
        <v>1863</v>
      </c>
    </row>
    <row r="1508" hidden="1">
      <c r="A1508" s="3"/>
      <c r="B1508" s="3"/>
      <c r="C1508" s="3"/>
      <c r="D1508" s="3"/>
      <c r="E1508" s="4" t="s">
        <v>1865</v>
      </c>
    </row>
    <row r="1509" hidden="1">
      <c r="A1509" s="3"/>
      <c r="B1509" s="3"/>
      <c r="C1509" s="3"/>
      <c r="D1509" s="3"/>
      <c r="E1509" s="4" t="s">
        <v>1866</v>
      </c>
    </row>
    <row r="1510" hidden="1">
      <c r="A1510" s="3"/>
      <c r="B1510" s="3"/>
      <c r="C1510" s="3"/>
      <c r="D1510" s="3"/>
      <c r="E1510" s="4" t="s">
        <v>1867</v>
      </c>
    </row>
    <row r="1511" hidden="1">
      <c r="A1511" s="3"/>
      <c r="B1511" s="3"/>
      <c r="C1511" s="3"/>
      <c r="D1511" s="3"/>
      <c r="E1511" s="4" t="s">
        <v>1869</v>
      </c>
    </row>
    <row r="1512" hidden="1">
      <c r="A1512" s="3"/>
      <c r="B1512" s="3"/>
      <c r="C1512" s="3"/>
      <c r="D1512" s="3"/>
      <c r="E1512" s="4" t="s">
        <v>1870</v>
      </c>
    </row>
    <row r="1513" hidden="1">
      <c r="A1513" s="3"/>
      <c r="B1513" s="3"/>
      <c r="C1513" s="3"/>
      <c r="D1513" s="3"/>
      <c r="E1513" s="4" t="s">
        <v>1872</v>
      </c>
    </row>
    <row r="1514" hidden="1">
      <c r="A1514" s="3"/>
      <c r="B1514" s="3"/>
      <c r="C1514" s="3"/>
      <c r="D1514" s="3"/>
      <c r="E1514" s="4" t="s">
        <v>1873</v>
      </c>
    </row>
    <row r="1515" hidden="1">
      <c r="A1515" s="3"/>
      <c r="B1515" s="3"/>
      <c r="C1515" s="3"/>
      <c r="D1515" s="3"/>
      <c r="E1515" s="4" t="s">
        <v>1875</v>
      </c>
    </row>
    <row r="1516" hidden="1">
      <c r="A1516" s="3"/>
      <c r="B1516" s="3"/>
      <c r="C1516" s="3"/>
      <c r="D1516" s="3"/>
      <c r="E1516" s="4" t="s">
        <v>1877</v>
      </c>
    </row>
    <row r="1517" hidden="1">
      <c r="A1517" s="3"/>
      <c r="B1517" s="3"/>
      <c r="C1517" s="3"/>
      <c r="D1517" s="3"/>
      <c r="E1517" s="4" t="s">
        <v>1879</v>
      </c>
    </row>
    <row r="1518" hidden="1">
      <c r="A1518" s="3"/>
      <c r="B1518" s="3"/>
      <c r="C1518" s="3"/>
      <c r="D1518" s="3"/>
      <c r="E1518" s="4" t="s">
        <v>1880</v>
      </c>
    </row>
    <row r="1519" hidden="1">
      <c r="A1519" s="3"/>
      <c r="B1519" s="3"/>
      <c r="C1519" s="3"/>
      <c r="D1519" s="3"/>
      <c r="E1519" s="4" t="s">
        <v>1881</v>
      </c>
    </row>
    <row r="1520" hidden="1">
      <c r="A1520" s="3"/>
      <c r="B1520" s="3"/>
      <c r="C1520" s="3"/>
      <c r="D1520" s="3"/>
      <c r="E1520" s="4" t="s">
        <v>1884</v>
      </c>
    </row>
    <row r="1521" hidden="1">
      <c r="A1521" s="3"/>
      <c r="B1521" s="3"/>
      <c r="C1521" s="3"/>
      <c r="D1521" s="3"/>
      <c r="E1521" s="4" t="s">
        <v>1886</v>
      </c>
    </row>
    <row r="1522" hidden="1">
      <c r="A1522" s="3"/>
      <c r="B1522" s="3"/>
      <c r="C1522" s="3"/>
      <c r="D1522" s="3"/>
      <c r="E1522" s="4" t="s">
        <v>1887</v>
      </c>
    </row>
    <row r="1523" hidden="1">
      <c r="A1523" s="3"/>
      <c r="B1523" s="3"/>
      <c r="C1523" s="3"/>
      <c r="D1523" s="3"/>
      <c r="E1523" s="4" t="s">
        <v>1888</v>
      </c>
    </row>
    <row r="1524" hidden="1">
      <c r="A1524" s="3"/>
      <c r="B1524" s="3"/>
      <c r="C1524" s="3"/>
      <c r="D1524" s="3"/>
      <c r="E1524" s="4" t="s">
        <v>1890</v>
      </c>
    </row>
    <row r="1525" hidden="1">
      <c r="A1525" s="3"/>
      <c r="B1525" s="3"/>
      <c r="C1525" s="3"/>
      <c r="D1525" s="3"/>
      <c r="E1525" s="4" t="s">
        <v>1891</v>
      </c>
    </row>
    <row r="1526" hidden="1">
      <c r="A1526" s="3"/>
      <c r="B1526" s="3"/>
      <c r="C1526" s="3"/>
      <c r="D1526" s="3"/>
      <c r="E1526" s="4" t="s">
        <v>1892</v>
      </c>
    </row>
    <row r="1527" hidden="1">
      <c r="A1527" s="3"/>
      <c r="B1527" s="3"/>
      <c r="C1527" s="3"/>
      <c r="D1527" s="3"/>
      <c r="E1527" s="4" t="s">
        <v>1894</v>
      </c>
    </row>
    <row r="1528" hidden="1">
      <c r="A1528" s="3"/>
      <c r="B1528" s="3"/>
      <c r="C1528" s="3"/>
      <c r="D1528" s="3"/>
      <c r="E1528" s="4" t="s">
        <v>1895</v>
      </c>
    </row>
    <row r="1529" hidden="1">
      <c r="A1529" s="3"/>
      <c r="B1529" s="3"/>
      <c r="C1529" s="3"/>
      <c r="D1529" s="3"/>
      <c r="E1529" s="4" t="s">
        <v>1896</v>
      </c>
    </row>
    <row r="1530" hidden="1">
      <c r="A1530" s="3"/>
      <c r="B1530" s="3"/>
      <c r="C1530" s="3"/>
      <c r="D1530" s="3"/>
      <c r="E1530" s="4" t="s">
        <v>1897</v>
      </c>
    </row>
    <row r="1531" hidden="1">
      <c r="A1531" s="3"/>
      <c r="B1531" s="3"/>
      <c r="C1531" s="3"/>
      <c r="D1531" s="3"/>
      <c r="E1531" s="4" t="s">
        <v>1899</v>
      </c>
    </row>
    <row r="1532" hidden="1">
      <c r="A1532" s="3"/>
      <c r="B1532" s="3"/>
      <c r="C1532" s="3"/>
      <c r="D1532" s="3"/>
      <c r="E1532" s="4" t="s">
        <v>1902</v>
      </c>
    </row>
    <row r="1533" hidden="1">
      <c r="A1533" s="3"/>
      <c r="B1533" s="3"/>
      <c r="C1533" s="3"/>
      <c r="D1533" s="3"/>
      <c r="E1533" s="4" t="s">
        <v>1903</v>
      </c>
    </row>
    <row r="1534" hidden="1">
      <c r="A1534" s="3"/>
      <c r="B1534" s="3"/>
      <c r="C1534" s="3"/>
      <c r="D1534" s="3"/>
      <c r="E1534" s="4" t="s">
        <v>1904</v>
      </c>
    </row>
    <row r="1535" hidden="1">
      <c r="A1535" s="3"/>
      <c r="B1535" s="3"/>
      <c r="C1535" s="3"/>
      <c r="D1535" s="3"/>
      <c r="E1535" s="4" t="s">
        <v>1905</v>
      </c>
    </row>
    <row r="1536" hidden="1">
      <c r="A1536" s="3"/>
      <c r="B1536" s="3"/>
      <c r="C1536" s="3"/>
      <c r="D1536" s="3"/>
      <c r="E1536" s="4" t="s">
        <v>1907</v>
      </c>
    </row>
    <row r="1537" hidden="1">
      <c r="A1537" s="3"/>
      <c r="B1537" s="3"/>
      <c r="C1537" s="3"/>
      <c r="D1537" s="3"/>
      <c r="E1537" s="4" t="s">
        <v>1908</v>
      </c>
    </row>
    <row r="1538" hidden="1">
      <c r="A1538" s="3"/>
      <c r="B1538" s="3"/>
      <c r="C1538" s="3"/>
      <c r="D1538" s="3"/>
      <c r="E1538" s="4" t="s">
        <v>1909</v>
      </c>
    </row>
    <row r="1539" hidden="1">
      <c r="A1539" s="3"/>
      <c r="B1539" s="3"/>
      <c r="C1539" s="3"/>
      <c r="D1539" s="3"/>
      <c r="E1539" s="4" t="s">
        <v>1910</v>
      </c>
    </row>
    <row r="1540" hidden="1">
      <c r="A1540" s="3"/>
      <c r="B1540" s="3"/>
      <c r="C1540" s="3"/>
      <c r="D1540" s="3"/>
      <c r="E1540" s="4" t="s">
        <v>1912</v>
      </c>
    </row>
    <row r="1541" hidden="1">
      <c r="A1541" s="3"/>
      <c r="B1541" s="3"/>
      <c r="C1541" s="3"/>
      <c r="D1541" s="3"/>
      <c r="E1541" s="4" t="s">
        <v>1913</v>
      </c>
    </row>
    <row r="1542" hidden="1">
      <c r="A1542" s="3"/>
      <c r="B1542" s="3"/>
      <c r="C1542" s="3"/>
      <c r="D1542" s="3"/>
      <c r="E1542" s="4" t="s">
        <v>1914</v>
      </c>
    </row>
    <row r="1543" hidden="1">
      <c r="A1543" s="3"/>
      <c r="B1543" s="3"/>
      <c r="C1543" s="3"/>
      <c r="D1543" s="3"/>
      <c r="E1543" s="4" t="s">
        <v>1915</v>
      </c>
    </row>
    <row r="1544" hidden="1">
      <c r="A1544" s="3"/>
      <c r="B1544" s="3"/>
      <c r="C1544" s="3"/>
      <c r="D1544" s="3"/>
      <c r="E1544" s="4" t="s">
        <v>1916</v>
      </c>
    </row>
    <row r="1545" hidden="1">
      <c r="A1545" s="3"/>
      <c r="B1545" s="3"/>
      <c r="C1545" s="3"/>
      <c r="D1545" s="3"/>
      <c r="E1545" s="4" t="s">
        <v>1919</v>
      </c>
    </row>
    <row r="1546" hidden="1">
      <c r="A1546" s="3"/>
      <c r="B1546" s="3"/>
      <c r="C1546" s="3"/>
      <c r="D1546" s="3"/>
      <c r="E1546" s="4" t="s">
        <v>1920</v>
      </c>
    </row>
    <row r="1547" hidden="1">
      <c r="A1547" s="3"/>
      <c r="B1547" s="3"/>
      <c r="C1547" s="3"/>
      <c r="D1547" s="3"/>
      <c r="E1547" s="4" t="s">
        <v>1921</v>
      </c>
    </row>
    <row r="1548" hidden="1">
      <c r="A1548" s="3"/>
      <c r="B1548" s="3"/>
      <c r="C1548" s="3"/>
      <c r="D1548" s="3"/>
      <c r="E1548" s="4" t="s">
        <v>1922</v>
      </c>
    </row>
    <row r="1549" hidden="1">
      <c r="A1549" s="3"/>
      <c r="B1549" s="3"/>
      <c r="C1549" s="3"/>
      <c r="D1549" s="3"/>
      <c r="E1549" s="4" t="s">
        <v>1925</v>
      </c>
    </row>
    <row r="1550" hidden="1">
      <c r="A1550" s="3"/>
      <c r="B1550" s="3"/>
      <c r="C1550" s="3"/>
      <c r="D1550" s="3"/>
      <c r="E1550" s="4" t="s">
        <v>1926</v>
      </c>
    </row>
    <row r="1551" hidden="1">
      <c r="A1551" s="3"/>
      <c r="B1551" s="3"/>
      <c r="C1551" s="3"/>
      <c r="D1551" s="3"/>
      <c r="E1551" s="4" t="s">
        <v>1927</v>
      </c>
    </row>
    <row r="1552" hidden="1">
      <c r="A1552" s="3"/>
      <c r="B1552" s="3"/>
      <c r="C1552" s="3"/>
      <c r="D1552" s="3"/>
      <c r="E1552" s="4" t="s">
        <v>1928</v>
      </c>
    </row>
    <row r="1553" hidden="1">
      <c r="A1553" s="3"/>
      <c r="B1553" s="3"/>
      <c r="C1553" s="3"/>
      <c r="D1553" s="3"/>
      <c r="E1553" s="4" t="s">
        <v>1929</v>
      </c>
    </row>
    <row r="1554" hidden="1">
      <c r="A1554" s="3"/>
      <c r="B1554" s="3"/>
      <c r="C1554" s="3"/>
      <c r="D1554" s="3"/>
      <c r="E1554" s="4" t="s">
        <v>1932</v>
      </c>
    </row>
    <row r="1555" hidden="1">
      <c r="A1555" s="3"/>
      <c r="B1555" s="3"/>
      <c r="C1555" s="3"/>
      <c r="D1555" s="3"/>
      <c r="E1555" s="4" t="s">
        <v>1933</v>
      </c>
    </row>
    <row r="1556" hidden="1">
      <c r="A1556" s="3"/>
      <c r="B1556" s="3"/>
      <c r="C1556" s="3"/>
      <c r="D1556" s="3"/>
      <c r="E1556" s="4" t="s">
        <v>1934</v>
      </c>
    </row>
    <row r="1557" hidden="1">
      <c r="A1557" s="3"/>
      <c r="B1557" s="3"/>
      <c r="C1557" s="3"/>
      <c r="D1557" s="3"/>
      <c r="E1557" s="4" t="s">
        <v>1935</v>
      </c>
    </row>
    <row r="1558" hidden="1">
      <c r="A1558" s="3"/>
      <c r="B1558" s="3"/>
      <c r="C1558" s="3"/>
      <c r="D1558" s="3"/>
      <c r="E1558" s="4" t="s">
        <v>1937</v>
      </c>
    </row>
    <row r="1559" hidden="1">
      <c r="A1559" s="3"/>
      <c r="B1559" s="3"/>
      <c r="C1559" s="3"/>
      <c r="D1559" s="3"/>
      <c r="E1559" s="4" t="s">
        <v>1938</v>
      </c>
    </row>
    <row r="1560" hidden="1">
      <c r="A1560" s="3"/>
      <c r="B1560" s="3"/>
      <c r="C1560" s="3"/>
      <c r="D1560" s="3"/>
      <c r="E1560" s="4" t="s">
        <v>1940</v>
      </c>
    </row>
    <row r="1561" hidden="1">
      <c r="A1561" s="3"/>
      <c r="B1561" s="3"/>
      <c r="C1561" s="3"/>
      <c r="D1561" s="3"/>
      <c r="E1561" s="4" t="s">
        <v>1941</v>
      </c>
    </row>
    <row r="1562" hidden="1">
      <c r="A1562" s="3"/>
      <c r="B1562" s="3"/>
      <c r="C1562" s="3"/>
      <c r="D1562" s="3"/>
      <c r="E1562" s="4" t="s">
        <v>1942</v>
      </c>
    </row>
    <row r="1563" hidden="1">
      <c r="A1563" s="3"/>
      <c r="B1563" s="3"/>
      <c r="C1563" s="3"/>
      <c r="D1563" s="3"/>
      <c r="E1563" s="4" t="s">
        <v>1944</v>
      </c>
    </row>
    <row r="1564" hidden="1">
      <c r="A1564" s="3"/>
      <c r="B1564" s="3"/>
      <c r="C1564" s="3"/>
      <c r="D1564" s="3"/>
      <c r="E1564" s="4" t="s">
        <v>1945</v>
      </c>
    </row>
    <row r="1565" hidden="1">
      <c r="A1565" s="3"/>
      <c r="B1565" s="3"/>
      <c r="C1565" s="3"/>
      <c r="D1565" s="3"/>
      <c r="E1565" s="4" t="s">
        <v>1947</v>
      </c>
    </row>
    <row r="1566" hidden="1">
      <c r="A1566" s="3"/>
      <c r="B1566" s="3"/>
      <c r="C1566" s="3"/>
      <c r="D1566" s="3"/>
      <c r="E1566" s="4" t="s">
        <v>1948</v>
      </c>
    </row>
    <row r="1567" hidden="1">
      <c r="A1567" s="3"/>
      <c r="B1567" s="3"/>
      <c r="C1567" s="3"/>
      <c r="D1567" s="3"/>
      <c r="E1567" s="4" t="s">
        <v>1949</v>
      </c>
    </row>
    <row r="1568" hidden="1">
      <c r="A1568" s="3"/>
      <c r="B1568" s="3"/>
      <c r="C1568" s="3"/>
      <c r="D1568" s="3"/>
      <c r="E1568" s="4" t="s">
        <v>1950</v>
      </c>
    </row>
    <row r="1569" hidden="1">
      <c r="A1569" s="3"/>
      <c r="B1569" s="3"/>
      <c r="C1569" s="3"/>
      <c r="D1569" s="3"/>
      <c r="E1569" s="4" t="s">
        <v>1951</v>
      </c>
    </row>
    <row r="1570" hidden="1">
      <c r="A1570" s="3"/>
      <c r="B1570" s="3"/>
      <c r="C1570" s="3"/>
      <c r="D1570" s="3"/>
      <c r="E1570" s="4" t="s">
        <v>1953</v>
      </c>
    </row>
    <row r="1571" hidden="1">
      <c r="A1571" s="3"/>
      <c r="B1571" s="3"/>
      <c r="C1571" s="3"/>
      <c r="D1571" s="3"/>
      <c r="E1571" s="4" t="s">
        <v>1954</v>
      </c>
    </row>
    <row r="1572" hidden="1">
      <c r="A1572" s="3"/>
      <c r="B1572" s="3"/>
      <c r="C1572" s="3"/>
      <c r="D1572" s="3"/>
      <c r="E1572" s="4" t="s">
        <v>1955</v>
      </c>
    </row>
    <row r="1573" hidden="1">
      <c r="A1573" s="3"/>
      <c r="B1573" s="3"/>
      <c r="C1573" s="3"/>
      <c r="D1573" s="3"/>
      <c r="E1573" s="4" t="s">
        <v>1957</v>
      </c>
    </row>
    <row r="1574" hidden="1">
      <c r="A1574" s="3"/>
      <c r="B1574" s="3"/>
      <c r="C1574" s="3"/>
      <c r="D1574" s="3"/>
      <c r="E1574" s="4" t="s">
        <v>1959</v>
      </c>
    </row>
    <row r="1575" hidden="1">
      <c r="A1575" s="3"/>
      <c r="B1575" s="3"/>
      <c r="C1575" s="3"/>
      <c r="D1575" s="3"/>
      <c r="E1575" s="4" t="s">
        <v>1960</v>
      </c>
    </row>
    <row r="1576" hidden="1">
      <c r="A1576" s="3"/>
      <c r="B1576" s="3"/>
      <c r="C1576" s="3"/>
      <c r="D1576" s="3"/>
      <c r="E1576" s="4" t="s">
        <v>1961</v>
      </c>
    </row>
    <row r="1577" hidden="1">
      <c r="A1577" s="3"/>
      <c r="B1577" s="3"/>
      <c r="C1577" s="3"/>
      <c r="D1577" s="3"/>
      <c r="E1577" s="4" t="s">
        <v>1963</v>
      </c>
    </row>
    <row r="1578" hidden="1">
      <c r="A1578" s="3"/>
      <c r="B1578" s="3"/>
      <c r="C1578" s="3"/>
      <c r="D1578" s="3"/>
      <c r="E1578" s="4" t="s">
        <v>1964</v>
      </c>
    </row>
    <row r="1579" hidden="1">
      <c r="A1579" s="3"/>
      <c r="B1579" s="3"/>
      <c r="C1579" s="3"/>
      <c r="D1579" s="3"/>
      <c r="E1579" s="4" t="s">
        <v>1966</v>
      </c>
    </row>
    <row r="1580" hidden="1">
      <c r="A1580" s="3"/>
      <c r="B1580" s="3"/>
      <c r="C1580" s="3"/>
      <c r="D1580" s="3"/>
      <c r="E1580" s="4" t="s">
        <v>1968</v>
      </c>
    </row>
    <row r="1581" hidden="1">
      <c r="A1581" s="3"/>
      <c r="B1581" s="3"/>
      <c r="C1581" s="3"/>
      <c r="D1581" s="3"/>
      <c r="E1581" s="4" t="s">
        <v>1969</v>
      </c>
    </row>
    <row r="1582" hidden="1">
      <c r="A1582" s="3"/>
      <c r="B1582" s="3"/>
      <c r="C1582" s="3"/>
      <c r="D1582" s="3"/>
      <c r="E1582" s="4" t="s">
        <v>1970</v>
      </c>
    </row>
    <row r="1583" hidden="1">
      <c r="A1583" s="3"/>
      <c r="B1583" s="3"/>
      <c r="C1583" s="3"/>
      <c r="D1583" s="3"/>
      <c r="E1583" s="4" t="s">
        <v>1973</v>
      </c>
    </row>
    <row r="1584" hidden="1">
      <c r="A1584" s="3"/>
      <c r="B1584" s="3"/>
      <c r="C1584" s="3"/>
      <c r="D1584" s="3"/>
      <c r="E1584" s="4" t="s">
        <v>1974</v>
      </c>
    </row>
    <row r="1585" hidden="1">
      <c r="A1585" s="3"/>
      <c r="B1585" s="3"/>
      <c r="C1585" s="3"/>
      <c r="D1585" s="3"/>
      <c r="E1585" s="4" t="s">
        <v>1975</v>
      </c>
    </row>
    <row r="1586" hidden="1">
      <c r="A1586" s="3"/>
      <c r="B1586" s="3"/>
      <c r="C1586" s="3"/>
      <c r="D1586" s="3"/>
      <c r="E1586" s="4" t="s">
        <v>1977</v>
      </c>
    </row>
    <row r="1587" hidden="1">
      <c r="A1587" s="3"/>
      <c r="B1587" s="3"/>
      <c r="C1587" s="3"/>
      <c r="D1587" s="3"/>
      <c r="E1587" s="4" t="s">
        <v>1978</v>
      </c>
    </row>
    <row r="1588" hidden="1">
      <c r="A1588" s="3"/>
      <c r="B1588" s="3"/>
      <c r="C1588" s="3"/>
      <c r="D1588" s="3"/>
      <c r="E1588" s="4" t="s">
        <v>1980</v>
      </c>
    </row>
    <row r="1589" hidden="1">
      <c r="A1589" s="3"/>
      <c r="B1589" s="3"/>
      <c r="C1589" s="3"/>
      <c r="D1589" s="3"/>
      <c r="E1589" s="4" t="s">
        <v>1982</v>
      </c>
    </row>
    <row r="1590" hidden="1">
      <c r="A1590" s="3"/>
      <c r="B1590" s="3"/>
      <c r="C1590" s="3"/>
      <c r="D1590" s="3"/>
      <c r="E1590" s="4" t="s">
        <v>1983</v>
      </c>
    </row>
    <row r="1591" hidden="1">
      <c r="A1591" s="3"/>
      <c r="B1591" s="3"/>
      <c r="C1591" s="3"/>
      <c r="D1591" s="3"/>
      <c r="E1591" s="4" t="s">
        <v>1984</v>
      </c>
    </row>
    <row r="1592" hidden="1">
      <c r="A1592" s="3"/>
      <c r="B1592" s="3"/>
      <c r="C1592" s="3"/>
      <c r="D1592" s="3"/>
      <c r="E1592" s="4" t="s">
        <v>1987</v>
      </c>
    </row>
    <row r="1593" hidden="1">
      <c r="A1593" s="3"/>
      <c r="B1593" s="3"/>
      <c r="C1593" s="3"/>
      <c r="D1593" s="3"/>
      <c r="E1593" s="4" t="s">
        <v>1988</v>
      </c>
    </row>
    <row r="1594" hidden="1">
      <c r="A1594" s="3"/>
      <c r="B1594" s="3"/>
      <c r="C1594" s="3"/>
      <c r="D1594" s="3"/>
      <c r="E1594" s="4" t="s">
        <v>1989</v>
      </c>
    </row>
    <row r="1595" hidden="1">
      <c r="A1595" s="3"/>
      <c r="B1595" s="3"/>
      <c r="C1595" s="3"/>
      <c r="D1595" s="3"/>
      <c r="E1595" s="4" t="s">
        <v>1991</v>
      </c>
    </row>
    <row r="1596" hidden="1">
      <c r="A1596" s="3"/>
      <c r="B1596" s="3"/>
      <c r="C1596" s="3"/>
      <c r="D1596" s="3"/>
      <c r="E1596" s="4" t="s">
        <v>1993</v>
      </c>
    </row>
    <row r="1597" hidden="1">
      <c r="A1597" s="3"/>
      <c r="B1597" s="3"/>
      <c r="C1597" s="3"/>
      <c r="D1597" s="3"/>
      <c r="E1597" s="4" t="s">
        <v>1994</v>
      </c>
    </row>
    <row r="1598" hidden="1">
      <c r="A1598" s="3"/>
      <c r="B1598" s="3"/>
      <c r="C1598" s="3"/>
      <c r="D1598" s="3"/>
      <c r="E1598" s="4" t="s">
        <v>1996</v>
      </c>
    </row>
    <row r="1599" hidden="1">
      <c r="A1599" s="3"/>
      <c r="B1599" s="3"/>
      <c r="C1599" s="3"/>
      <c r="D1599" s="3"/>
      <c r="E1599" s="4" t="s">
        <v>1997</v>
      </c>
    </row>
    <row r="1600" hidden="1">
      <c r="A1600" s="3"/>
      <c r="B1600" s="3"/>
      <c r="C1600" s="3"/>
      <c r="D1600" s="3"/>
      <c r="E1600" s="4" t="s">
        <v>1998</v>
      </c>
    </row>
    <row r="1601" hidden="1">
      <c r="A1601" s="3"/>
      <c r="B1601" s="3"/>
      <c r="C1601" s="3"/>
      <c r="D1601" s="3"/>
      <c r="E1601" s="4" t="s">
        <v>2001</v>
      </c>
    </row>
    <row r="1602" hidden="1">
      <c r="A1602" s="3"/>
      <c r="B1602" s="3"/>
      <c r="C1602" s="3"/>
      <c r="D1602" s="3"/>
      <c r="E1602" s="4" t="s">
        <v>2002</v>
      </c>
    </row>
    <row r="1603" hidden="1">
      <c r="A1603" s="3"/>
      <c r="B1603" s="3"/>
      <c r="C1603" s="3"/>
      <c r="D1603" s="3"/>
      <c r="E1603" s="4" t="s">
        <v>2003</v>
      </c>
    </row>
    <row r="1604" hidden="1">
      <c r="A1604" s="3"/>
      <c r="B1604" s="3"/>
      <c r="C1604" s="3"/>
      <c r="D1604" s="3"/>
      <c r="E1604" s="4" t="s">
        <v>2004</v>
      </c>
    </row>
    <row r="1605" hidden="1">
      <c r="A1605" s="3"/>
      <c r="B1605" s="3"/>
      <c r="C1605" s="3"/>
      <c r="D1605" s="3"/>
      <c r="E1605" s="4" t="s">
        <v>2006</v>
      </c>
    </row>
    <row r="1606" hidden="1">
      <c r="A1606" s="3"/>
      <c r="B1606" s="3"/>
      <c r="C1606" s="3"/>
      <c r="D1606" s="3"/>
      <c r="E1606" s="4" t="s">
        <v>2007</v>
      </c>
    </row>
    <row r="1607" hidden="1">
      <c r="A1607" s="3"/>
      <c r="B1607" s="3"/>
      <c r="C1607" s="3"/>
      <c r="D1607" s="3"/>
      <c r="E1607" s="4" t="s">
        <v>2008</v>
      </c>
    </row>
    <row r="1608" hidden="1">
      <c r="A1608" s="3"/>
      <c r="B1608" s="3"/>
      <c r="C1608" s="3"/>
      <c r="D1608" s="3"/>
      <c r="E1608" s="4" t="s">
        <v>2009</v>
      </c>
    </row>
    <row r="1609" hidden="1">
      <c r="A1609" s="3"/>
      <c r="B1609" s="3"/>
      <c r="C1609" s="3"/>
      <c r="D1609" s="3"/>
      <c r="E1609" s="4" t="s">
        <v>2011</v>
      </c>
    </row>
    <row r="1610" hidden="1">
      <c r="A1610" s="3"/>
      <c r="B1610" s="3"/>
      <c r="C1610" s="3"/>
      <c r="D1610" s="3"/>
      <c r="E1610" s="4" t="s">
        <v>2013</v>
      </c>
    </row>
    <row r="1611" hidden="1">
      <c r="A1611" s="3"/>
      <c r="B1611" s="3"/>
      <c r="C1611" s="3"/>
      <c r="D1611" s="3"/>
      <c r="E1611" s="4" t="s">
        <v>2014</v>
      </c>
    </row>
    <row r="1612" hidden="1">
      <c r="A1612" s="3"/>
      <c r="B1612" s="3"/>
      <c r="C1612" s="3"/>
      <c r="D1612" s="3"/>
      <c r="E1612" s="4" t="s">
        <v>2015</v>
      </c>
    </row>
    <row r="1613" hidden="1">
      <c r="A1613" s="3"/>
      <c r="B1613" s="3"/>
      <c r="C1613" s="3"/>
      <c r="D1613" s="3"/>
      <c r="E1613" s="4" t="s">
        <v>2016</v>
      </c>
    </row>
    <row r="1614" hidden="1">
      <c r="A1614" s="3"/>
      <c r="B1614" s="3"/>
      <c r="C1614" s="3"/>
      <c r="D1614" s="3"/>
      <c r="E1614" s="4" t="s">
        <v>2017</v>
      </c>
    </row>
    <row r="1615" hidden="1">
      <c r="A1615" s="3"/>
      <c r="B1615" s="3"/>
      <c r="C1615" s="3"/>
      <c r="D1615" s="3"/>
      <c r="E1615" s="4" t="s">
        <v>2019</v>
      </c>
    </row>
    <row r="1616" hidden="1">
      <c r="A1616" s="3"/>
      <c r="B1616" s="3"/>
      <c r="C1616" s="3"/>
      <c r="D1616" s="3"/>
      <c r="E1616" s="4" t="s">
        <v>2020</v>
      </c>
    </row>
    <row r="1617" hidden="1">
      <c r="A1617" s="3"/>
      <c r="B1617" s="3"/>
      <c r="C1617" s="3"/>
      <c r="D1617" s="3"/>
      <c r="E1617" s="4" t="s">
        <v>2022</v>
      </c>
    </row>
    <row r="1618" hidden="1">
      <c r="A1618" s="3"/>
      <c r="B1618" s="3"/>
      <c r="C1618" s="3"/>
      <c r="D1618" s="3"/>
      <c r="E1618" s="4" t="s">
        <v>2023</v>
      </c>
    </row>
    <row r="1619" hidden="1">
      <c r="A1619" s="3"/>
      <c r="B1619" s="3"/>
      <c r="C1619" s="3"/>
      <c r="D1619" s="3"/>
      <c r="E1619" s="4" t="s">
        <v>2025</v>
      </c>
    </row>
    <row r="1620" hidden="1">
      <c r="A1620" s="3"/>
      <c r="B1620" s="3"/>
      <c r="C1620" s="3"/>
      <c r="D1620" s="3"/>
      <c r="E1620" s="4" t="s">
        <v>2026</v>
      </c>
    </row>
    <row r="1621" hidden="1">
      <c r="A1621" s="3"/>
      <c r="B1621" s="3"/>
      <c r="C1621" s="3"/>
      <c r="D1621" s="3"/>
      <c r="E1621" s="4" t="s">
        <v>2027</v>
      </c>
    </row>
    <row r="1622" hidden="1">
      <c r="A1622" s="3"/>
      <c r="B1622" s="3"/>
      <c r="C1622" s="3"/>
      <c r="D1622" s="3"/>
      <c r="E1622" s="4" t="s">
        <v>2028</v>
      </c>
    </row>
    <row r="1623" hidden="1">
      <c r="A1623" s="3"/>
      <c r="B1623" s="3"/>
      <c r="C1623" s="3"/>
      <c r="D1623" s="3"/>
      <c r="E1623" s="4" t="s">
        <v>2029</v>
      </c>
    </row>
    <row r="1624" hidden="1">
      <c r="A1624" s="3"/>
      <c r="B1624" s="3"/>
      <c r="C1624" s="3"/>
      <c r="D1624" s="3"/>
      <c r="E1624" s="4" t="s">
        <v>2031</v>
      </c>
    </row>
    <row r="1625" hidden="1">
      <c r="A1625" s="3"/>
      <c r="B1625" s="3"/>
      <c r="C1625" s="3"/>
      <c r="D1625" s="3"/>
      <c r="E1625" s="4" t="s">
        <v>2033</v>
      </c>
    </row>
    <row r="1626" hidden="1">
      <c r="A1626" s="3"/>
      <c r="B1626" s="3"/>
      <c r="C1626" s="3"/>
      <c r="D1626" s="3"/>
      <c r="E1626" s="4" t="s">
        <v>2034</v>
      </c>
    </row>
    <row r="1627" hidden="1">
      <c r="A1627" s="3"/>
      <c r="B1627" s="3"/>
      <c r="C1627" s="3"/>
      <c r="D1627" s="3"/>
      <c r="E1627" s="4" t="s">
        <v>2035</v>
      </c>
    </row>
    <row r="1628" hidden="1">
      <c r="A1628" s="3"/>
      <c r="B1628" s="3"/>
      <c r="C1628" s="3"/>
      <c r="D1628" s="3"/>
      <c r="E1628" s="4" t="s">
        <v>2036</v>
      </c>
    </row>
    <row r="1629" hidden="1">
      <c r="A1629" s="3"/>
      <c r="B1629" s="3"/>
      <c r="C1629" s="3"/>
      <c r="D1629" s="3"/>
      <c r="E1629" s="4" t="s">
        <v>2038</v>
      </c>
    </row>
    <row r="1630" hidden="1">
      <c r="A1630" s="3"/>
      <c r="B1630" s="3"/>
      <c r="C1630" s="3"/>
      <c r="D1630" s="3"/>
      <c r="E1630" s="4" t="s">
        <v>2039</v>
      </c>
    </row>
    <row r="1631" hidden="1">
      <c r="A1631" s="3"/>
      <c r="B1631" s="3"/>
      <c r="C1631" s="3"/>
      <c r="D1631" s="3"/>
      <c r="E1631" s="4" t="s">
        <v>2040</v>
      </c>
    </row>
    <row r="1632" hidden="1">
      <c r="A1632" s="3"/>
      <c r="B1632" s="3"/>
      <c r="C1632" s="3"/>
      <c r="D1632" s="3"/>
      <c r="E1632" s="4" t="s">
        <v>2041</v>
      </c>
    </row>
    <row r="1633" hidden="1">
      <c r="A1633" s="3"/>
      <c r="B1633" s="3"/>
      <c r="C1633" s="3"/>
      <c r="D1633" s="3"/>
      <c r="E1633" s="4" t="s">
        <v>2043</v>
      </c>
    </row>
    <row r="1634" hidden="1">
      <c r="A1634" s="3"/>
      <c r="B1634" s="3"/>
      <c r="C1634" s="3"/>
      <c r="D1634" s="3"/>
      <c r="E1634" s="4" t="s">
        <v>2045</v>
      </c>
    </row>
    <row r="1635" hidden="1">
      <c r="A1635" s="3"/>
      <c r="B1635" s="3"/>
      <c r="C1635" s="3"/>
      <c r="D1635" s="3"/>
      <c r="E1635" s="4" t="s">
        <v>2046</v>
      </c>
    </row>
    <row r="1636" hidden="1">
      <c r="A1636" s="3"/>
      <c r="B1636" s="3"/>
      <c r="C1636" s="3"/>
      <c r="D1636" s="3"/>
      <c r="E1636" s="4" t="s">
        <v>2047</v>
      </c>
    </row>
    <row r="1637" hidden="1">
      <c r="A1637" s="3"/>
      <c r="B1637" s="3"/>
      <c r="C1637" s="3"/>
      <c r="D1637" s="3"/>
      <c r="E1637" s="4" t="s">
        <v>2048</v>
      </c>
    </row>
    <row r="1638" hidden="1">
      <c r="A1638" s="3"/>
      <c r="B1638" s="3"/>
      <c r="C1638" s="3"/>
      <c r="D1638" s="3"/>
      <c r="E1638" s="4" t="s">
        <v>2050</v>
      </c>
    </row>
    <row r="1639" hidden="1">
      <c r="A1639" s="3"/>
      <c r="B1639" s="3"/>
      <c r="C1639" s="3"/>
      <c r="D1639" s="3"/>
      <c r="E1639" s="4" t="s">
        <v>2051</v>
      </c>
    </row>
    <row r="1640" hidden="1">
      <c r="A1640" s="3"/>
      <c r="B1640" s="3"/>
      <c r="C1640" s="3"/>
      <c r="D1640" s="3"/>
      <c r="E1640" s="4" t="s">
        <v>2053</v>
      </c>
    </row>
    <row r="1641" hidden="1">
      <c r="A1641" s="3"/>
      <c r="B1641" s="3"/>
      <c r="C1641" s="3"/>
      <c r="D1641" s="3"/>
      <c r="E1641" s="4" t="s">
        <v>2054</v>
      </c>
    </row>
    <row r="1642" hidden="1">
      <c r="A1642" s="3"/>
      <c r="B1642" s="3"/>
      <c r="C1642" s="3"/>
      <c r="D1642" s="3"/>
      <c r="E1642" s="4" t="s">
        <v>2056</v>
      </c>
    </row>
    <row r="1643" hidden="1">
      <c r="A1643" s="3"/>
      <c r="B1643" s="3"/>
      <c r="C1643" s="3"/>
      <c r="D1643" s="3"/>
      <c r="E1643" s="4" t="s">
        <v>2059</v>
      </c>
    </row>
    <row r="1644" hidden="1">
      <c r="A1644" s="3"/>
      <c r="B1644" s="3"/>
      <c r="C1644" s="3"/>
      <c r="D1644" s="3"/>
      <c r="E1644" s="4" t="s">
        <v>2060</v>
      </c>
    </row>
    <row r="1645" hidden="1">
      <c r="A1645" s="3"/>
      <c r="B1645" s="3"/>
      <c r="C1645" s="3"/>
      <c r="D1645" s="3"/>
      <c r="E1645" s="4" t="s">
        <v>2061</v>
      </c>
    </row>
    <row r="1646" hidden="1">
      <c r="A1646" s="3"/>
      <c r="B1646" s="3"/>
      <c r="C1646" s="3"/>
      <c r="D1646" s="3"/>
      <c r="E1646" s="4" t="s">
        <v>2063</v>
      </c>
    </row>
    <row r="1647" hidden="1">
      <c r="A1647" s="3"/>
      <c r="B1647" s="3"/>
      <c r="C1647" s="3"/>
      <c r="D1647" s="3"/>
      <c r="E1647" s="4" t="s">
        <v>2065</v>
      </c>
    </row>
    <row r="1648" hidden="1">
      <c r="A1648" s="3"/>
      <c r="B1648" s="3"/>
      <c r="C1648" s="3"/>
      <c r="D1648" s="3"/>
      <c r="E1648" s="4" t="s">
        <v>2066</v>
      </c>
    </row>
    <row r="1649" hidden="1">
      <c r="A1649" s="3"/>
      <c r="B1649" s="3"/>
      <c r="C1649" s="3"/>
      <c r="D1649" s="3"/>
      <c r="E1649" s="4" t="s">
        <v>2068</v>
      </c>
    </row>
    <row r="1650" hidden="1">
      <c r="A1650" s="3"/>
      <c r="B1650" s="3"/>
      <c r="C1650" s="3"/>
      <c r="D1650" s="3"/>
      <c r="E1650" s="4" t="s">
        <v>2069</v>
      </c>
    </row>
    <row r="1651" hidden="1">
      <c r="A1651" s="3"/>
      <c r="B1651" s="3"/>
      <c r="C1651" s="3"/>
      <c r="D1651" s="3"/>
      <c r="E1651" s="4" t="s">
        <v>2071</v>
      </c>
    </row>
    <row r="1652" hidden="1">
      <c r="A1652" s="3"/>
      <c r="B1652" s="3"/>
      <c r="C1652" s="3"/>
      <c r="D1652" s="3"/>
      <c r="E1652" s="4" t="s">
        <v>2073</v>
      </c>
    </row>
    <row r="1653" hidden="1">
      <c r="A1653" s="3"/>
      <c r="B1653" s="3"/>
      <c r="C1653" s="3"/>
      <c r="D1653" s="3"/>
      <c r="E1653" s="4" t="s">
        <v>2074</v>
      </c>
    </row>
    <row r="1654" hidden="1">
      <c r="A1654" s="3"/>
      <c r="B1654" s="3"/>
      <c r="C1654" s="3"/>
      <c r="D1654" s="3"/>
      <c r="E1654" s="4" t="s">
        <v>2075</v>
      </c>
    </row>
    <row r="1655" hidden="1">
      <c r="A1655" s="3"/>
      <c r="B1655" s="3"/>
      <c r="C1655" s="3"/>
      <c r="D1655" s="3"/>
      <c r="E1655" s="4" t="s">
        <v>2077</v>
      </c>
    </row>
    <row r="1656" hidden="1">
      <c r="A1656" s="3"/>
      <c r="B1656" s="3"/>
      <c r="C1656" s="3"/>
      <c r="D1656" s="3"/>
      <c r="E1656" s="4" t="s">
        <v>2078</v>
      </c>
    </row>
    <row r="1657" hidden="1">
      <c r="A1657" s="3"/>
      <c r="B1657" s="3"/>
      <c r="C1657" s="3"/>
      <c r="D1657" s="3"/>
      <c r="E1657" s="4" t="s">
        <v>2079</v>
      </c>
    </row>
    <row r="1658" hidden="1">
      <c r="A1658" s="3"/>
      <c r="B1658" s="3"/>
      <c r="C1658" s="3"/>
      <c r="D1658" s="3"/>
      <c r="E1658" s="4" t="s">
        <v>2080</v>
      </c>
    </row>
    <row r="1659" hidden="1">
      <c r="A1659" s="3"/>
      <c r="B1659" s="3"/>
      <c r="C1659" s="3"/>
      <c r="D1659" s="3"/>
      <c r="E1659" s="4" t="s">
        <v>2082</v>
      </c>
    </row>
    <row r="1660" hidden="1">
      <c r="A1660" s="3"/>
      <c r="B1660" s="3"/>
      <c r="C1660" s="3"/>
      <c r="D1660" s="3"/>
      <c r="E1660" s="4" t="s">
        <v>2083</v>
      </c>
    </row>
    <row r="1661" hidden="1">
      <c r="A1661" s="3"/>
      <c r="B1661" s="3"/>
      <c r="C1661" s="3"/>
      <c r="D1661" s="3"/>
      <c r="E1661" s="4" t="s">
        <v>2084</v>
      </c>
    </row>
    <row r="1662" hidden="1">
      <c r="A1662" s="3"/>
      <c r="B1662" s="3"/>
      <c r="C1662" s="3"/>
      <c r="D1662" s="3"/>
      <c r="E1662" s="4" t="s">
        <v>2086</v>
      </c>
    </row>
    <row r="1663" hidden="1">
      <c r="A1663" s="3"/>
      <c r="B1663" s="3"/>
      <c r="C1663" s="3"/>
      <c r="D1663" s="3"/>
      <c r="E1663" s="4" t="s">
        <v>2087</v>
      </c>
    </row>
    <row r="1664" hidden="1">
      <c r="A1664" s="3"/>
      <c r="B1664" s="3"/>
      <c r="C1664" s="3"/>
      <c r="D1664" s="3"/>
      <c r="E1664" s="4" t="s">
        <v>2088</v>
      </c>
    </row>
    <row r="1665" hidden="1">
      <c r="A1665" s="3"/>
      <c r="B1665" s="3"/>
      <c r="C1665" s="3"/>
      <c r="D1665" s="3"/>
      <c r="E1665" s="4" t="s">
        <v>2090</v>
      </c>
    </row>
    <row r="1666" hidden="1">
      <c r="A1666" s="3"/>
      <c r="B1666" s="3"/>
      <c r="C1666" s="3"/>
      <c r="D1666" s="3"/>
      <c r="E1666" s="4" t="s">
        <v>2091</v>
      </c>
    </row>
    <row r="1667" hidden="1">
      <c r="A1667" s="3"/>
      <c r="B1667" s="3"/>
      <c r="C1667" s="3"/>
      <c r="D1667" s="3"/>
      <c r="E1667" s="4" t="s">
        <v>2092</v>
      </c>
    </row>
    <row r="1668" hidden="1">
      <c r="A1668" s="3"/>
      <c r="B1668" s="3"/>
      <c r="C1668" s="3"/>
      <c r="D1668" s="3"/>
      <c r="E1668" s="4" t="s">
        <v>2093</v>
      </c>
    </row>
    <row r="1669" hidden="1">
      <c r="A1669" s="3"/>
      <c r="B1669" s="3"/>
      <c r="C1669" s="3"/>
      <c r="D1669" s="3"/>
      <c r="E1669" s="4" t="s">
        <v>2095</v>
      </c>
    </row>
    <row r="1670" hidden="1">
      <c r="A1670" s="3"/>
      <c r="B1670" s="3"/>
      <c r="C1670" s="3"/>
      <c r="D1670" s="3"/>
      <c r="E1670" s="4" t="s">
        <v>2096</v>
      </c>
    </row>
    <row r="1671" hidden="1">
      <c r="A1671" s="3"/>
      <c r="B1671" s="3"/>
      <c r="C1671" s="3"/>
      <c r="D1671" s="3"/>
      <c r="E1671" s="4" t="s">
        <v>2097</v>
      </c>
    </row>
    <row r="1672" hidden="1">
      <c r="A1672" s="3"/>
      <c r="B1672" s="3"/>
      <c r="C1672" s="3"/>
      <c r="D1672" s="3"/>
      <c r="E1672" s="4" t="s">
        <v>2098</v>
      </c>
    </row>
    <row r="1673" hidden="1">
      <c r="A1673" s="3"/>
      <c r="B1673" s="3"/>
      <c r="C1673" s="3"/>
      <c r="D1673" s="3"/>
      <c r="E1673" s="4" t="s">
        <v>2100</v>
      </c>
    </row>
    <row r="1674" hidden="1">
      <c r="A1674" s="3"/>
      <c r="B1674" s="3"/>
      <c r="C1674" s="3"/>
      <c r="D1674" s="3"/>
      <c r="E1674" s="4" t="s">
        <v>2101</v>
      </c>
    </row>
    <row r="1675" hidden="1">
      <c r="A1675" s="3"/>
      <c r="B1675" s="3"/>
      <c r="C1675" s="3"/>
      <c r="D1675" s="3"/>
      <c r="E1675" s="4" t="s">
        <v>2102</v>
      </c>
    </row>
    <row r="1676" hidden="1">
      <c r="A1676" s="3"/>
      <c r="B1676" s="3"/>
      <c r="C1676" s="3"/>
      <c r="D1676" s="3"/>
      <c r="E1676" s="4" t="s">
        <v>2103</v>
      </c>
    </row>
    <row r="1677" hidden="1">
      <c r="A1677" s="3"/>
      <c r="B1677" s="3"/>
      <c r="C1677" s="3"/>
      <c r="D1677" s="3"/>
      <c r="E1677" s="4" t="s">
        <v>2105</v>
      </c>
    </row>
    <row r="1678" hidden="1">
      <c r="A1678" s="3"/>
      <c r="B1678" s="3"/>
      <c r="C1678" s="3"/>
      <c r="D1678" s="3"/>
      <c r="E1678" s="4" t="s">
        <v>2106</v>
      </c>
    </row>
    <row r="1679" hidden="1">
      <c r="A1679" s="3"/>
      <c r="B1679" s="3"/>
      <c r="C1679" s="3"/>
      <c r="D1679" s="3"/>
      <c r="E1679" s="4" t="s">
        <v>2107</v>
      </c>
    </row>
    <row r="1680" hidden="1">
      <c r="A1680" s="3"/>
      <c r="B1680" s="3"/>
      <c r="C1680" s="3"/>
      <c r="D1680" s="3"/>
      <c r="E1680" s="4" t="s">
        <v>2108</v>
      </c>
    </row>
    <row r="1681" hidden="1">
      <c r="A1681" s="3"/>
      <c r="B1681" s="3"/>
      <c r="C1681" s="3"/>
      <c r="D1681" s="3"/>
      <c r="E1681" s="4" t="s">
        <v>2110</v>
      </c>
    </row>
    <row r="1682" hidden="1">
      <c r="A1682" s="3"/>
      <c r="B1682" s="3"/>
      <c r="C1682" s="3"/>
      <c r="D1682" s="3"/>
      <c r="E1682" s="4" t="s">
        <v>2111</v>
      </c>
    </row>
    <row r="1683" hidden="1">
      <c r="A1683" s="3"/>
      <c r="B1683" s="3"/>
      <c r="C1683" s="3"/>
      <c r="D1683" s="3"/>
      <c r="E1683" s="4" t="s">
        <v>2112</v>
      </c>
    </row>
    <row r="1684" hidden="1">
      <c r="A1684" s="3"/>
      <c r="B1684" s="3"/>
      <c r="C1684" s="3"/>
      <c r="D1684" s="3"/>
      <c r="E1684" s="4" t="s">
        <v>2113</v>
      </c>
    </row>
    <row r="1685" hidden="1">
      <c r="A1685" s="3"/>
      <c r="B1685" s="3"/>
      <c r="C1685" s="3"/>
      <c r="D1685" s="3"/>
      <c r="E1685" s="4" t="s">
        <v>2115</v>
      </c>
    </row>
    <row r="1686" hidden="1">
      <c r="A1686" s="3"/>
      <c r="B1686" s="3"/>
      <c r="C1686" s="3"/>
      <c r="D1686" s="3"/>
      <c r="E1686" s="4" t="s">
        <v>2116</v>
      </c>
    </row>
    <row r="1687" hidden="1">
      <c r="A1687" s="3"/>
      <c r="B1687" s="3"/>
      <c r="C1687" s="3"/>
      <c r="D1687" s="3"/>
      <c r="E1687" s="4" t="s">
        <v>2117</v>
      </c>
    </row>
    <row r="1688" hidden="1">
      <c r="A1688" s="3"/>
      <c r="B1688" s="3"/>
      <c r="C1688" s="3"/>
      <c r="D1688" s="3"/>
      <c r="E1688" s="4" t="s">
        <v>2118</v>
      </c>
    </row>
    <row r="1689" hidden="1">
      <c r="A1689" s="3"/>
      <c r="B1689" s="3"/>
      <c r="C1689" s="3"/>
      <c r="D1689" s="3"/>
      <c r="E1689" s="4" t="s">
        <v>2120</v>
      </c>
    </row>
    <row r="1690" hidden="1">
      <c r="A1690" s="3"/>
      <c r="B1690" s="3"/>
      <c r="C1690" s="3"/>
      <c r="D1690" s="3"/>
      <c r="E1690" s="4" t="s">
        <v>2121</v>
      </c>
    </row>
    <row r="1691" hidden="1">
      <c r="A1691" s="3"/>
      <c r="B1691" s="3"/>
      <c r="C1691" s="3"/>
      <c r="D1691" s="3"/>
      <c r="E1691" s="4" t="s">
        <v>2122</v>
      </c>
    </row>
    <row r="1692" hidden="1">
      <c r="A1692" s="3"/>
      <c r="B1692" s="3"/>
      <c r="C1692" s="3"/>
      <c r="D1692" s="3"/>
      <c r="E1692" s="4" t="s">
        <v>2123</v>
      </c>
    </row>
    <row r="1693" hidden="1">
      <c r="A1693" s="3"/>
      <c r="B1693" s="3"/>
      <c r="C1693" s="3"/>
      <c r="D1693" s="3"/>
      <c r="E1693" s="4" t="s">
        <v>2125</v>
      </c>
    </row>
    <row r="1694" hidden="1">
      <c r="A1694" s="3"/>
      <c r="B1694" s="3"/>
      <c r="C1694" s="3"/>
      <c r="D1694" s="3"/>
      <c r="E1694" s="4" t="s">
        <v>2126</v>
      </c>
    </row>
    <row r="1695" hidden="1">
      <c r="A1695" s="3"/>
      <c r="B1695" s="3"/>
      <c r="C1695" s="3"/>
      <c r="D1695" s="3"/>
      <c r="E1695" s="4" t="s">
        <v>2127</v>
      </c>
    </row>
    <row r="1696" hidden="1">
      <c r="A1696" s="3"/>
      <c r="B1696" s="3"/>
      <c r="C1696" s="3"/>
      <c r="D1696" s="3"/>
      <c r="E1696" s="4" t="s">
        <v>2128</v>
      </c>
    </row>
    <row r="1697" hidden="1">
      <c r="A1697" s="3"/>
      <c r="B1697" s="3"/>
      <c r="C1697" s="3"/>
      <c r="D1697" s="3"/>
      <c r="E1697" s="4" t="s">
        <v>2130</v>
      </c>
    </row>
    <row r="1698" hidden="1">
      <c r="A1698" s="3"/>
      <c r="B1698" s="3"/>
      <c r="C1698" s="3"/>
      <c r="D1698" s="3"/>
      <c r="E1698" s="4" t="s">
        <v>2131</v>
      </c>
    </row>
    <row r="1699" hidden="1">
      <c r="A1699" s="3"/>
      <c r="B1699" s="3"/>
      <c r="C1699" s="3"/>
      <c r="D1699" s="3"/>
      <c r="E1699" s="4" t="s">
        <v>2132</v>
      </c>
    </row>
    <row r="1700" hidden="1">
      <c r="A1700" s="3"/>
      <c r="B1700" s="3"/>
      <c r="C1700" s="3"/>
      <c r="D1700" s="3"/>
      <c r="E1700" s="4" t="s">
        <v>2133</v>
      </c>
    </row>
    <row r="1701" hidden="1">
      <c r="A1701" s="3"/>
      <c r="B1701" s="3"/>
      <c r="C1701" s="3"/>
      <c r="D1701" s="3"/>
      <c r="E1701" s="4" t="s">
        <v>2134</v>
      </c>
    </row>
    <row r="1702" hidden="1">
      <c r="A1702" s="3"/>
      <c r="B1702" s="3"/>
      <c r="C1702" s="3"/>
      <c r="D1702" s="3"/>
      <c r="E1702" s="4" t="s">
        <v>2136</v>
      </c>
    </row>
    <row r="1703" hidden="1">
      <c r="A1703" s="3"/>
      <c r="B1703" s="3"/>
      <c r="C1703" s="3"/>
      <c r="D1703" s="3"/>
      <c r="E1703" s="4" t="s">
        <v>2137</v>
      </c>
    </row>
    <row r="1704" hidden="1">
      <c r="A1704" s="3"/>
      <c r="B1704" s="3"/>
      <c r="C1704" s="3"/>
      <c r="D1704" s="3"/>
      <c r="E1704" s="4" t="s">
        <v>2138</v>
      </c>
    </row>
    <row r="1705" hidden="1">
      <c r="A1705" s="3"/>
      <c r="B1705" s="3"/>
      <c r="C1705" s="3"/>
      <c r="D1705" s="3"/>
      <c r="E1705" s="4" t="s">
        <v>2139</v>
      </c>
    </row>
    <row r="1706" hidden="1">
      <c r="A1706" s="3"/>
      <c r="B1706" s="3"/>
      <c r="C1706" s="3"/>
      <c r="D1706" s="3"/>
      <c r="E1706" s="4" t="s">
        <v>2141</v>
      </c>
    </row>
    <row r="1707" hidden="1">
      <c r="A1707" s="3"/>
      <c r="B1707" s="3"/>
      <c r="C1707" s="3"/>
      <c r="D1707" s="3"/>
      <c r="E1707" s="4" t="s">
        <v>2142</v>
      </c>
    </row>
    <row r="1708" hidden="1">
      <c r="A1708" s="3"/>
      <c r="B1708" s="3"/>
      <c r="C1708" s="3"/>
      <c r="D1708" s="3"/>
      <c r="E1708" s="4" t="s">
        <v>2143</v>
      </c>
    </row>
    <row r="1709" hidden="1">
      <c r="A1709" s="3"/>
      <c r="B1709" s="3"/>
      <c r="C1709" s="3"/>
      <c r="D1709" s="3"/>
      <c r="E1709" s="4" t="s">
        <v>2144</v>
      </c>
    </row>
    <row r="1710" hidden="1">
      <c r="A1710" s="3"/>
      <c r="B1710" s="3"/>
      <c r="C1710" s="3"/>
      <c r="D1710" s="3"/>
      <c r="E1710" s="4" t="s">
        <v>2145</v>
      </c>
    </row>
    <row r="1711" hidden="1">
      <c r="A1711" s="3"/>
      <c r="B1711" s="3"/>
      <c r="C1711" s="3"/>
      <c r="D1711" s="3"/>
      <c r="E1711" s="4" t="s">
        <v>2147</v>
      </c>
    </row>
    <row r="1712" hidden="1">
      <c r="A1712" s="3"/>
      <c r="B1712" s="3"/>
      <c r="C1712" s="3"/>
      <c r="D1712" s="3"/>
      <c r="E1712" s="4" t="s">
        <v>2148</v>
      </c>
    </row>
    <row r="1713" hidden="1">
      <c r="A1713" s="3"/>
      <c r="B1713" s="3"/>
      <c r="C1713" s="3"/>
      <c r="D1713" s="3"/>
      <c r="E1713" s="4" t="s">
        <v>2149</v>
      </c>
    </row>
    <row r="1714" hidden="1">
      <c r="A1714" s="3"/>
      <c r="B1714" s="3"/>
      <c r="C1714" s="3"/>
      <c r="D1714" s="3"/>
      <c r="E1714" s="4" t="s">
        <v>2150</v>
      </c>
    </row>
    <row r="1715" hidden="1">
      <c r="A1715" s="3"/>
      <c r="B1715" s="3"/>
      <c r="C1715" s="3"/>
      <c r="D1715" s="3"/>
      <c r="E1715" s="4" t="s">
        <v>2151</v>
      </c>
    </row>
    <row r="1716" hidden="1">
      <c r="A1716" s="3"/>
      <c r="B1716" s="3"/>
      <c r="C1716" s="3"/>
      <c r="D1716" s="3"/>
      <c r="E1716" s="4" t="s">
        <v>2153</v>
      </c>
    </row>
    <row r="1717" hidden="1">
      <c r="A1717" s="3"/>
      <c r="B1717" s="3"/>
      <c r="C1717" s="3"/>
      <c r="D1717" s="3"/>
      <c r="E1717" s="4" t="s">
        <v>2154</v>
      </c>
    </row>
    <row r="1718" hidden="1">
      <c r="A1718" s="3"/>
      <c r="B1718" s="3"/>
      <c r="C1718" s="3"/>
      <c r="D1718" s="3"/>
      <c r="E1718" s="4" t="s">
        <v>2155</v>
      </c>
    </row>
    <row r="1719" hidden="1">
      <c r="A1719" s="3"/>
      <c r="B1719" s="3"/>
      <c r="C1719" s="3"/>
      <c r="D1719" s="3"/>
      <c r="E1719" s="4" t="s">
        <v>2156</v>
      </c>
    </row>
    <row r="1720" hidden="1">
      <c r="A1720" s="3"/>
      <c r="B1720" s="3"/>
      <c r="C1720" s="3"/>
      <c r="D1720" s="3"/>
      <c r="E1720" s="4" t="s">
        <v>2157</v>
      </c>
    </row>
    <row r="1721" hidden="1">
      <c r="A1721" s="3"/>
      <c r="B1721" s="3"/>
      <c r="C1721" s="3"/>
      <c r="D1721" s="3"/>
      <c r="E1721" s="4" t="s">
        <v>2159</v>
      </c>
    </row>
    <row r="1722" hidden="1">
      <c r="A1722" s="3"/>
      <c r="B1722" s="3"/>
      <c r="C1722" s="3"/>
      <c r="D1722" s="3"/>
      <c r="E1722" s="4" t="s">
        <v>2160</v>
      </c>
    </row>
    <row r="1723" hidden="1">
      <c r="A1723" s="3"/>
      <c r="B1723" s="3"/>
      <c r="C1723" s="3"/>
      <c r="D1723" s="3"/>
      <c r="E1723" s="4" t="s">
        <v>2161</v>
      </c>
    </row>
    <row r="1724" hidden="1">
      <c r="A1724" s="3"/>
      <c r="B1724" s="3"/>
      <c r="C1724" s="3"/>
      <c r="D1724" s="3"/>
      <c r="E1724" s="4" t="s">
        <v>2162</v>
      </c>
    </row>
    <row r="1725" hidden="1">
      <c r="A1725" s="3"/>
      <c r="B1725" s="3"/>
      <c r="C1725" s="3"/>
      <c r="D1725" s="3"/>
      <c r="E1725" s="4" t="s">
        <v>2164</v>
      </c>
    </row>
    <row r="1726" hidden="1">
      <c r="A1726" s="3"/>
      <c r="B1726" s="3"/>
      <c r="C1726" s="3"/>
      <c r="D1726" s="3"/>
      <c r="E1726" s="4" t="s">
        <v>2165</v>
      </c>
    </row>
    <row r="1727" hidden="1">
      <c r="A1727" s="3"/>
      <c r="B1727" s="3"/>
      <c r="C1727" s="3"/>
      <c r="D1727" s="3"/>
      <c r="E1727" s="4" t="s">
        <v>2166</v>
      </c>
    </row>
    <row r="1728" hidden="1">
      <c r="A1728" s="3"/>
      <c r="B1728" s="3"/>
      <c r="C1728" s="3"/>
      <c r="D1728" s="3"/>
      <c r="E1728" s="4" t="s">
        <v>2167</v>
      </c>
    </row>
    <row r="1729" hidden="1">
      <c r="A1729" s="3"/>
      <c r="B1729" s="3"/>
      <c r="C1729" s="3"/>
      <c r="D1729" s="3"/>
      <c r="E1729" s="4" t="s">
        <v>2168</v>
      </c>
    </row>
    <row r="1730" hidden="1">
      <c r="A1730" s="3"/>
      <c r="B1730" s="3"/>
      <c r="C1730" s="3"/>
      <c r="D1730" s="3"/>
      <c r="E1730" s="4" t="s">
        <v>2170</v>
      </c>
    </row>
    <row r="1731" hidden="1">
      <c r="A1731" s="3"/>
      <c r="B1731" s="3"/>
      <c r="C1731" s="3"/>
      <c r="D1731" s="3"/>
      <c r="E1731" s="4" t="s">
        <v>2171</v>
      </c>
    </row>
    <row r="1732" hidden="1">
      <c r="A1732" s="3"/>
      <c r="B1732" s="3"/>
      <c r="C1732" s="3"/>
      <c r="D1732" s="3"/>
      <c r="E1732" s="4" t="s">
        <v>2172</v>
      </c>
    </row>
    <row r="1733" hidden="1">
      <c r="A1733" s="3"/>
      <c r="B1733" s="3"/>
      <c r="C1733" s="3"/>
      <c r="D1733" s="3"/>
      <c r="E1733" s="4" t="s">
        <v>2173</v>
      </c>
    </row>
    <row r="1734" hidden="1">
      <c r="A1734" s="3"/>
      <c r="B1734" s="3"/>
      <c r="C1734" s="3"/>
      <c r="D1734" s="3"/>
      <c r="E1734" s="4" t="s">
        <v>2174</v>
      </c>
    </row>
    <row r="1735" hidden="1">
      <c r="A1735" s="3"/>
      <c r="B1735" s="3"/>
      <c r="C1735" s="3"/>
      <c r="D1735" s="3"/>
      <c r="E1735" s="4" t="s">
        <v>2176</v>
      </c>
    </row>
    <row r="1736" hidden="1">
      <c r="A1736" s="3"/>
      <c r="B1736" s="3"/>
      <c r="C1736" s="3"/>
      <c r="D1736" s="3"/>
      <c r="E1736" s="4" t="s">
        <v>2177</v>
      </c>
    </row>
    <row r="1737" hidden="1">
      <c r="A1737" s="3"/>
      <c r="B1737" s="3"/>
      <c r="C1737" s="3"/>
      <c r="D1737" s="3"/>
      <c r="E1737" s="4" t="s">
        <v>2178</v>
      </c>
    </row>
    <row r="1738" hidden="1">
      <c r="A1738" s="3"/>
      <c r="B1738" s="3"/>
      <c r="C1738" s="3"/>
      <c r="D1738" s="3"/>
      <c r="E1738" s="4" t="s">
        <v>2179</v>
      </c>
    </row>
    <row r="1739" hidden="1">
      <c r="A1739" s="3"/>
      <c r="B1739" s="3"/>
      <c r="C1739" s="3"/>
      <c r="D1739" s="3"/>
      <c r="E1739" s="4" t="s">
        <v>2181</v>
      </c>
    </row>
    <row r="1740" hidden="1">
      <c r="A1740" s="3"/>
      <c r="B1740" s="3"/>
      <c r="C1740" s="3"/>
      <c r="D1740" s="3"/>
      <c r="E1740" s="4" t="s">
        <v>2182</v>
      </c>
    </row>
    <row r="1741" hidden="1">
      <c r="A1741" s="3"/>
      <c r="B1741" s="3"/>
      <c r="C1741" s="3"/>
      <c r="D1741" s="3"/>
      <c r="E1741" s="4" t="s">
        <v>2183</v>
      </c>
    </row>
    <row r="1742" hidden="1">
      <c r="A1742" s="3"/>
      <c r="B1742" s="3"/>
      <c r="C1742" s="3"/>
      <c r="D1742" s="3"/>
      <c r="E1742" s="4" t="s">
        <v>2184</v>
      </c>
    </row>
    <row r="1743" hidden="1">
      <c r="A1743" s="3"/>
      <c r="B1743" s="3"/>
      <c r="C1743" s="3"/>
      <c r="D1743" s="3"/>
      <c r="E1743" s="4" t="s">
        <v>2186</v>
      </c>
    </row>
    <row r="1744" hidden="1">
      <c r="A1744" s="3"/>
      <c r="B1744" s="3"/>
      <c r="C1744" s="3"/>
      <c r="D1744" s="3"/>
      <c r="E1744" s="4" t="s">
        <v>2187</v>
      </c>
    </row>
    <row r="1745" hidden="1">
      <c r="A1745" s="3"/>
      <c r="B1745" s="3"/>
      <c r="C1745" s="3"/>
      <c r="D1745" s="3"/>
      <c r="E1745" s="4" t="s">
        <v>2188</v>
      </c>
    </row>
    <row r="1746" hidden="1">
      <c r="A1746" s="3"/>
      <c r="B1746" s="3"/>
      <c r="C1746" s="3"/>
      <c r="D1746" s="3"/>
      <c r="E1746" s="4" t="s">
        <v>2189</v>
      </c>
    </row>
    <row r="1747" hidden="1">
      <c r="A1747" s="3"/>
      <c r="B1747" s="3"/>
      <c r="C1747" s="3"/>
      <c r="D1747" s="3"/>
      <c r="E1747" s="4" t="s">
        <v>2191</v>
      </c>
    </row>
    <row r="1748" hidden="1">
      <c r="A1748" s="3"/>
      <c r="B1748" s="3"/>
      <c r="C1748" s="3"/>
      <c r="D1748" s="3"/>
      <c r="E1748" s="4" t="s">
        <v>2192</v>
      </c>
    </row>
    <row r="1749" hidden="1">
      <c r="A1749" s="3"/>
      <c r="B1749" s="3"/>
      <c r="C1749" s="3"/>
      <c r="D1749" s="3"/>
      <c r="E1749" s="4" t="s">
        <v>2193</v>
      </c>
    </row>
    <row r="1750" hidden="1">
      <c r="A1750" s="3"/>
      <c r="B1750" s="3"/>
      <c r="C1750" s="3"/>
      <c r="D1750" s="3"/>
      <c r="E1750" s="4" t="s">
        <v>2195</v>
      </c>
    </row>
    <row r="1751" hidden="1">
      <c r="A1751" s="3"/>
      <c r="B1751" s="3"/>
      <c r="C1751" s="3"/>
      <c r="D1751" s="3"/>
      <c r="E1751" s="4" t="s">
        <v>2196</v>
      </c>
    </row>
    <row r="1752" hidden="1">
      <c r="A1752" s="3"/>
      <c r="B1752" s="3"/>
      <c r="C1752" s="3"/>
      <c r="D1752" s="3"/>
      <c r="E1752" s="4" t="s">
        <v>2197</v>
      </c>
    </row>
    <row r="1753" hidden="1">
      <c r="A1753" s="3"/>
      <c r="B1753" s="3"/>
      <c r="C1753" s="3"/>
      <c r="D1753" s="3"/>
      <c r="E1753" s="4" t="s">
        <v>2198</v>
      </c>
    </row>
    <row r="1754" hidden="1">
      <c r="A1754" s="3"/>
      <c r="B1754" s="3"/>
      <c r="C1754" s="3"/>
      <c r="D1754" s="3"/>
      <c r="E1754" s="4" t="s">
        <v>2199</v>
      </c>
    </row>
    <row r="1755" hidden="1">
      <c r="A1755" s="3"/>
      <c r="B1755" s="3"/>
      <c r="C1755" s="3"/>
      <c r="D1755" s="3"/>
      <c r="E1755" s="4" t="s">
        <v>2201</v>
      </c>
    </row>
    <row r="1756" hidden="1">
      <c r="A1756" s="3"/>
      <c r="B1756" s="3"/>
      <c r="C1756" s="3"/>
      <c r="D1756" s="3"/>
      <c r="E1756" s="4" t="s">
        <v>2202</v>
      </c>
    </row>
    <row r="1757" hidden="1">
      <c r="A1757" s="3"/>
      <c r="B1757" s="3"/>
      <c r="C1757" s="3"/>
      <c r="D1757" s="3"/>
      <c r="E1757" s="4" t="s">
        <v>2203</v>
      </c>
    </row>
    <row r="1758" hidden="1">
      <c r="A1758" s="3"/>
      <c r="B1758" s="3"/>
      <c r="C1758" s="3"/>
      <c r="D1758" s="3"/>
      <c r="E1758" s="4" t="s">
        <v>2204</v>
      </c>
    </row>
    <row r="1759" hidden="1">
      <c r="A1759" s="3"/>
      <c r="B1759" s="3"/>
      <c r="C1759" s="3"/>
      <c r="D1759" s="3"/>
      <c r="E1759" s="4" t="s">
        <v>2206</v>
      </c>
    </row>
    <row r="1760" hidden="1">
      <c r="A1760" s="3"/>
      <c r="B1760" s="3"/>
      <c r="C1760" s="3"/>
      <c r="D1760" s="3"/>
      <c r="E1760" s="4" t="s">
        <v>2207</v>
      </c>
    </row>
    <row r="1761" hidden="1">
      <c r="A1761" s="3"/>
      <c r="B1761" s="3"/>
      <c r="C1761" s="3"/>
      <c r="D1761" s="3"/>
      <c r="E1761" s="4" t="s">
        <v>2208</v>
      </c>
    </row>
    <row r="1762" hidden="1">
      <c r="A1762" s="3"/>
      <c r="B1762" s="3"/>
      <c r="C1762" s="3"/>
      <c r="D1762" s="3"/>
      <c r="E1762" s="4" t="s">
        <v>2209</v>
      </c>
    </row>
    <row r="1763" hidden="1">
      <c r="A1763" s="3"/>
      <c r="B1763" s="3"/>
      <c r="C1763" s="3"/>
      <c r="D1763" s="3"/>
      <c r="E1763" s="4" t="s">
        <v>2211</v>
      </c>
    </row>
    <row r="1764" hidden="1">
      <c r="A1764" s="3"/>
      <c r="B1764" s="3"/>
      <c r="C1764" s="3"/>
      <c r="D1764" s="3"/>
      <c r="E1764" s="4" t="s">
        <v>2212</v>
      </c>
    </row>
    <row r="1765" hidden="1">
      <c r="A1765" s="3"/>
      <c r="B1765" s="3"/>
      <c r="C1765" s="3"/>
      <c r="D1765" s="3"/>
      <c r="E1765" s="4" t="s">
        <v>2213</v>
      </c>
    </row>
    <row r="1766" hidden="1">
      <c r="A1766" s="3"/>
      <c r="B1766" s="3"/>
      <c r="C1766" s="3"/>
      <c r="D1766" s="3"/>
      <c r="E1766" s="4" t="s">
        <v>2214</v>
      </c>
    </row>
    <row r="1767" hidden="1">
      <c r="A1767" s="3"/>
      <c r="B1767" s="3"/>
      <c r="C1767" s="3"/>
      <c r="D1767" s="3"/>
      <c r="E1767" s="4" t="s">
        <v>2215</v>
      </c>
    </row>
    <row r="1768" hidden="1">
      <c r="A1768" s="3"/>
      <c r="B1768" s="3"/>
      <c r="C1768" s="3"/>
      <c r="D1768" s="3"/>
      <c r="E1768" s="4" t="s">
        <v>2216</v>
      </c>
    </row>
    <row r="1769" hidden="1">
      <c r="A1769" s="3"/>
      <c r="B1769" s="3"/>
      <c r="C1769" s="3"/>
      <c r="D1769" s="3"/>
      <c r="E1769" s="4" t="s">
        <v>2217</v>
      </c>
    </row>
    <row r="1770" hidden="1">
      <c r="A1770" s="3"/>
      <c r="B1770" s="3"/>
      <c r="C1770" s="3"/>
      <c r="D1770" s="3"/>
      <c r="E1770" s="4" t="s">
        <v>2219</v>
      </c>
    </row>
    <row r="1771" hidden="1">
      <c r="A1771" s="3"/>
      <c r="B1771" s="3"/>
      <c r="C1771" s="3"/>
      <c r="D1771" s="3"/>
      <c r="E1771" s="4" t="s">
        <v>2220</v>
      </c>
    </row>
    <row r="1772" hidden="1">
      <c r="A1772" s="3"/>
      <c r="B1772" s="3"/>
      <c r="C1772" s="3"/>
      <c r="D1772" s="3"/>
      <c r="E1772" s="4" t="s">
        <v>2221</v>
      </c>
    </row>
    <row r="1773" hidden="1">
      <c r="A1773" s="3"/>
      <c r="B1773" s="3"/>
      <c r="C1773" s="3"/>
      <c r="D1773" s="3"/>
      <c r="E1773" s="4" t="s">
        <v>2222</v>
      </c>
    </row>
    <row r="1774" hidden="1">
      <c r="A1774" s="3"/>
      <c r="B1774" s="3"/>
      <c r="C1774" s="3"/>
      <c r="D1774" s="3"/>
      <c r="E1774" s="4" t="s">
        <v>2223</v>
      </c>
    </row>
    <row r="1775" hidden="1">
      <c r="A1775" s="3"/>
      <c r="B1775" s="3"/>
      <c r="C1775" s="3"/>
      <c r="D1775" s="3"/>
      <c r="E1775" s="4" t="s">
        <v>2224</v>
      </c>
    </row>
    <row r="1776" hidden="1">
      <c r="A1776" s="3"/>
      <c r="B1776" s="3"/>
      <c r="C1776" s="3"/>
      <c r="D1776" s="3"/>
      <c r="E1776" s="4" t="s">
        <v>2226</v>
      </c>
    </row>
    <row r="1777" hidden="1">
      <c r="A1777" s="3"/>
      <c r="B1777" s="3"/>
      <c r="C1777" s="3"/>
      <c r="D1777" s="3"/>
      <c r="E1777" s="4" t="s">
        <v>2227</v>
      </c>
    </row>
    <row r="1778" hidden="1">
      <c r="A1778" s="3"/>
      <c r="B1778" s="3"/>
      <c r="C1778" s="3"/>
      <c r="D1778" s="3"/>
      <c r="E1778" s="4" t="s">
        <v>2228</v>
      </c>
    </row>
    <row r="1779" hidden="1">
      <c r="A1779" s="3"/>
      <c r="B1779" s="3"/>
      <c r="C1779" s="3"/>
      <c r="D1779" s="3"/>
      <c r="E1779" s="4" t="s">
        <v>2229</v>
      </c>
    </row>
    <row r="1780" hidden="1">
      <c r="A1780" s="3"/>
      <c r="B1780" s="3"/>
      <c r="C1780" s="3"/>
      <c r="D1780" s="3"/>
      <c r="E1780" s="4" t="s">
        <v>2230</v>
      </c>
    </row>
    <row r="1781" hidden="1">
      <c r="A1781" s="3"/>
      <c r="B1781" s="3"/>
      <c r="C1781" s="3"/>
      <c r="D1781" s="3"/>
      <c r="E1781" s="4" t="s">
        <v>2231</v>
      </c>
    </row>
    <row r="1782" hidden="1">
      <c r="A1782" s="3"/>
      <c r="B1782" s="3"/>
      <c r="C1782" s="3"/>
      <c r="D1782" s="3"/>
      <c r="E1782" s="4" t="s">
        <v>2233</v>
      </c>
    </row>
    <row r="1783" hidden="1">
      <c r="A1783" s="3"/>
      <c r="B1783" s="3"/>
      <c r="C1783" s="3"/>
      <c r="D1783" s="3"/>
      <c r="E1783" s="4" t="s">
        <v>2234</v>
      </c>
    </row>
    <row r="1784" hidden="1">
      <c r="A1784" s="3"/>
      <c r="B1784" s="3"/>
      <c r="C1784" s="3"/>
      <c r="D1784" s="3"/>
      <c r="E1784" s="4" t="s">
        <v>2235</v>
      </c>
    </row>
    <row r="1785" hidden="1">
      <c r="A1785" s="3"/>
      <c r="B1785" s="3"/>
      <c r="C1785" s="3"/>
      <c r="D1785" s="3"/>
      <c r="E1785" s="4" t="s">
        <v>2236</v>
      </c>
    </row>
    <row r="1786" hidden="1">
      <c r="A1786" s="3"/>
      <c r="B1786" s="3"/>
      <c r="C1786" s="3"/>
      <c r="D1786" s="3"/>
      <c r="E1786" s="4" t="s">
        <v>2237</v>
      </c>
    </row>
    <row r="1787" hidden="1">
      <c r="A1787" s="3"/>
      <c r="B1787" s="3"/>
      <c r="C1787" s="3"/>
      <c r="D1787" s="3"/>
      <c r="E1787" s="4" t="s">
        <v>2238</v>
      </c>
    </row>
    <row r="1788" hidden="1">
      <c r="A1788" s="3"/>
      <c r="B1788" s="3"/>
      <c r="C1788" s="3"/>
      <c r="D1788" s="3"/>
      <c r="E1788" s="4" t="s">
        <v>2240</v>
      </c>
    </row>
    <row r="1789" hidden="1">
      <c r="A1789" s="3"/>
      <c r="B1789" s="3"/>
      <c r="C1789" s="3"/>
      <c r="D1789" s="3"/>
      <c r="E1789" s="4" t="s">
        <v>2241</v>
      </c>
    </row>
    <row r="1790" hidden="1">
      <c r="A1790" s="3"/>
      <c r="B1790" s="3"/>
      <c r="C1790" s="3"/>
      <c r="D1790" s="3"/>
      <c r="E1790" s="4" t="s">
        <v>2242</v>
      </c>
    </row>
    <row r="1791" hidden="1">
      <c r="A1791" s="3"/>
      <c r="B1791" s="3"/>
      <c r="C1791" s="3"/>
      <c r="D1791" s="3"/>
      <c r="E1791" s="4" t="s">
        <v>2243</v>
      </c>
    </row>
    <row r="1792" hidden="1">
      <c r="A1792" s="3"/>
      <c r="B1792" s="3"/>
      <c r="C1792" s="3"/>
      <c r="D1792" s="3"/>
      <c r="E1792" s="4" t="s">
        <v>2245</v>
      </c>
    </row>
    <row r="1793" hidden="1">
      <c r="A1793" s="3"/>
      <c r="B1793" s="3"/>
      <c r="C1793" s="3"/>
      <c r="D1793" s="3"/>
      <c r="E1793" s="4" t="s">
        <v>2246</v>
      </c>
    </row>
    <row r="1794" hidden="1">
      <c r="A1794" s="3"/>
      <c r="B1794" s="3"/>
      <c r="C1794" s="3"/>
      <c r="D1794" s="3"/>
      <c r="E1794" s="4" t="s">
        <v>2247</v>
      </c>
    </row>
    <row r="1795" hidden="1">
      <c r="A1795" s="3"/>
      <c r="B1795" s="3"/>
      <c r="C1795" s="3"/>
      <c r="D1795" s="3"/>
      <c r="E1795" s="4" t="s">
        <v>2248</v>
      </c>
    </row>
    <row r="1796" hidden="1">
      <c r="A1796" s="3"/>
      <c r="B1796" s="3"/>
      <c r="C1796" s="3"/>
      <c r="D1796" s="3"/>
      <c r="E1796" s="4" t="s">
        <v>2249</v>
      </c>
    </row>
    <row r="1797" hidden="1">
      <c r="A1797" s="3"/>
      <c r="B1797" s="3"/>
      <c r="C1797" s="3"/>
      <c r="D1797" s="3"/>
      <c r="E1797" s="4" t="s">
        <v>2251</v>
      </c>
    </row>
    <row r="1798" hidden="1">
      <c r="A1798" s="3"/>
      <c r="B1798" s="3"/>
      <c r="C1798" s="3"/>
      <c r="D1798" s="3"/>
      <c r="E1798" s="4" t="s">
        <v>2252</v>
      </c>
    </row>
    <row r="1799" hidden="1">
      <c r="A1799" s="3"/>
      <c r="B1799" s="3"/>
      <c r="C1799" s="3"/>
      <c r="D1799" s="3"/>
      <c r="E1799" s="4" t="s">
        <v>2253</v>
      </c>
    </row>
    <row r="1800" hidden="1">
      <c r="A1800" s="3"/>
      <c r="B1800" s="3"/>
      <c r="C1800" s="3"/>
      <c r="D1800" s="3"/>
      <c r="E1800" s="4" t="s">
        <v>2254</v>
      </c>
    </row>
    <row r="1801" hidden="1">
      <c r="A1801" s="3"/>
      <c r="B1801" s="3"/>
      <c r="C1801" s="3"/>
      <c r="D1801" s="3"/>
      <c r="E1801" s="4" t="s">
        <v>2256</v>
      </c>
    </row>
    <row r="1802" hidden="1">
      <c r="A1802" s="3"/>
      <c r="B1802" s="3"/>
      <c r="C1802" s="3"/>
      <c r="D1802" s="3"/>
      <c r="E1802" s="4" t="s">
        <v>2257</v>
      </c>
    </row>
    <row r="1803" hidden="1">
      <c r="A1803" s="3"/>
      <c r="B1803" s="3"/>
      <c r="C1803" s="3"/>
      <c r="D1803" s="3"/>
      <c r="E1803" s="4" t="s">
        <v>2258</v>
      </c>
    </row>
    <row r="1804" hidden="1">
      <c r="A1804" s="3"/>
      <c r="B1804" s="3"/>
      <c r="C1804" s="3"/>
      <c r="D1804" s="3"/>
      <c r="E1804" s="4" t="s">
        <v>2259</v>
      </c>
    </row>
    <row r="1805" hidden="1">
      <c r="A1805" s="3"/>
      <c r="B1805" s="3"/>
      <c r="C1805" s="3"/>
      <c r="D1805" s="3"/>
      <c r="E1805" s="4" t="s">
        <v>2260</v>
      </c>
    </row>
    <row r="1806" hidden="1">
      <c r="A1806" s="3"/>
      <c r="B1806" s="3"/>
      <c r="C1806" s="3"/>
      <c r="D1806" s="3"/>
      <c r="E1806" s="4" t="s">
        <v>2262</v>
      </c>
    </row>
    <row r="1807" hidden="1">
      <c r="A1807" s="3"/>
      <c r="B1807" s="3"/>
      <c r="C1807" s="3"/>
      <c r="D1807" s="3"/>
      <c r="E1807" s="4" t="s">
        <v>2263</v>
      </c>
    </row>
    <row r="1808" hidden="1">
      <c r="A1808" s="3"/>
      <c r="B1808" s="3"/>
      <c r="C1808" s="3"/>
      <c r="D1808" s="3"/>
      <c r="E1808" s="4" t="s">
        <v>2264</v>
      </c>
    </row>
    <row r="1809" hidden="1">
      <c r="A1809" s="3"/>
      <c r="B1809" s="3"/>
      <c r="C1809" s="3"/>
      <c r="D1809" s="3"/>
      <c r="E1809" s="4" t="s">
        <v>2265</v>
      </c>
    </row>
    <row r="1810" hidden="1">
      <c r="A1810" s="3"/>
      <c r="B1810" s="3"/>
      <c r="C1810" s="3"/>
      <c r="D1810" s="3"/>
      <c r="E1810" s="4" t="s">
        <v>2266</v>
      </c>
    </row>
    <row r="1811" hidden="1">
      <c r="A1811" s="3"/>
      <c r="B1811" s="3"/>
      <c r="C1811" s="3"/>
      <c r="D1811" s="3"/>
      <c r="E1811" s="4" t="s">
        <v>2268</v>
      </c>
    </row>
    <row r="1812" hidden="1">
      <c r="A1812" s="3"/>
      <c r="B1812" s="3"/>
      <c r="C1812" s="3"/>
      <c r="D1812" s="3"/>
      <c r="E1812" s="4" t="s">
        <v>2269</v>
      </c>
    </row>
    <row r="1813" hidden="1">
      <c r="A1813" s="3"/>
      <c r="B1813" s="3"/>
      <c r="C1813" s="3"/>
      <c r="D1813" s="3"/>
      <c r="E1813" s="4" t="s">
        <v>2270</v>
      </c>
    </row>
    <row r="1814" hidden="1">
      <c r="A1814" s="3"/>
      <c r="B1814" s="3"/>
      <c r="C1814" s="3"/>
      <c r="D1814" s="3"/>
      <c r="E1814" s="4" t="s">
        <v>2271</v>
      </c>
    </row>
    <row r="1815" hidden="1">
      <c r="A1815" s="3"/>
      <c r="B1815" s="3"/>
      <c r="C1815" s="3"/>
      <c r="D1815" s="3"/>
      <c r="E1815" s="4" t="s">
        <v>2272</v>
      </c>
    </row>
    <row r="1816" hidden="1">
      <c r="A1816" s="3"/>
      <c r="B1816" s="3"/>
      <c r="C1816" s="3"/>
      <c r="D1816" s="3"/>
      <c r="E1816" s="4" t="s">
        <v>2274</v>
      </c>
    </row>
    <row r="1817" hidden="1">
      <c r="A1817" s="3"/>
      <c r="B1817" s="3"/>
      <c r="C1817" s="3"/>
      <c r="D1817" s="3"/>
      <c r="E1817" s="4" t="s">
        <v>2275</v>
      </c>
    </row>
    <row r="1818" hidden="1">
      <c r="A1818" s="3"/>
      <c r="B1818" s="3"/>
      <c r="C1818" s="3"/>
      <c r="D1818" s="3"/>
      <c r="E1818" s="4" t="s">
        <v>2276</v>
      </c>
    </row>
    <row r="1819" hidden="1">
      <c r="A1819" s="3"/>
      <c r="B1819" s="3"/>
      <c r="C1819" s="3"/>
      <c r="D1819" s="3"/>
      <c r="E1819" s="4" t="s">
        <v>2277</v>
      </c>
    </row>
    <row r="1820" hidden="1">
      <c r="A1820" s="3"/>
      <c r="B1820" s="3"/>
      <c r="C1820" s="3"/>
      <c r="D1820" s="3"/>
      <c r="E1820" s="4" t="s">
        <v>2278</v>
      </c>
    </row>
    <row r="1821" hidden="1">
      <c r="A1821" s="3"/>
      <c r="B1821" s="3"/>
      <c r="C1821" s="3"/>
      <c r="D1821" s="3"/>
      <c r="E1821" s="4" t="s">
        <v>2280</v>
      </c>
    </row>
    <row r="1822" hidden="1">
      <c r="A1822" s="3"/>
      <c r="B1822" s="3"/>
      <c r="C1822" s="3"/>
      <c r="D1822" s="3"/>
      <c r="E1822" s="4" t="s">
        <v>2281</v>
      </c>
    </row>
    <row r="1823" hidden="1">
      <c r="A1823" s="3"/>
      <c r="B1823" s="3"/>
      <c r="C1823" s="3"/>
      <c r="D1823" s="3"/>
      <c r="E1823" s="4" t="s">
        <v>2282</v>
      </c>
    </row>
    <row r="1824" hidden="1">
      <c r="A1824" s="3"/>
      <c r="B1824" s="3"/>
      <c r="C1824" s="3"/>
      <c r="D1824" s="3"/>
      <c r="E1824" s="4" t="s">
        <v>2283</v>
      </c>
    </row>
    <row r="1825" hidden="1">
      <c r="A1825" s="3"/>
      <c r="B1825" s="3"/>
      <c r="C1825" s="3"/>
      <c r="D1825" s="3"/>
      <c r="E1825" s="4" t="s">
        <v>2284</v>
      </c>
    </row>
    <row r="1826" hidden="1">
      <c r="A1826" s="3"/>
      <c r="B1826" s="3"/>
      <c r="C1826" s="3"/>
      <c r="D1826" s="3"/>
      <c r="E1826" s="4" t="s">
        <v>2286</v>
      </c>
    </row>
    <row r="1827" hidden="1">
      <c r="A1827" s="3"/>
      <c r="B1827" s="3"/>
      <c r="C1827" s="3"/>
      <c r="D1827" s="3"/>
      <c r="E1827" s="4" t="s">
        <v>2287</v>
      </c>
    </row>
    <row r="1828" hidden="1">
      <c r="A1828" s="3"/>
      <c r="B1828" s="3"/>
      <c r="C1828" s="3"/>
      <c r="D1828" s="3"/>
      <c r="E1828" s="4" t="s">
        <v>2288</v>
      </c>
    </row>
    <row r="1829" hidden="1">
      <c r="A1829" s="3"/>
      <c r="B1829" s="3"/>
      <c r="C1829" s="3"/>
      <c r="D1829" s="3"/>
      <c r="E1829" s="4" t="s">
        <v>2289</v>
      </c>
    </row>
    <row r="1830" hidden="1">
      <c r="A1830" s="3"/>
      <c r="B1830" s="3"/>
      <c r="C1830" s="3"/>
      <c r="D1830" s="3"/>
      <c r="E1830" s="4" t="s">
        <v>2291</v>
      </c>
    </row>
    <row r="1831" hidden="1">
      <c r="A1831" s="3"/>
      <c r="B1831" s="3"/>
      <c r="C1831" s="3"/>
      <c r="D1831" s="3"/>
      <c r="E1831" s="4" t="s">
        <v>2292</v>
      </c>
    </row>
    <row r="1832" hidden="1">
      <c r="A1832" s="3"/>
      <c r="B1832" s="3"/>
      <c r="C1832" s="3"/>
      <c r="D1832" s="3"/>
      <c r="E1832" s="4" t="s">
        <v>2293</v>
      </c>
    </row>
    <row r="1833" hidden="1">
      <c r="A1833" s="3"/>
      <c r="B1833" s="3"/>
      <c r="C1833" s="3"/>
      <c r="D1833" s="3"/>
      <c r="E1833" s="4" t="s">
        <v>2294</v>
      </c>
    </row>
    <row r="1834" hidden="1">
      <c r="A1834" s="3"/>
      <c r="B1834" s="3"/>
      <c r="C1834" s="3"/>
      <c r="D1834" s="3"/>
      <c r="E1834" s="4" t="s">
        <v>2295</v>
      </c>
    </row>
    <row r="1835" hidden="1">
      <c r="A1835" s="3"/>
      <c r="B1835" s="3"/>
      <c r="C1835" s="3"/>
      <c r="D1835" s="3"/>
      <c r="E1835" s="4" t="s">
        <v>2297</v>
      </c>
    </row>
    <row r="1836" hidden="1">
      <c r="A1836" s="3"/>
      <c r="B1836" s="3"/>
      <c r="C1836" s="3"/>
      <c r="D1836" s="3"/>
      <c r="E1836" s="4" t="s">
        <v>2298</v>
      </c>
    </row>
    <row r="1837" hidden="1">
      <c r="A1837" s="3"/>
      <c r="B1837" s="3"/>
      <c r="C1837" s="3"/>
      <c r="D1837" s="3"/>
      <c r="E1837" s="4" t="s">
        <v>2299</v>
      </c>
    </row>
    <row r="1838" hidden="1">
      <c r="A1838" s="3"/>
      <c r="B1838" s="3"/>
      <c r="C1838" s="3"/>
      <c r="D1838" s="3"/>
      <c r="E1838" s="4" t="s">
        <v>2300</v>
      </c>
    </row>
    <row r="1839" hidden="1">
      <c r="A1839" s="3"/>
      <c r="B1839" s="3"/>
      <c r="C1839" s="3"/>
      <c r="D1839" s="3"/>
      <c r="E1839" s="4" t="s">
        <v>2302</v>
      </c>
    </row>
    <row r="1840" hidden="1">
      <c r="A1840" s="3"/>
      <c r="B1840" s="3"/>
      <c r="C1840" s="3"/>
      <c r="D1840" s="3"/>
      <c r="E1840" s="4" t="s">
        <v>2303</v>
      </c>
    </row>
    <row r="1841" hidden="1">
      <c r="A1841" s="3"/>
      <c r="B1841" s="3"/>
      <c r="C1841" s="3"/>
      <c r="D1841" s="3"/>
      <c r="E1841" s="4" t="s">
        <v>2304</v>
      </c>
    </row>
    <row r="1842" hidden="1">
      <c r="A1842" s="3"/>
      <c r="B1842" s="3"/>
      <c r="C1842" s="3"/>
      <c r="D1842" s="3"/>
      <c r="E1842" s="4" t="s">
        <v>2305</v>
      </c>
    </row>
    <row r="1843" hidden="1">
      <c r="A1843" s="3"/>
      <c r="B1843" s="3"/>
      <c r="C1843" s="3"/>
      <c r="D1843" s="3"/>
      <c r="E1843" s="4" t="s">
        <v>2306</v>
      </c>
    </row>
    <row r="1844" hidden="1">
      <c r="A1844" s="3"/>
      <c r="B1844" s="3"/>
      <c r="C1844" s="3"/>
      <c r="D1844" s="3"/>
      <c r="E1844" s="4" t="s">
        <v>2308</v>
      </c>
    </row>
    <row r="1845" hidden="1">
      <c r="A1845" s="3"/>
      <c r="B1845" s="3"/>
      <c r="C1845" s="3"/>
      <c r="D1845" s="3"/>
      <c r="E1845" s="4" t="s">
        <v>2309</v>
      </c>
    </row>
    <row r="1846" hidden="1">
      <c r="A1846" s="3"/>
      <c r="B1846" s="3"/>
      <c r="C1846" s="3"/>
      <c r="D1846" s="3"/>
      <c r="E1846" s="4" t="s">
        <v>2310</v>
      </c>
    </row>
    <row r="1847" hidden="1">
      <c r="A1847" s="3"/>
      <c r="B1847" s="3"/>
      <c r="C1847" s="3"/>
      <c r="D1847" s="3"/>
      <c r="E1847" s="4" t="s">
        <v>2311</v>
      </c>
    </row>
    <row r="1848" hidden="1">
      <c r="A1848" s="3"/>
      <c r="B1848" s="3"/>
      <c r="C1848" s="3"/>
      <c r="D1848" s="3"/>
      <c r="E1848" s="4" t="s">
        <v>2313</v>
      </c>
    </row>
    <row r="1849" hidden="1">
      <c r="A1849" s="3"/>
      <c r="B1849" s="3"/>
      <c r="C1849" s="3"/>
      <c r="D1849" s="3"/>
      <c r="E1849" s="4" t="s">
        <v>2314</v>
      </c>
    </row>
    <row r="1850" hidden="1">
      <c r="A1850" s="3"/>
      <c r="B1850" s="3"/>
      <c r="C1850" s="3"/>
      <c r="D1850" s="3"/>
      <c r="E1850" s="4" t="s">
        <v>2315</v>
      </c>
    </row>
    <row r="1851" hidden="1">
      <c r="A1851" s="3"/>
      <c r="B1851" s="3"/>
      <c r="C1851" s="3"/>
      <c r="D1851" s="3"/>
      <c r="E1851" s="4" t="s">
        <v>2316</v>
      </c>
    </row>
    <row r="1852" hidden="1">
      <c r="A1852" s="3"/>
      <c r="B1852" s="3"/>
      <c r="C1852" s="3"/>
      <c r="D1852" s="3"/>
      <c r="E1852" s="4" t="s">
        <v>2317</v>
      </c>
    </row>
    <row r="1853" hidden="1">
      <c r="A1853" s="3"/>
      <c r="B1853" s="3"/>
      <c r="C1853" s="3"/>
      <c r="D1853" s="3"/>
      <c r="E1853" s="4" t="s">
        <v>2319</v>
      </c>
    </row>
    <row r="1854" hidden="1">
      <c r="A1854" s="3"/>
      <c r="B1854" s="3"/>
      <c r="C1854" s="3"/>
      <c r="D1854" s="3"/>
      <c r="E1854" s="4" t="s">
        <v>2320</v>
      </c>
    </row>
    <row r="1855" hidden="1">
      <c r="A1855" s="3"/>
      <c r="B1855" s="3"/>
      <c r="C1855" s="3"/>
      <c r="D1855" s="3"/>
      <c r="E1855" s="4" t="s">
        <v>2321</v>
      </c>
    </row>
    <row r="1856" hidden="1">
      <c r="A1856" s="3"/>
      <c r="B1856" s="3"/>
      <c r="C1856" s="3"/>
      <c r="D1856" s="3"/>
      <c r="E1856" s="4" t="s">
        <v>2322</v>
      </c>
    </row>
    <row r="1857" hidden="1">
      <c r="A1857" s="3"/>
      <c r="B1857" s="3"/>
      <c r="C1857" s="3"/>
      <c r="D1857" s="3"/>
      <c r="E1857" s="4" t="s">
        <v>2323</v>
      </c>
    </row>
    <row r="1858" hidden="1">
      <c r="A1858" s="3"/>
      <c r="B1858" s="3"/>
      <c r="C1858" s="3"/>
      <c r="D1858" s="3"/>
      <c r="E1858" s="4" t="s">
        <v>2325</v>
      </c>
    </row>
    <row r="1859" hidden="1">
      <c r="A1859" s="3"/>
      <c r="B1859" s="3"/>
      <c r="C1859" s="3"/>
      <c r="D1859" s="3"/>
      <c r="E1859" s="4" t="s">
        <v>2326</v>
      </c>
    </row>
    <row r="1860" hidden="1">
      <c r="A1860" s="3"/>
      <c r="B1860" s="3"/>
      <c r="C1860" s="3"/>
      <c r="D1860" s="3"/>
      <c r="E1860" s="4" t="s">
        <v>2327</v>
      </c>
    </row>
    <row r="1861" hidden="1">
      <c r="A1861" s="3"/>
      <c r="B1861" s="3"/>
      <c r="C1861" s="3"/>
      <c r="D1861" s="3"/>
      <c r="E1861" s="4" t="s">
        <v>2328</v>
      </c>
    </row>
    <row r="1862" hidden="1">
      <c r="A1862" s="3"/>
      <c r="B1862" s="3"/>
      <c r="C1862" s="3"/>
      <c r="D1862" s="3"/>
      <c r="E1862" s="4" t="s">
        <v>2329</v>
      </c>
    </row>
    <row r="1863" hidden="1">
      <c r="A1863" s="3"/>
      <c r="B1863" s="3"/>
      <c r="C1863" s="3"/>
      <c r="D1863" s="3"/>
      <c r="E1863" s="4" t="s">
        <v>2331</v>
      </c>
    </row>
    <row r="1864" hidden="1">
      <c r="A1864" s="3"/>
      <c r="B1864" s="3"/>
      <c r="C1864" s="3"/>
      <c r="D1864" s="3"/>
      <c r="E1864" s="4" t="s">
        <v>2332</v>
      </c>
    </row>
    <row r="1865" hidden="1">
      <c r="A1865" s="3"/>
      <c r="B1865" s="3"/>
      <c r="C1865" s="3"/>
      <c r="D1865" s="3"/>
      <c r="E1865" s="4" t="s">
        <v>2333</v>
      </c>
    </row>
    <row r="1866" hidden="1">
      <c r="A1866" s="3"/>
      <c r="B1866" s="3"/>
      <c r="C1866" s="3"/>
      <c r="D1866" s="3"/>
      <c r="E1866" s="4" t="s">
        <v>2334</v>
      </c>
    </row>
    <row r="1867" hidden="1">
      <c r="A1867" s="3"/>
      <c r="B1867" s="3"/>
      <c r="C1867" s="3"/>
      <c r="D1867" s="3"/>
      <c r="E1867" s="4" t="s">
        <v>2335</v>
      </c>
    </row>
    <row r="1868" hidden="1">
      <c r="A1868" s="3"/>
      <c r="B1868" s="3"/>
      <c r="C1868" s="3"/>
      <c r="D1868" s="3"/>
      <c r="E1868" s="4" t="s">
        <v>2337</v>
      </c>
    </row>
    <row r="1869" hidden="1">
      <c r="A1869" s="3"/>
      <c r="B1869" s="3"/>
      <c r="C1869" s="3"/>
      <c r="D1869" s="3"/>
      <c r="E1869" s="4" t="s">
        <v>2338</v>
      </c>
    </row>
    <row r="1870" hidden="1">
      <c r="A1870" s="3"/>
      <c r="B1870" s="3"/>
      <c r="C1870" s="3"/>
      <c r="D1870" s="3"/>
      <c r="E1870" s="4" t="s">
        <v>2339</v>
      </c>
    </row>
    <row r="1871" hidden="1">
      <c r="A1871" s="3"/>
      <c r="B1871" s="3"/>
      <c r="C1871" s="3"/>
      <c r="D1871" s="3"/>
      <c r="E1871" s="4" t="s">
        <v>2340</v>
      </c>
    </row>
    <row r="1872" hidden="1">
      <c r="A1872" s="3"/>
      <c r="B1872" s="3"/>
      <c r="C1872" s="3"/>
      <c r="D1872" s="3"/>
      <c r="E1872" s="4" t="s">
        <v>2341</v>
      </c>
    </row>
    <row r="1873" hidden="1">
      <c r="A1873" s="3"/>
      <c r="B1873" s="3"/>
      <c r="C1873" s="3"/>
      <c r="D1873" s="3"/>
      <c r="E1873" s="4" t="s">
        <v>2343</v>
      </c>
    </row>
    <row r="1874" hidden="1">
      <c r="A1874" s="3"/>
      <c r="B1874" s="3"/>
      <c r="C1874" s="3"/>
      <c r="D1874" s="3"/>
      <c r="E1874" s="4" t="s">
        <v>2344</v>
      </c>
    </row>
    <row r="1875" hidden="1">
      <c r="A1875" s="3"/>
      <c r="B1875" s="3"/>
      <c r="C1875" s="3"/>
      <c r="D1875" s="3"/>
      <c r="E1875" s="4" t="s">
        <v>2345</v>
      </c>
    </row>
    <row r="1876" hidden="1">
      <c r="A1876" s="3"/>
      <c r="B1876" s="3"/>
      <c r="C1876" s="3"/>
      <c r="D1876" s="3"/>
      <c r="E1876" s="4" t="s">
        <v>2346</v>
      </c>
    </row>
    <row r="1877" hidden="1">
      <c r="A1877" s="3"/>
      <c r="B1877" s="3"/>
      <c r="C1877" s="3"/>
      <c r="D1877" s="3"/>
      <c r="E1877" s="4" t="s">
        <v>2347</v>
      </c>
    </row>
    <row r="1878" hidden="1">
      <c r="A1878" s="3"/>
      <c r="B1878" s="3"/>
      <c r="C1878" s="3"/>
      <c r="D1878" s="3"/>
      <c r="E1878" s="4" t="s">
        <v>2349</v>
      </c>
    </row>
    <row r="1879" hidden="1">
      <c r="A1879" s="3"/>
      <c r="B1879" s="3"/>
      <c r="C1879" s="3"/>
      <c r="D1879" s="3"/>
      <c r="E1879" s="4" t="s">
        <v>2350</v>
      </c>
    </row>
    <row r="1880" hidden="1">
      <c r="A1880" s="3"/>
      <c r="B1880" s="3"/>
      <c r="C1880" s="3"/>
      <c r="D1880" s="3"/>
      <c r="E1880" s="4" t="s">
        <v>2351</v>
      </c>
    </row>
    <row r="1881" hidden="1">
      <c r="A1881" s="3"/>
      <c r="B1881" s="3"/>
      <c r="C1881" s="3"/>
      <c r="D1881" s="3"/>
      <c r="E1881" s="4" t="s">
        <v>2352</v>
      </c>
    </row>
    <row r="1882" hidden="1">
      <c r="A1882" s="3"/>
      <c r="B1882" s="3"/>
      <c r="C1882" s="3"/>
      <c r="D1882" s="3"/>
      <c r="E1882" s="4" t="s">
        <v>2353</v>
      </c>
    </row>
    <row r="1883" hidden="1">
      <c r="A1883" s="3"/>
      <c r="B1883" s="3"/>
      <c r="C1883" s="3"/>
      <c r="D1883" s="3"/>
      <c r="E1883" s="4" t="s">
        <v>2354</v>
      </c>
    </row>
    <row r="1884" hidden="1">
      <c r="A1884" s="3"/>
      <c r="B1884" s="3"/>
      <c r="C1884" s="3"/>
      <c r="D1884" s="3"/>
      <c r="E1884" s="4" t="s">
        <v>2356</v>
      </c>
    </row>
    <row r="1885" hidden="1">
      <c r="A1885" s="3"/>
      <c r="B1885" s="3"/>
      <c r="C1885" s="3"/>
      <c r="D1885" s="3"/>
      <c r="E1885" s="4" t="s">
        <v>2357</v>
      </c>
    </row>
    <row r="1886" hidden="1">
      <c r="A1886" s="3"/>
      <c r="B1886" s="3"/>
      <c r="C1886" s="3"/>
      <c r="D1886" s="3"/>
      <c r="E1886" s="4" t="s">
        <v>2358</v>
      </c>
    </row>
    <row r="1887" hidden="1">
      <c r="A1887" s="3"/>
      <c r="B1887" s="3"/>
      <c r="C1887" s="3"/>
      <c r="D1887" s="3"/>
      <c r="E1887" s="4" t="s">
        <v>2359</v>
      </c>
    </row>
    <row r="1888" hidden="1">
      <c r="A1888" s="3"/>
      <c r="B1888" s="3"/>
      <c r="C1888" s="3"/>
      <c r="D1888" s="3"/>
      <c r="E1888" s="4" t="s">
        <v>2360</v>
      </c>
    </row>
    <row r="1889" hidden="1">
      <c r="A1889" s="3"/>
      <c r="B1889" s="3"/>
      <c r="C1889" s="3"/>
      <c r="D1889" s="3"/>
      <c r="E1889" s="4" t="s">
        <v>2362</v>
      </c>
    </row>
    <row r="1890" hidden="1">
      <c r="A1890" s="3"/>
      <c r="B1890" s="3"/>
      <c r="C1890" s="3"/>
      <c r="D1890" s="3"/>
      <c r="E1890" s="4" t="s">
        <v>2363</v>
      </c>
    </row>
    <row r="1891" hidden="1">
      <c r="A1891" s="3"/>
      <c r="B1891" s="3"/>
      <c r="C1891" s="3"/>
      <c r="D1891" s="3"/>
      <c r="E1891" s="4" t="s">
        <v>2364</v>
      </c>
    </row>
    <row r="1892" hidden="1">
      <c r="A1892" s="3"/>
      <c r="B1892" s="3"/>
      <c r="C1892" s="3"/>
      <c r="D1892" s="3"/>
      <c r="E1892" s="4" t="s">
        <v>2365</v>
      </c>
    </row>
    <row r="1893" hidden="1">
      <c r="A1893" s="3"/>
      <c r="B1893" s="3"/>
      <c r="C1893" s="3"/>
      <c r="D1893" s="3"/>
      <c r="E1893" s="4" t="s">
        <v>2366</v>
      </c>
    </row>
    <row r="1894" hidden="1">
      <c r="A1894" s="3"/>
      <c r="B1894" s="3"/>
      <c r="C1894" s="3"/>
      <c r="D1894" s="3"/>
      <c r="E1894" s="4" t="s">
        <v>2368</v>
      </c>
    </row>
    <row r="1895" hidden="1">
      <c r="A1895" s="3"/>
      <c r="B1895" s="3"/>
      <c r="C1895" s="3"/>
      <c r="D1895" s="3"/>
      <c r="E1895" s="4" t="s">
        <v>2369</v>
      </c>
    </row>
    <row r="1896" hidden="1">
      <c r="A1896" s="3"/>
      <c r="B1896" s="3"/>
      <c r="C1896" s="3"/>
      <c r="D1896" s="3"/>
      <c r="E1896" s="4" t="s">
        <v>2370</v>
      </c>
    </row>
    <row r="1897" hidden="1">
      <c r="A1897" s="3"/>
      <c r="B1897" s="3"/>
      <c r="C1897" s="3"/>
      <c r="D1897" s="3"/>
      <c r="E1897" s="4" t="s">
        <v>2371</v>
      </c>
    </row>
    <row r="1898" hidden="1">
      <c r="A1898" s="3"/>
      <c r="B1898" s="3"/>
      <c r="C1898" s="3"/>
      <c r="D1898" s="3"/>
      <c r="E1898" s="4" t="s">
        <v>2373</v>
      </c>
    </row>
    <row r="1899" hidden="1">
      <c r="A1899" s="3"/>
      <c r="B1899" s="3"/>
      <c r="C1899" s="3"/>
      <c r="D1899" s="3"/>
      <c r="E1899" s="4" t="s">
        <v>2374</v>
      </c>
    </row>
    <row r="1900" hidden="1">
      <c r="A1900" s="3"/>
      <c r="B1900" s="3"/>
      <c r="C1900" s="3"/>
      <c r="D1900" s="3"/>
      <c r="E1900" s="4" t="s">
        <v>2375</v>
      </c>
    </row>
    <row r="1901" hidden="1">
      <c r="A1901" s="3"/>
      <c r="B1901" s="3"/>
      <c r="C1901" s="3"/>
      <c r="D1901" s="3"/>
      <c r="E1901" s="4" t="s">
        <v>2376</v>
      </c>
    </row>
    <row r="1902" hidden="1">
      <c r="A1902" s="3"/>
      <c r="B1902" s="3"/>
      <c r="C1902" s="3"/>
      <c r="D1902" s="3"/>
      <c r="E1902" s="4" t="s">
        <v>2377</v>
      </c>
    </row>
    <row r="1903" hidden="1">
      <c r="A1903" s="3"/>
      <c r="B1903" s="3"/>
      <c r="C1903" s="3"/>
      <c r="D1903" s="3"/>
      <c r="E1903" s="4" t="s">
        <v>2379</v>
      </c>
    </row>
    <row r="1904" hidden="1">
      <c r="A1904" s="3"/>
      <c r="B1904" s="3"/>
      <c r="C1904" s="3"/>
      <c r="D1904" s="3"/>
      <c r="E1904" s="4" t="s">
        <v>2380</v>
      </c>
    </row>
    <row r="1905" hidden="1">
      <c r="A1905" s="3"/>
      <c r="B1905" s="3"/>
      <c r="C1905" s="3"/>
      <c r="D1905" s="3"/>
      <c r="E1905" s="4" t="s">
        <v>2381</v>
      </c>
    </row>
    <row r="1906" hidden="1">
      <c r="A1906" s="3"/>
      <c r="B1906" s="3"/>
      <c r="C1906" s="3"/>
      <c r="D1906" s="3"/>
      <c r="E1906" s="4" t="s">
        <v>2383</v>
      </c>
    </row>
    <row r="1907" hidden="1">
      <c r="A1907" s="3"/>
      <c r="B1907" s="3"/>
      <c r="C1907" s="3"/>
      <c r="D1907" s="3"/>
      <c r="E1907" s="4" t="s">
        <v>2384</v>
      </c>
    </row>
    <row r="1908" hidden="1">
      <c r="A1908" s="3"/>
      <c r="B1908" s="3"/>
      <c r="C1908" s="3"/>
      <c r="D1908" s="3"/>
      <c r="E1908" s="4" t="s">
        <v>2385</v>
      </c>
    </row>
    <row r="1909" hidden="1">
      <c r="A1909" s="3"/>
      <c r="B1909" s="3"/>
      <c r="C1909" s="3"/>
      <c r="D1909" s="3"/>
      <c r="E1909" s="4" t="s">
        <v>2386</v>
      </c>
    </row>
    <row r="1910" hidden="1">
      <c r="A1910" s="3"/>
      <c r="B1910" s="3"/>
      <c r="C1910" s="3"/>
      <c r="D1910" s="3"/>
      <c r="E1910" s="4" t="s">
        <v>2387</v>
      </c>
    </row>
    <row r="1911" hidden="1">
      <c r="A1911" s="3"/>
      <c r="B1911" s="3"/>
      <c r="C1911" s="3"/>
      <c r="D1911" s="3"/>
      <c r="E1911" s="4" t="s">
        <v>2389</v>
      </c>
    </row>
    <row r="1912" hidden="1">
      <c r="A1912" s="3"/>
      <c r="B1912" s="3"/>
      <c r="C1912" s="3"/>
      <c r="D1912" s="3"/>
      <c r="E1912" s="4" t="s">
        <v>2390</v>
      </c>
    </row>
    <row r="1913" hidden="1">
      <c r="A1913" s="3"/>
      <c r="B1913" s="3"/>
      <c r="C1913" s="3"/>
      <c r="D1913" s="3"/>
      <c r="E1913" s="4" t="s">
        <v>2391</v>
      </c>
    </row>
    <row r="1914" hidden="1">
      <c r="A1914" s="3"/>
      <c r="B1914" s="3"/>
      <c r="C1914" s="3"/>
      <c r="D1914" s="3"/>
      <c r="E1914" s="4" t="s">
        <v>2392</v>
      </c>
    </row>
    <row r="1915" hidden="1">
      <c r="A1915" s="3"/>
      <c r="B1915" s="3"/>
      <c r="C1915" s="3"/>
      <c r="D1915" s="3"/>
      <c r="E1915" s="4" t="s">
        <v>2394</v>
      </c>
    </row>
    <row r="1916" hidden="1">
      <c r="A1916" s="3"/>
      <c r="B1916" s="3"/>
      <c r="C1916" s="3"/>
      <c r="D1916" s="3"/>
      <c r="E1916" s="4" t="s">
        <v>2395</v>
      </c>
    </row>
    <row r="1917" hidden="1">
      <c r="A1917" s="3"/>
      <c r="B1917" s="3"/>
      <c r="C1917" s="3"/>
      <c r="D1917" s="3"/>
      <c r="E1917" s="4" t="s">
        <v>2396</v>
      </c>
    </row>
    <row r="1918" hidden="1">
      <c r="A1918" s="3"/>
      <c r="B1918" s="3"/>
      <c r="C1918" s="3"/>
      <c r="D1918" s="3"/>
      <c r="E1918" s="4" t="s">
        <v>2397</v>
      </c>
    </row>
    <row r="1919" hidden="1">
      <c r="A1919" s="3"/>
      <c r="B1919" s="3"/>
      <c r="C1919" s="3"/>
      <c r="D1919" s="3"/>
      <c r="E1919" s="4" t="s">
        <v>2399</v>
      </c>
    </row>
    <row r="1920" hidden="1">
      <c r="A1920" s="3"/>
      <c r="B1920" s="3"/>
      <c r="C1920" s="3"/>
      <c r="D1920" s="3"/>
      <c r="E1920" s="4" t="s">
        <v>2400</v>
      </c>
    </row>
    <row r="1921" hidden="1">
      <c r="A1921" s="3"/>
      <c r="B1921" s="3"/>
      <c r="C1921" s="3"/>
      <c r="D1921" s="3"/>
      <c r="E1921" s="4" t="s">
        <v>2401</v>
      </c>
    </row>
    <row r="1922" hidden="1">
      <c r="A1922" s="3"/>
      <c r="B1922" s="3"/>
      <c r="C1922" s="3"/>
      <c r="D1922" s="3"/>
      <c r="E1922" s="4" t="s">
        <v>2402</v>
      </c>
    </row>
    <row r="1923" hidden="1">
      <c r="A1923" s="3"/>
      <c r="B1923" s="3"/>
      <c r="C1923" s="3"/>
      <c r="D1923" s="3"/>
      <c r="E1923" s="4" t="s">
        <v>2404</v>
      </c>
    </row>
    <row r="1924" hidden="1">
      <c r="A1924" s="3"/>
      <c r="B1924" s="3"/>
      <c r="C1924" s="3"/>
      <c r="D1924" s="3"/>
      <c r="E1924" s="4" t="s">
        <v>2405</v>
      </c>
    </row>
    <row r="1925" hidden="1">
      <c r="A1925" s="3"/>
      <c r="B1925" s="3"/>
      <c r="C1925" s="3"/>
      <c r="D1925" s="3"/>
      <c r="E1925" s="4" t="s">
        <v>2406</v>
      </c>
    </row>
    <row r="1926" hidden="1">
      <c r="A1926" s="3"/>
      <c r="B1926" s="3"/>
      <c r="C1926" s="3"/>
      <c r="D1926" s="3"/>
      <c r="E1926" s="4" t="s">
        <v>2408</v>
      </c>
    </row>
    <row r="1927" hidden="1">
      <c r="A1927" s="3"/>
      <c r="B1927" s="3"/>
      <c r="C1927" s="3"/>
      <c r="D1927" s="3"/>
      <c r="E1927" s="4" t="s">
        <v>2409</v>
      </c>
    </row>
    <row r="1928" hidden="1">
      <c r="A1928" s="3"/>
      <c r="B1928" s="3"/>
      <c r="C1928" s="3"/>
      <c r="D1928" s="3"/>
      <c r="E1928" s="4" t="s">
        <v>2410</v>
      </c>
    </row>
    <row r="1929" hidden="1">
      <c r="A1929" s="3"/>
      <c r="B1929" s="3"/>
      <c r="C1929" s="3"/>
      <c r="D1929" s="3"/>
      <c r="E1929" s="4" t="s">
        <v>2411</v>
      </c>
    </row>
    <row r="1930" hidden="1">
      <c r="A1930" s="3"/>
      <c r="B1930" s="3"/>
      <c r="C1930" s="3"/>
      <c r="D1930" s="3"/>
      <c r="E1930" s="4" t="s">
        <v>2413</v>
      </c>
    </row>
    <row r="1931" hidden="1">
      <c r="A1931" s="3"/>
      <c r="B1931" s="3"/>
      <c r="C1931" s="3"/>
      <c r="D1931" s="3"/>
      <c r="E1931" s="4" t="s">
        <v>2414</v>
      </c>
    </row>
    <row r="1932" hidden="1">
      <c r="A1932" s="3"/>
      <c r="B1932" s="3"/>
      <c r="C1932" s="3"/>
      <c r="D1932" s="3"/>
      <c r="E1932" s="4" t="s">
        <v>2415</v>
      </c>
    </row>
    <row r="1933" hidden="1">
      <c r="A1933" s="3"/>
      <c r="B1933" s="3"/>
      <c r="C1933" s="3"/>
      <c r="D1933" s="3"/>
      <c r="E1933" s="4" t="s">
        <v>2416</v>
      </c>
    </row>
    <row r="1934" hidden="1">
      <c r="A1934" s="3"/>
      <c r="B1934" s="3"/>
      <c r="C1934" s="3"/>
      <c r="D1934" s="3"/>
      <c r="E1934" s="4" t="s">
        <v>2418</v>
      </c>
    </row>
    <row r="1935" hidden="1">
      <c r="A1935" s="3"/>
      <c r="B1935" s="3"/>
      <c r="C1935" s="3"/>
      <c r="D1935" s="3"/>
      <c r="E1935" s="4" t="s">
        <v>2420</v>
      </c>
    </row>
    <row r="1936" hidden="1">
      <c r="A1936" s="3"/>
      <c r="B1936" s="3"/>
      <c r="C1936" s="3"/>
      <c r="D1936" s="3"/>
      <c r="E1936" s="4" t="s">
        <v>2421</v>
      </c>
    </row>
    <row r="1937" hidden="1">
      <c r="A1937" s="3"/>
      <c r="B1937" s="3"/>
      <c r="C1937" s="3"/>
      <c r="D1937" s="3"/>
      <c r="E1937" s="4" t="s">
        <v>2422</v>
      </c>
    </row>
    <row r="1938" hidden="1">
      <c r="A1938" s="3"/>
      <c r="B1938" s="3"/>
      <c r="C1938" s="3"/>
      <c r="D1938" s="3"/>
      <c r="E1938" s="4" t="s">
        <v>2424</v>
      </c>
    </row>
    <row r="1939" hidden="1">
      <c r="A1939" s="3"/>
      <c r="B1939" s="3"/>
      <c r="C1939" s="3"/>
      <c r="D1939" s="3"/>
      <c r="E1939" s="4" t="s">
        <v>2425</v>
      </c>
    </row>
    <row r="1940" hidden="1">
      <c r="A1940" s="3"/>
      <c r="B1940" s="3"/>
      <c r="C1940" s="3"/>
      <c r="D1940" s="3"/>
      <c r="E1940" s="4" t="s">
        <v>2426</v>
      </c>
    </row>
    <row r="1941" hidden="1">
      <c r="A1941" s="3"/>
      <c r="B1941" s="3"/>
      <c r="C1941" s="3"/>
      <c r="D1941" s="3"/>
      <c r="E1941" s="4" t="s">
        <v>2427</v>
      </c>
    </row>
    <row r="1942" hidden="1">
      <c r="A1942" s="3"/>
      <c r="B1942" s="3"/>
      <c r="C1942" s="3"/>
      <c r="D1942" s="3"/>
      <c r="E1942" s="4" t="s">
        <v>2428</v>
      </c>
    </row>
    <row r="1943" hidden="1">
      <c r="A1943" s="3"/>
      <c r="B1943" s="3"/>
      <c r="C1943" s="3"/>
      <c r="D1943" s="3"/>
      <c r="E1943" s="4" t="s">
        <v>2430</v>
      </c>
    </row>
    <row r="1944" hidden="1">
      <c r="A1944" s="3"/>
      <c r="B1944" s="3"/>
      <c r="C1944" s="3"/>
      <c r="D1944" s="3"/>
      <c r="E1944" s="4" t="s">
        <v>2431</v>
      </c>
    </row>
    <row r="1945" hidden="1">
      <c r="A1945" s="3"/>
      <c r="B1945" s="3"/>
      <c r="C1945" s="3"/>
      <c r="D1945" s="3"/>
      <c r="E1945" s="4" t="s">
        <v>2432</v>
      </c>
    </row>
    <row r="1946" hidden="1">
      <c r="A1946" s="3"/>
      <c r="B1946" s="3"/>
      <c r="C1946" s="3"/>
      <c r="D1946" s="3"/>
      <c r="E1946" s="4" t="s">
        <v>2433</v>
      </c>
    </row>
    <row r="1947" hidden="1">
      <c r="A1947" s="3"/>
      <c r="B1947" s="3"/>
      <c r="C1947" s="3"/>
      <c r="D1947" s="3"/>
      <c r="E1947" s="4" t="s">
        <v>2434</v>
      </c>
    </row>
    <row r="1948" hidden="1">
      <c r="A1948" s="3"/>
      <c r="B1948" s="3"/>
      <c r="C1948" s="3"/>
      <c r="D1948" s="3"/>
      <c r="E1948" s="4" t="s">
        <v>2436</v>
      </c>
    </row>
    <row r="1949" hidden="1">
      <c r="A1949" s="3"/>
      <c r="B1949" s="3"/>
      <c r="C1949" s="3"/>
      <c r="D1949" s="3"/>
      <c r="E1949" s="4" t="s">
        <v>2437</v>
      </c>
    </row>
    <row r="1950" hidden="1">
      <c r="A1950" s="3"/>
      <c r="B1950" s="3"/>
      <c r="C1950" s="3"/>
      <c r="D1950" s="3"/>
      <c r="E1950" s="4" t="s">
        <v>2438</v>
      </c>
    </row>
    <row r="1951" hidden="1">
      <c r="A1951" s="3"/>
      <c r="B1951" s="3"/>
      <c r="C1951" s="3"/>
      <c r="D1951" s="3"/>
      <c r="E1951" s="4" t="s">
        <v>2439</v>
      </c>
    </row>
    <row r="1952" hidden="1">
      <c r="A1952" s="3"/>
      <c r="B1952" s="3"/>
      <c r="C1952" s="3"/>
      <c r="D1952" s="3"/>
      <c r="E1952" s="4" t="s">
        <v>2441</v>
      </c>
    </row>
    <row r="1953" hidden="1">
      <c r="A1953" s="3"/>
      <c r="B1953" s="3"/>
      <c r="C1953" s="3"/>
      <c r="D1953" s="3"/>
      <c r="E1953" s="4" t="s">
        <v>2442</v>
      </c>
    </row>
    <row r="1954" hidden="1">
      <c r="A1954" s="3"/>
      <c r="B1954" s="3"/>
      <c r="C1954" s="3"/>
      <c r="D1954" s="3"/>
      <c r="E1954" s="4" t="s">
        <v>2443</v>
      </c>
    </row>
    <row r="1955" hidden="1">
      <c r="A1955" s="3"/>
      <c r="B1955" s="3"/>
      <c r="C1955" s="3"/>
      <c r="D1955" s="3"/>
      <c r="E1955" s="4" t="s">
        <v>2444</v>
      </c>
    </row>
    <row r="1956" hidden="1">
      <c r="A1956" s="3"/>
      <c r="B1956" s="3"/>
      <c r="C1956" s="3"/>
      <c r="D1956" s="3"/>
      <c r="E1956" s="4" t="s">
        <v>2446</v>
      </c>
    </row>
    <row r="1957" hidden="1">
      <c r="A1957" s="3"/>
      <c r="B1957" s="3"/>
      <c r="C1957" s="3"/>
      <c r="D1957" s="3"/>
      <c r="E1957" s="4" t="s">
        <v>2447</v>
      </c>
    </row>
    <row r="1958" hidden="1">
      <c r="A1958" s="3"/>
      <c r="B1958" s="3"/>
      <c r="C1958" s="3"/>
      <c r="D1958" s="3"/>
      <c r="E1958" s="4" t="s">
        <v>2449</v>
      </c>
    </row>
    <row r="1959" hidden="1">
      <c r="A1959" s="3"/>
      <c r="B1959" s="3"/>
      <c r="C1959" s="3"/>
      <c r="D1959" s="3"/>
      <c r="E1959" s="4" t="s">
        <v>2450</v>
      </c>
    </row>
    <row r="1960" hidden="1">
      <c r="A1960" s="3"/>
      <c r="B1960" s="3"/>
      <c r="C1960" s="3"/>
      <c r="D1960" s="3"/>
      <c r="E1960" s="4" t="s">
        <v>2452</v>
      </c>
    </row>
    <row r="1961" hidden="1">
      <c r="A1961" s="3"/>
      <c r="B1961" s="3"/>
      <c r="C1961" s="3"/>
      <c r="D1961" s="3"/>
      <c r="E1961" s="4" t="s">
        <v>2453</v>
      </c>
    </row>
    <row r="1962" hidden="1">
      <c r="A1962" s="3"/>
      <c r="B1962" s="3"/>
      <c r="C1962" s="3"/>
      <c r="D1962" s="3"/>
      <c r="E1962" s="4" t="s">
        <v>2454</v>
      </c>
    </row>
    <row r="1963" hidden="1">
      <c r="A1963" s="3"/>
      <c r="B1963" s="3"/>
      <c r="C1963" s="3"/>
      <c r="D1963" s="3"/>
      <c r="E1963" s="4" t="s">
        <v>2456</v>
      </c>
    </row>
    <row r="1964" hidden="1">
      <c r="A1964" s="3"/>
      <c r="B1964" s="3"/>
      <c r="C1964" s="3"/>
      <c r="D1964" s="3"/>
      <c r="E1964" s="4" t="s">
        <v>2457</v>
      </c>
    </row>
    <row r="1965" hidden="1">
      <c r="A1965" s="3"/>
      <c r="B1965" s="3"/>
      <c r="C1965" s="3"/>
      <c r="D1965" s="3"/>
      <c r="E1965" s="4" t="s">
        <v>2458</v>
      </c>
    </row>
    <row r="1966" hidden="1">
      <c r="A1966" s="3"/>
      <c r="B1966" s="3"/>
      <c r="C1966" s="3"/>
      <c r="D1966" s="3"/>
      <c r="E1966" s="4" t="s">
        <v>2459</v>
      </c>
    </row>
    <row r="1967" hidden="1">
      <c r="A1967" s="3"/>
      <c r="B1967" s="3"/>
      <c r="C1967" s="3"/>
      <c r="D1967" s="3"/>
      <c r="E1967" s="4" t="s">
        <v>2461</v>
      </c>
    </row>
    <row r="1968" hidden="1">
      <c r="A1968" s="3"/>
      <c r="B1968" s="3"/>
      <c r="C1968" s="3"/>
      <c r="D1968" s="3"/>
      <c r="E1968" s="4" t="s">
        <v>2462</v>
      </c>
    </row>
    <row r="1969" hidden="1">
      <c r="A1969" s="3"/>
      <c r="B1969" s="3"/>
      <c r="C1969" s="3"/>
      <c r="D1969" s="3"/>
      <c r="E1969" s="4" t="s">
        <v>2463</v>
      </c>
    </row>
    <row r="1970" hidden="1">
      <c r="A1970" s="3"/>
      <c r="B1970" s="3"/>
      <c r="C1970" s="3"/>
      <c r="D1970" s="3"/>
      <c r="E1970" s="4" t="s">
        <v>2464</v>
      </c>
    </row>
    <row r="1971" hidden="1">
      <c r="A1971" s="3"/>
      <c r="B1971" s="3"/>
      <c r="C1971" s="3"/>
      <c r="D1971" s="3"/>
      <c r="E1971" s="4" t="s">
        <v>2465</v>
      </c>
    </row>
    <row r="1972" hidden="1">
      <c r="A1972" s="3"/>
      <c r="B1972" s="3"/>
      <c r="C1972" s="3"/>
      <c r="D1972" s="3"/>
      <c r="E1972" s="4" t="s">
        <v>2467</v>
      </c>
    </row>
    <row r="1973" hidden="1">
      <c r="A1973" s="3"/>
      <c r="B1973" s="3"/>
      <c r="C1973" s="3"/>
      <c r="D1973" s="3"/>
      <c r="E1973" s="4" t="s">
        <v>2468</v>
      </c>
    </row>
    <row r="1974" hidden="1">
      <c r="A1974" s="3"/>
      <c r="B1974" s="3"/>
      <c r="C1974" s="3"/>
      <c r="D1974" s="3"/>
      <c r="E1974" s="4" t="s">
        <v>2469</v>
      </c>
    </row>
    <row r="1975" hidden="1">
      <c r="A1975" s="3"/>
      <c r="B1975" s="3"/>
      <c r="C1975" s="3"/>
      <c r="D1975" s="3"/>
      <c r="E1975" s="4" t="s">
        <v>2470</v>
      </c>
    </row>
    <row r="1976" hidden="1">
      <c r="A1976" s="3"/>
      <c r="B1976" s="3"/>
      <c r="C1976" s="3"/>
      <c r="D1976" s="3"/>
      <c r="E1976" s="4" t="s">
        <v>2472</v>
      </c>
    </row>
    <row r="1977" hidden="1">
      <c r="A1977" s="3"/>
      <c r="B1977" s="3"/>
      <c r="C1977" s="3"/>
      <c r="D1977" s="3"/>
      <c r="E1977" s="4" t="s">
        <v>2473</v>
      </c>
    </row>
    <row r="1978" hidden="1">
      <c r="A1978" s="3"/>
      <c r="B1978" s="3"/>
      <c r="C1978" s="3"/>
      <c r="D1978" s="3"/>
      <c r="E1978" s="4" t="s">
        <v>2474</v>
      </c>
    </row>
    <row r="1979" hidden="1">
      <c r="A1979" s="3"/>
      <c r="B1979" s="3"/>
      <c r="C1979" s="3"/>
      <c r="D1979" s="3"/>
      <c r="E1979" s="4" t="s">
        <v>2475</v>
      </c>
    </row>
    <row r="1980" hidden="1">
      <c r="A1980" s="3"/>
      <c r="B1980" s="3"/>
      <c r="C1980" s="3"/>
      <c r="D1980" s="3"/>
      <c r="E1980" s="4" t="s">
        <v>2476</v>
      </c>
    </row>
    <row r="1981" hidden="1">
      <c r="A1981" s="3"/>
      <c r="B1981" s="3"/>
      <c r="C1981" s="3"/>
      <c r="D1981" s="3"/>
      <c r="E1981" s="4" t="s">
        <v>2477</v>
      </c>
    </row>
    <row r="1982" hidden="1">
      <c r="A1982" s="3"/>
      <c r="B1982" s="3"/>
      <c r="C1982" s="3"/>
      <c r="D1982" s="3"/>
      <c r="E1982" s="4" t="s">
        <v>2478</v>
      </c>
    </row>
    <row r="1983" hidden="1">
      <c r="A1983" s="3"/>
      <c r="B1983" s="3"/>
      <c r="C1983" s="3"/>
      <c r="D1983" s="3"/>
      <c r="E1983" s="4" t="s">
        <v>2480</v>
      </c>
    </row>
    <row r="1984" hidden="1">
      <c r="A1984" s="3"/>
      <c r="B1984" s="3"/>
      <c r="C1984" s="3"/>
      <c r="D1984" s="3"/>
      <c r="E1984" s="4" t="s">
        <v>2481</v>
      </c>
    </row>
    <row r="1985" hidden="1">
      <c r="A1985" s="3"/>
      <c r="B1985" s="3"/>
      <c r="C1985" s="3"/>
      <c r="D1985" s="3"/>
      <c r="E1985" s="4" t="s">
        <v>2482</v>
      </c>
    </row>
    <row r="1986" hidden="1">
      <c r="A1986" s="3"/>
      <c r="B1986" s="3"/>
      <c r="C1986" s="3"/>
      <c r="D1986" s="3"/>
      <c r="E1986" s="4" t="s">
        <v>2483</v>
      </c>
    </row>
    <row r="1987" hidden="1">
      <c r="A1987" s="3"/>
      <c r="B1987" s="3"/>
      <c r="C1987" s="3"/>
      <c r="D1987" s="3"/>
      <c r="E1987" s="4" t="s">
        <v>2485</v>
      </c>
    </row>
    <row r="1988" hidden="1">
      <c r="A1988" s="3"/>
      <c r="B1988" s="3"/>
      <c r="C1988" s="3"/>
      <c r="D1988" s="3"/>
      <c r="E1988" s="4" t="s">
        <v>2486</v>
      </c>
    </row>
    <row r="1989" hidden="1">
      <c r="A1989" s="3"/>
      <c r="B1989" s="3"/>
      <c r="C1989" s="3"/>
      <c r="D1989" s="3"/>
      <c r="E1989" s="4" t="s">
        <v>2487</v>
      </c>
    </row>
    <row r="1990" hidden="1">
      <c r="A1990" s="3"/>
      <c r="B1990" s="3"/>
      <c r="C1990" s="3"/>
      <c r="D1990" s="3"/>
      <c r="E1990" s="4" t="s">
        <v>2488</v>
      </c>
    </row>
    <row r="1991" hidden="1">
      <c r="A1991" s="3"/>
      <c r="B1991" s="3"/>
      <c r="C1991" s="3"/>
      <c r="D1991" s="3"/>
      <c r="E1991" s="4" t="s">
        <v>2489</v>
      </c>
    </row>
    <row r="1992" hidden="1">
      <c r="A1992" s="3"/>
      <c r="B1992" s="3"/>
      <c r="C1992" s="3"/>
      <c r="D1992" s="3"/>
      <c r="E1992" s="4" t="s">
        <v>2490</v>
      </c>
    </row>
    <row r="1993" hidden="1">
      <c r="A1993" s="3"/>
      <c r="B1993" s="3"/>
      <c r="C1993" s="3"/>
      <c r="D1993" s="3"/>
      <c r="E1993" s="4" t="s">
        <v>2491</v>
      </c>
    </row>
    <row r="1994" hidden="1">
      <c r="A1994" s="3"/>
      <c r="B1994" s="3"/>
      <c r="C1994" s="3"/>
      <c r="D1994" s="3"/>
      <c r="E1994" s="4" t="s">
        <v>2493</v>
      </c>
    </row>
    <row r="1995" hidden="1">
      <c r="A1995" s="3"/>
      <c r="B1995" s="3"/>
      <c r="C1995" s="3"/>
      <c r="D1995" s="3"/>
      <c r="E1995" s="4" t="s">
        <v>2494</v>
      </c>
    </row>
    <row r="1996" hidden="1">
      <c r="A1996" s="3"/>
      <c r="B1996" s="3"/>
      <c r="C1996" s="3"/>
      <c r="D1996" s="3"/>
      <c r="E1996" s="4" t="s">
        <v>2495</v>
      </c>
    </row>
    <row r="1997" hidden="1">
      <c r="A1997" s="3"/>
      <c r="B1997" s="3"/>
      <c r="C1997" s="3"/>
      <c r="D1997" s="3"/>
      <c r="E1997" s="4" t="s">
        <v>2496</v>
      </c>
    </row>
    <row r="1998" hidden="1">
      <c r="A1998" s="3"/>
      <c r="B1998" s="3"/>
      <c r="C1998" s="3"/>
      <c r="D1998" s="3"/>
      <c r="E1998" s="4" t="s">
        <v>2497</v>
      </c>
    </row>
    <row r="1999" hidden="1">
      <c r="A1999" s="3"/>
      <c r="B1999" s="3"/>
      <c r="C1999" s="3"/>
      <c r="D1999" s="3"/>
      <c r="E1999" s="4" t="s">
        <v>2498</v>
      </c>
    </row>
    <row r="2000" hidden="1">
      <c r="A2000" s="3"/>
      <c r="B2000" s="3"/>
      <c r="C2000" s="3"/>
      <c r="D2000" s="3"/>
      <c r="E2000" s="4" t="s">
        <v>2499</v>
      </c>
    </row>
    <row r="2001" hidden="1">
      <c r="A2001" s="3"/>
      <c r="B2001" s="3"/>
      <c r="C2001" s="3"/>
      <c r="D2001" s="3"/>
      <c r="E2001" s="4" t="s">
        <v>2501</v>
      </c>
    </row>
    <row r="2002" hidden="1">
      <c r="A2002" s="3"/>
      <c r="B2002" s="3"/>
      <c r="C2002" s="3"/>
      <c r="D2002" s="3"/>
      <c r="E2002" s="4" t="s">
        <v>2502</v>
      </c>
    </row>
    <row r="2003" hidden="1">
      <c r="A2003" s="3"/>
      <c r="B2003" s="3"/>
      <c r="C2003" s="3"/>
      <c r="D2003" s="3"/>
      <c r="E2003" s="4" t="s">
        <v>2503</v>
      </c>
    </row>
    <row r="2004" hidden="1">
      <c r="A2004" s="3"/>
      <c r="B2004" s="3"/>
      <c r="C2004" s="3"/>
      <c r="D2004" s="3"/>
      <c r="E2004" s="4" t="s">
        <v>2504</v>
      </c>
    </row>
    <row r="2005" hidden="1">
      <c r="A2005" s="3"/>
      <c r="B2005" s="3"/>
      <c r="C2005" s="3"/>
      <c r="D2005" s="3"/>
      <c r="E2005" s="4" t="s">
        <v>2505</v>
      </c>
    </row>
    <row r="2006" hidden="1">
      <c r="A2006" s="3"/>
      <c r="B2006" s="3"/>
      <c r="C2006" s="3"/>
      <c r="D2006" s="3"/>
      <c r="E2006" s="4" t="s">
        <v>2506</v>
      </c>
    </row>
    <row r="2007" hidden="1">
      <c r="A2007" s="3"/>
      <c r="B2007" s="3"/>
      <c r="C2007" s="3"/>
      <c r="D2007" s="3"/>
      <c r="E2007" s="4" t="s">
        <v>2508</v>
      </c>
    </row>
    <row r="2008" hidden="1">
      <c r="A2008" s="3"/>
      <c r="B2008" s="3"/>
      <c r="C2008" s="3"/>
      <c r="D2008" s="3"/>
      <c r="E2008" s="4" t="s">
        <v>2509</v>
      </c>
    </row>
    <row r="2009" hidden="1">
      <c r="A2009" s="3"/>
      <c r="B2009" s="3"/>
      <c r="C2009" s="3"/>
      <c r="D2009" s="3"/>
      <c r="E2009" s="4" t="s">
        <v>2510</v>
      </c>
    </row>
    <row r="2010" hidden="1">
      <c r="A2010" s="3"/>
      <c r="B2010" s="3"/>
      <c r="C2010" s="3"/>
      <c r="D2010" s="3"/>
      <c r="E2010" s="4" t="s">
        <v>2511</v>
      </c>
    </row>
    <row r="2011" hidden="1">
      <c r="A2011" s="3"/>
      <c r="B2011" s="3"/>
      <c r="C2011" s="3"/>
      <c r="D2011" s="3"/>
      <c r="E2011" s="4" t="s">
        <v>2512</v>
      </c>
    </row>
    <row r="2012" hidden="1">
      <c r="A2012" s="3"/>
      <c r="B2012" s="3"/>
      <c r="C2012" s="3"/>
      <c r="D2012" s="3"/>
      <c r="E2012" s="4" t="s">
        <v>2514</v>
      </c>
    </row>
    <row r="2013" hidden="1">
      <c r="A2013" s="3"/>
      <c r="B2013" s="3"/>
      <c r="C2013" s="3"/>
      <c r="D2013" s="3"/>
      <c r="E2013" s="4" t="s">
        <v>2515</v>
      </c>
    </row>
    <row r="2014" hidden="1">
      <c r="A2014" s="3"/>
      <c r="B2014" s="3"/>
      <c r="C2014" s="3"/>
      <c r="D2014" s="3"/>
      <c r="E2014" s="4" t="s">
        <v>2516</v>
      </c>
    </row>
    <row r="2015" hidden="1">
      <c r="A2015" s="3"/>
      <c r="B2015" s="3"/>
      <c r="C2015" s="3"/>
      <c r="D2015" s="3"/>
      <c r="E2015" s="4" t="s">
        <v>2517</v>
      </c>
    </row>
    <row r="2016" hidden="1">
      <c r="A2016" s="3"/>
      <c r="B2016" s="3"/>
      <c r="C2016" s="3"/>
      <c r="D2016" s="3"/>
      <c r="E2016" s="4" t="s">
        <v>2519</v>
      </c>
    </row>
    <row r="2017" hidden="1">
      <c r="A2017" s="3"/>
      <c r="B2017" s="3"/>
      <c r="C2017" s="3"/>
      <c r="D2017" s="3"/>
      <c r="E2017" s="4" t="s">
        <v>2520</v>
      </c>
    </row>
    <row r="2018" hidden="1">
      <c r="A2018" s="3"/>
      <c r="B2018" s="3"/>
      <c r="C2018" s="3"/>
      <c r="D2018" s="3"/>
      <c r="E2018" s="4" t="s">
        <v>2521</v>
      </c>
    </row>
    <row r="2019" hidden="1">
      <c r="A2019" s="3"/>
      <c r="B2019" s="3"/>
      <c r="C2019" s="3"/>
      <c r="D2019" s="3"/>
      <c r="E2019" s="4" t="s">
        <v>2522</v>
      </c>
    </row>
    <row r="2020" hidden="1">
      <c r="A2020" s="3"/>
      <c r="B2020" s="3"/>
      <c r="C2020" s="3"/>
      <c r="D2020" s="3"/>
      <c r="E2020" s="4" t="s">
        <v>2523</v>
      </c>
    </row>
    <row r="2021" hidden="1">
      <c r="A2021" s="3"/>
      <c r="B2021" s="3"/>
      <c r="C2021" s="3"/>
      <c r="D2021" s="3"/>
      <c r="E2021" s="4" t="s">
        <v>2524</v>
      </c>
    </row>
    <row r="2022" hidden="1">
      <c r="A2022" s="3"/>
      <c r="B2022" s="3"/>
      <c r="C2022" s="3"/>
      <c r="D2022" s="3"/>
      <c r="E2022" s="4" t="s">
        <v>2525</v>
      </c>
    </row>
    <row r="2023" hidden="1">
      <c r="A2023" s="3"/>
      <c r="B2023" s="3"/>
      <c r="C2023" s="3"/>
      <c r="D2023" s="3"/>
      <c r="E2023" s="4" t="s">
        <v>2526</v>
      </c>
    </row>
    <row r="2024" hidden="1">
      <c r="A2024" s="3"/>
      <c r="B2024" s="3"/>
      <c r="C2024" s="3"/>
      <c r="D2024" s="3"/>
      <c r="E2024" s="4" t="s">
        <v>2527</v>
      </c>
    </row>
    <row r="2025" hidden="1">
      <c r="A2025" s="3"/>
      <c r="B2025" s="3"/>
      <c r="C2025" s="3"/>
      <c r="D2025" s="3"/>
      <c r="E2025" s="4" t="s">
        <v>2529</v>
      </c>
    </row>
    <row r="2026" hidden="1">
      <c r="A2026" s="3"/>
      <c r="B2026" s="3"/>
      <c r="C2026" s="3"/>
      <c r="D2026" s="3"/>
      <c r="E2026" s="4" t="s">
        <v>2530</v>
      </c>
    </row>
    <row r="2027" hidden="1">
      <c r="A2027" s="3"/>
      <c r="B2027" s="3"/>
      <c r="C2027" s="3"/>
      <c r="D2027" s="3"/>
      <c r="E2027" s="4" t="s">
        <v>2531</v>
      </c>
    </row>
    <row r="2028" hidden="1">
      <c r="A2028" s="3"/>
      <c r="B2028" s="3"/>
      <c r="C2028" s="3"/>
      <c r="D2028" s="3"/>
      <c r="E2028" s="4" t="s">
        <v>2532</v>
      </c>
    </row>
    <row r="2029" hidden="1">
      <c r="A2029" s="3"/>
      <c r="B2029" s="3"/>
      <c r="C2029" s="3"/>
      <c r="D2029" s="3"/>
      <c r="E2029" s="4" t="s">
        <v>2533</v>
      </c>
    </row>
    <row r="2030" hidden="1">
      <c r="A2030" s="3"/>
      <c r="B2030" s="3"/>
      <c r="C2030" s="3"/>
      <c r="D2030" s="3"/>
      <c r="E2030" s="4" t="s">
        <v>2534</v>
      </c>
    </row>
    <row r="2031" hidden="1">
      <c r="A2031" s="3"/>
      <c r="B2031" s="3"/>
      <c r="C2031" s="3"/>
      <c r="D2031" s="3"/>
      <c r="E2031" s="4" t="s">
        <v>2536</v>
      </c>
    </row>
    <row r="2032" hidden="1">
      <c r="A2032" s="3"/>
      <c r="B2032" s="3"/>
      <c r="C2032" s="3"/>
      <c r="D2032" s="3"/>
      <c r="E2032" s="4" t="s">
        <v>2537</v>
      </c>
    </row>
    <row r="2033" hidden="1">
      <c r="A2033" s="3"/>
      <c r="B2033" s="3"/>
      <c r="C2033" s="3"/>
      <c r="D2033" s="3"/>
      <c r="E2033" s="4" t="s">
        <v>2538</v>
      </c>
    </row>
    <row r="2034" hidden="1">
      <c r="A2034" s="3"/>
      <c r="B2034" s="3"/>
      <c r="C2034" s="3"/>
      <c r="D2034" s="3"/>
      <c r="E2034" s="4" t="s">
        <v>2539</v>
      </c>
    </row>
    <row r="2035" hidden="1">
      <c r="A2035" s="3"/>
      <c r="B2035" s="3"/>
      <c r="C2035" s="3"/>
      <c r="D2035" s="3"/>
      <c r="E2035" s="4" t="s">
        <v>2540</v>
      </c>
    </row>
    <row r="2036" hidden="1">
      <c r="A2036" s="3"/>
      <c r="B2036" s="3"/>
      <c r="C2036" s="3"/>
      <c r="D2036" s="3"/>
      <c r="E2036" s="4" t="s">
        <v>2541</v>
      </c>
    </row>
    <row r="2037" hidden="1">
      <c r="A2037" s="3"/>
      <c r="B2037" s="3"/>
      <c r="C2037" s="3"/>
      <c r="D2037" s="3"/>
      <c r="E2037" s="4" t="s">
        <v>2542</v>
      </c>
    </row>
    <row r="2038" hidden="1">
      <c r="A2038" s="3"/>
      <c r="B2038" s="3"/>
      <c r="C2038" s="3"/>
      <c r="D2038" s="3"/>
      <c r="E2038" s="4" t="s">
        <v>2543</v>
      </c>
    </row>
    <row r="2039" hidden="1">
      <c r="A2039" s="3"/>
      <c r="B2039" s="3"/>
      <c r="C2039" s="3"/>
      <c r="D2039" s="3"/>
      <c r="E2039" s="4" t="s">
        <v>2545</v>
      </c>
    </row>
    <row r="2040" hidden="1">
      <c r="A2040" s="3"/>
      <c r="B2040" s="3"/>
      <c r="C2040" s="3"/>
      <c r="D2040" s="3"/>
      <c r="E2040" s="4" t="s">
        <v>2546</v>
      </c>
    </row>
    <row r="2041" hidden="1">
      <c r="A2041" s="3"/>
      <c r="B2041" s="3"/>
      <c r="C2041" s="3"/>
      <c r="D2041" s="3"/>
      <c r="E2041" s="4" t="s">
        <v>2547</v>
      </c>
    </row>
    <row r="2042" hidden="1">
      <c r="A2042" s="3"/>
      <c r="B2042" s="3"/>
      <c r="C2042" s="3"/>
      <c r="D2042" s="3"/>
      <c r="E2042" s="4" t="s">
        <v>2548</v>
      </c>
    </row>
    <row r="2043" hidden="1">
      <c r="A2043" s="3"/>
      <c r="B2043" s="3"/>
      <c r="C2043" s="3"/>
      <c r="D2043" s="3"/>
      <c r="E2043" s="4" t="s">
        <v>2549</v>
      </c>
    </row>
    <row r="2044" hidden="1">
      <c r="A2044" s="3"/>
      <c r="B2044" s="3"/>
      <c r="C2044" s="3"/>
      <c r="D2044" s="3"/>
      <c r="E2044" s="4" t="s">
        <v>2550</v>
      </c>
    </row>
    <row r="2045" hidden="1">
      <c r="A2045" s="3"/>
      <c r="B2045" s="3"/>
      <c r="C2045" s="3"/>
      <c r="D2045" s="3"/>
      <c r="E2045" s="4" t="s">
        <v>2551</v>
      </c>
    </row>
    <row r="2046" hidden="1">
      <c r="A2046" s="3"/>
      <c r="B2046" s="3"/>
      <c r="C2046" s="3"/>
      <c r="D2046" s="3"/>
      <c r="E2046" s="4" t="s">
        <v>2552</v>
      </c>
    </row>
    <row r="2047" hidden="1">
      <c r="A2047" s="3"/>
      <c r="B2047" s="3"/>
      <c r="C2047" s="3"/>
      <c r="D2047" s="3"/>
      <c r="E2047" s="4" t="s">
        <v>2554</v>
      </c>
    </row>
    <row r="2048" hidden="1">
      <c r="A2048" s="3"/>
      <c r="B2048" s="3"/>
      <c r="C2048" s="3"/>
      <c r="D2048" s="3"/>
      <c r="E2048" s="4" t="s">
        <v>2555</v>
      </c>
    </row>
    <row r="2049" hidden="1">
      <c r="A2049" s="3"/>
      <c r="B2049" s="3"/>
      <c r="C2049" s="3"/>
      <c r="D2049" s="3"/>
      <c r="E2049" s="4" t="s">
        <v>2556</v>
      </c>
    </row>
    <row r="2050" hidden="1">
      <c r="A2050" s="3"/>
      <c r="B2050" s="3"/>
      <c r="C2050" s="3"/>
      <c r="D2050" s="3"/>
      <c r="E2050" s="4" t="s">
        <v>2557</v>
      </c>
    </row>
    <row r="2051" hidden="1">
      <c r="A2051" s="3"/>
      <c r="B2051" s="3"/>
      <c r="C2051" s="3"/>
      <c r="D2051" s="3"/>
      <c r="E2051" s="4" t="s">
        <v>2558</v>
      </c>
    </row>
    <row r="2052" hidden="1">
      <c r="A2052" s="3"/>
      <c r="B2052" s="3"/>
      <c r="C2052" s="3"/>
      <c r="D2052" s="3"/>
      <c r="E2052" s="4" t="s">
        <v>2559</v>
      </c>
    </row>
    <row r="2053" hidden="1">
      <c r="A2053" s="3"/>
      <c r="B2053" s="3"/>
      <c r="C2053" s="3"/>
      <c r="D2053" s="3"/>
      <c r="E2053" s="4" t="s">
        <v>2560</v>
      </c>
    </row>
    <row r="2054" hidden="1">
      <c r="A2054" s="3"/>
      <c r="B2054" s="3"/>
      <c r="C2054" s="3"/>
      <c r="D2054" s="3"/>
      <c r="E2054" s="4" t="s">
        <v>2562</v>
      </c>
    </row>
    <row r="2055" hidden="1">
      <c r="A2055" s="3"/>
      <c r="B2055" s="3"/>
      <c r="C2055" s="3"/>
      <c r="D2055" s="3"/>
      <c r="E2055" s="4" t="s">
        <v>2563</v>
      </c>
    </row>
    <row r="2056" hidden="1">
      <c r="A2056" s="3"/>
      <c r="B2056" s="3"/>
      <c r="C2056" s="3"/>
      <c r="D2056" s="3"/>
      <c r="E2056" s="4" t="s">
        <v>2564</v>
      </c>
    </row>
    <row r="2057" hidden="1">
      <c r="A2057" s="3"/>
      <c r="B2057" s="3"/>
      <c r="C2057" s="3"/>
      <c r="D2057" s="3"/>
      <c r="E2057" s="4" t="s">
        <v>2565</v>
      </c>
    </row>
    <row r="2058" hidden="1">
      <c r="A2058" s="3"/>
      <c r="B2058" s="3"/>
      <c r="C2058" s="3"/>
      <c r="D2058" s="3"/>
      <c r="E2058" s="4" t="s">
        <v>2566</v>
      </c>
    </row>
    <row r="2059" hidden="1">
      <c r="A2059" s="3"/>
      <c r="B2059" s="3"/>
      <c r="C2059" s="3"/>
      <c r="D2059" s="3"/>
      <c r="E2059" s="4" t="s">
        <v>2567</v>
      </c>
    </row>
    <row r="2060" hidden="1">
      <c r="A2060" s="3"/>
      <c r="B2060" s="3"/>
      <c r="C2060" s="3"/>
      <c r="D2060" s="3"/>
      <c r="E2060" s="4" t="s">
        <v>2568</v>
      </c>
    </row>
    <row r="2061" hidden="1">
      <c r="A2061" s="3"/>
      <c r="B2061" s="3"/>
      <c r="C2061" s="3"/>
      <c r="D2061" s="3"/>
      <c r="E2061" s="4" t="s">
        <v>2569</v>
      </c>
    </row>
    <row r="2062" hidden="1">
      <c r="A2062" s="3"/>
      <c r="B2062" s="3"/>
      <c r="C2062" s="3"/>
      <c r="D2062" s="3"/>
      <c r="E2062" s="4" t="s">
        <v>2571</v>
      </c>
    </row>
    <row r="2063" hidden="1">
      <c r="A2063" s="3"/>
      <c r="B2063" s="3"/>
      <c r="C2063" s="3"/>
      <c r="D2063" s="3"/>
      <c r="E2063" s="4" t="s">
        <v>2572</v>
      </c>
    </row>
    <row r="2064" hidden="1">
      <c r="A2064" s="3"/>
      <c r="B2064" s="3"/>
      <c r="C2064" s="3"/>
      <c r="D2064" s="3"/>
      <c r="E2064" s="4" t="s">
        <v>2573</v>
      </c>
    </row>
    <row r="2065" hidden="1">
      <c r="A2065" s="3"/>
      <c r="B2065" s="3"/>
      <c r="C2065" s="3"/>
      <c r="D2065" s="3"/>
      <c r="E2065" s="4" t="s">
        <v>2574</v>
      </c>
    </row>
    <row r="2066" hidden="1">
      <c r="A2066" s="3"/>
      <c r="B2066" s="3"/>
      <c r="C2066" s="3"/>
      <c r="D2066" s="3"/>
      <c r="E2066" s="4" t="s">
        <v>2575</v>
      </c>
    </row>
    <row r="2067" hidden="1">
      <c r="A2067" s="3"/>
      <c r="B2067" s="3"/>
      <c r="C2067" s="3"/>
      <c r="D2067" s="3"/>
      <c r="E2067" s="4" t="s">
        <v>2576</v>
      </c>
    </row>
    <row r="2068" hidden="1">
      <c r="A2068" s="3"/>
      <c r="B2068" s="3"/>
      <c r="C2068" s="3"/>
      <c r="D2068" s="3"/>
      <c r="E2068" s="4" t="s">
        <v>2577</v>
      </c>
    </row>
    <row r="2069" hidden="1">
      <c r="A2069" s="3"/>
      <c r="B2069" s="3"/>
      <c r="C2069" s="3"/>
      <c r="D2069" s="3"/>
      <c r="E2069" s="4" t="s">
        <v>2579</v>
      </c>
    </row>
    <row r="2070" hidden="1">
      <c r="A2070" s="3"/>
      <c r="B2070" s="3"/>
      <c r="C2070" s="3"/>
      <c r="D2070" s="3"/>
      <c r="E2070" s="4" t="s">
        <v>2580</v>
      </c>
    </row>
    <row r="2071" hidden="1">
      <c r="A2071" s="3"/>
      <c r="B2071" s="3"/>
      <c r="C2071" s="3"/>
      <c r="D2071" s="3"/>
      <c r="E2071" s="4" t="s">
        <v>2581</v>
      </c>
    </row>
    <row r="2072" hidden="1">
      <c r="A2072" s="3"/>
      <c r="B2072" s="3"/>
      <c r="C2072" s="3"/>
      <c r="D2072" s="3"/>
      <c r="E2072" s="4" t="s">
        <v>2582</v>
      </c>
    </row>
    <row r="2073" hidden="1">
      <c r="A2073" s="3"/>
      <c r="B2073" s="3"/>
      <c r="C2073" s="3"/>
      <c r="D2073" s="3"/>
      <c r="E2073" s="4" t="s">
        <v>2583</v>
      </c>
    </row>
    <row r="2074" hidden="1">
      <c r="A2074" s="3"/>
      <c r="B2074" s="3"/>
      <c r="C2074" s="3"/>
      <c r="D2074" s="3"/>
      <c r="E2074" s="4" t="s">
        <v>2584</v>
      </c>
    </row>
    <row r="2075" hidden="1">
      <c r="A2075" s="3"/>
      <c r="B2075" s="3"/>
      <c r="C2075" s="3"/>
      <c r="D2075" s="3"/>
      <c r="E2075" s="4" t="s">
        <v>2585</v>
      </c>
    </row>
    <row r="2076" hidden="1">
      <c r="A2076" s="3"/>
      <c r="B2076" s="3"/>
      <c r="C2076" s="3"/>
      <c r="D2076" s="3"/>
      <c r="E2076" s="4" t="s">
        <v>2586</v>
      </c>
    </row>
    <row r="2077" hidden="1">
      <c r="A2077" s="3"/>
      <c r="B2077" s="3"/>
      <c r="C2077" s="3"/>
      <c r="D2077" s="3"/>
      <c r="E2077" s="4" t="s">
        <v>2588</v>
      </c>
    </row>
    <row r="2078" hidden="1">
      <c r="A2078" s="3"/>
      <c r="B2078" s="3"/>
      <c r="C2078" s="3"/>
      <c r="D2078" s="3"/>
      <c r="E2078" s="4" t="s">
        <v>2589</v>
      </c>
    </row>
    <row r="2079" hidden="1">
      <c r="A2079" s="3"/>
      <c r="B2079" s="3"/>
      <c r="C2079" s="3"/>
      <c r="D2079" s="3"/>
      <c r="E2079" s="4" t="s">
        <v>2590</v>
      </c>
    </row>
    <row r="2080" hidden="1">
      <c r="A2080" s="3"/>
      <c r="B2080" s="3"/>
      <c r="C2080" s="3"/>
      <c r="D2080" s="3"/>
      <c r="E2080" s="4" t="s">
        <v>2591</v>
      </c>
    </row>
    <row r="2081" hidden="1">
      <c r="A2081" s="3"/>
      <c r="B2081" s="3"/>
      <c r="C2081" s="3"/>
      <c r="D2081" s="3"/>
      <c r="E2081" s="4" t="s">
        <v>2592</v>
      </c>
    </row>
    <row r="2082" hidden="1">
      <c r="A2082" s="3"/>
      <c r="B2082" s="3"/>
      <c r="C2082" s="3"/>
      <c r="D2082" s="3"/>
      <c r="E2082" s="4" t="s">
        <v>2593</v>
      </c>
    </row>
    <row r="2083" hidden="1">
      <c r="A2083" s="3"/>
      <c r="B2083" s="3"/>
      <c r="C2083" s="3"/>
      <c r="D2083" s="3"/>
      <c r="E2083" s="4" t="s">
        <v>2594</v>
      </c>
    </row>
    <row r="2084" hidden="1">
      <c r="A2084" s="3"/>
      <c r="B2084" s="3"/>
      <c r="C2084" s="3"/>
      <c r="D2084" s="3"/>
      <c r="E2084" s="4" t="s">
        <v>2595</v>
      </c>
    </row>
    <row r="2085" hidden="1">
      <c r="A2085" s="3"/>
      <c r="B2085" s="3"/>
      <c r="C2085" s="3"/>
      <c r="D2085" s="3"/>
      <c r="E2085" s="4" t="s">
        <v>2596</v>
      </c>
    </row>
    <row r="2086" hidden="1">
      <c r="A2086" s="3"/>
      <c r="B2086" s="3"/>
      <c r="C2086" s="3"/>
      <c r="D2086" s="3"/>
      <c r="E2086" s="4" t="s">
        <v>2597</v>
      </c>
    </row>
    <row r="2087" hidden="1">
      <c r="A2087" s="3"/>
      <c r="B2087" s="3"/>
      <c r="C2087" s="3"/>
      <c r="D2087" s="3"/>
      <c r="E2087" s="4" t="s">
        <v>2598</v>
      </c>
    </row>
    <row r="2088" hidden="1">
      <c r="A2088" s="3"/>
      <c r="B2088" s="3"/>
      <c r="C2088" s="3"/>
      <c r="D2088" s="3"/>
      <c r="E2088" s="4" t="s">
        <v>2600</v>
      </c>
    </row>
    <row r="2089" hidden="1">
      <c r="A2089" s="3"/>
      <c r="B2089" s="3"/>
      <c r="C2089" s="3"/>
      <c r="D2089" s="3"/>
      <c r="E2089" s="4" t="s">
        <v>2601</v>
      </c>
    </row>
    <row r="2090" hidden="1">
      <c r="A2090" s="3"/>
      <c r="B2090" s="3"/>
      <c r="C2090" s="3"/>
      <c r="D2090" s="3"/>
      <c r="E2090" s="4" t="s">
        <v>2602</v>
      </c>
    </row>
    <row r="2091" hidden="1">
      <c r="A2091" s="3"/>
      <c r="B2091" s="3"/>
      <c r="C2091" s="3"/>
      <c r="D2091" s="3"/>
      <c r="E2091" s="4" t="s">
        <v>2603</v>
      </c>
    </row>
    <row r="2092" hidden="1">
      <c r="A2092" s="3"/>
      <c r="B2092" s="3"/>
      <c r="C2092" s="3"/>
      <c r="D2092" s="3"/>
      <c r="E2092" s="4" t="s">
        <v>2604</v>
      </c>
    </row>
    <row r="2093" hidden="1">
      <c r="A2093" s="3"/>
      <c r="B2093" s="3"/>
      <c r="C2093" s="3"/>
      <c r="D2093" s="3"/>
      <c r="E2093" s="4" t="s">
        <v>2605</v>
      </c>
    </row>
    <row r="2094" hidden="1">
      <c r="A2094" s="3"/>
      <c r="B2094" s="3"/>
      <c r="C2094" s="3"/>
      <c r="D2094" s="3"/>
      <c r="E2094" s="4" t="s">
        <v>2606</v>
      </c>
    </row>
    <row r="2095" hidden="1">
      <c r="A2095" s="3"/>
      <c r="B2095" s="3"/>
      <c r="C2095" s="3"/>
      <c r="D2095" s="3"/>
      <c r="E2095" s="4" t="s">
        <v>2608</v>
      </c>
    </row>
    <row r="2096" hidden="1">
      <c r="A2096" s="3"/>
      <c r="B2096" s="3"/>
      <c r="C2096" s="3"/>
      <c r="D2096" s="3"/>
      <c r="E2096" s="4" t="s">
        <v>2609</v>
      </c>
    </row>
    <row r="2097" hidden="1">
      <c r="A2097" s="3"/>
      <c r="B2097" s="3"/>
      <c r="C2097" s="3"/>
      <c r="D2097" s="3"/>
      <c r="E2097" s="4" t="s">
        <v>2610</v>
      </c>
    </row>
    <row r="2098" hidden="1">
      <c r="A2098" s="3"/>
      <c r="B2098" s="3"/>
      <c r="C2098" s="3"/>
      <c r="D2098" s="3"/>
      <c r="E2098" s="4" t="s">
        <v>2611</v>
      </c>
    </row>
    <row r="2099" hidden="1">
      <c r="A2099" s="3"/>
      <c r="B2099" s="3"/>
      <c r="C2099" s="3"/>
      <c r="D2099" s="3"/>
      <c r="E2099" s="4" t="s">
        <v>2612</v>
      </c>
    </row>
    <row r="2100" hidden="1">
      <c r="A2100" s="3"/>
      <c r="B2100" s="3"/>
      <c r="C2100" s="3"/>
      <c r="D2100" s="3"/>
      <c r="E2100" s="4" t="s">
        <v>2613</v>
      </c>
    </row>
    <row r="2101" hidden="1">
      <c r="A2101" s="3"/>
      <c r="B2101" s="3"/>
      <c r="C2101" s="3"/>
      <c r="D2101" s="3"/>
      <c r="E2101" s="4" t="s">
        <v>2614</v>
      </c>
    </row>
    <row r="2102" hidden="1">
      <c r="A2102" s="3"/>
      <c r="B2102" s="3"/>
      <c r="C2102" s="3"/>
      <c r="D2102" s="3"/>
      <c r="E2102" s="4" t="s">
        <v>2615</v>
      </c>
    </row>
    <row r="2103" hidden="1">
      <c r="A2103" s="3"/>
      <c r="B2103" s="3"/>
      <c r="C2103" s="3"/>
      <c r="D2103" s="3"/>
      <c r="E2103" s="4" t="s">
        <v>2617</v>
      </c>
    </row>
    <row r="2104" hidden="1">
      <c r="A2104" s="3"/>
      <c r="B2104" s="3"/>
      <c r="C2104" s="3"/>
      <c r="D2104" s="3"/>
      <c r="E2104" s="4" t="s">
        <v>2618</v>
      </c>
    </row>
    <row r="2105" hidden="1">
      <c r="A2105" s="3"/>
      <c r="B2105" s="3"/>
      <c r="C2105" s="3"/>
      <c r="D2105" s="3"/>
      <c r="E2105" s="4" t="s">
        <v>2619</v>
      </c>
    </row>
    <row r="2106" hidden="1">
      <c r="A2106" s="3"/>
      <c r="B2106" s="3"/>
      <c r="C2106" s="3"/>
      <c r="D2106" s="3"/>
      <c r="E2106" s="4" t="s">
        <v>2620</v>
      </c>
    </row>
    <row r="2107" hidden="1">
      <c r="A2107" s="3"/>
      <c r="B2107" s="3"/>
      <c r="C2107" s="3"/>
      <c r="D2107" s="3"/>
      <c r="E2107" s="4" t="s">
        <v>2621</v>
      </c>
    </row>
    <row r="2108" hidden="1">
      <c r="A2108" s="3"/>
      <c r="B2108" s="3"/>
      <c r="C2108" s="3"/>
      <c r="D2108" s="3"/>
      <c r="E2108" s="4" t="s">
        <v>2622</v>
      </c>
    </row>
    <row r="2109" hidden="1">
      <c r="A2109" s="3"/>
      <c r="B2109" s="3"/>
      <c r="C2109" s="3"/>
      <c r="D2109" s="3"/>
      <c r="E2109" s="4" t="s">
        <v>2623</v>
      </c>
    </row>
    <row r="2110" hidden="1">
      <c r="A2110" s="3"/>
      <c r="B2110" s="3"/>
      <c r="C2110" s="3"/>
      <c r="D2110" s="3"/>
      <c r="E2110" s="4" t="s">
        <v>2625</v>
      </c>
    </row>
    <row r="2111" hidden="1">
      <c r="A2111" s="3"/>
      <c r="B2111" s="3"/>
      <c r="C2111" s="3"/>
      <c r="D2111" s="3"/>
      <c r="E2111" s="4" t="s">
        <v>2626</v>
      </c>
    </row>
    <row r="2112" hidden="1">
      <c r="A2112" s="3"/>
      <c r="B2112" s="3"/>
      <c r="C2112" s="3"/>
      <c r="D2112" s="3"/>
      <c r="E2112" s="4" t="s">
        <v>2627</v>
      </c>
    </row>
    <row r="2113" hidden="1">
      <c r="A2113" s="3"/>
      <c r="B2113" s="3"/>
      <c r="C2113" s="3"/>
      <c r="D2113" s="3"/>
      <c r="E2113" s="4" t="s">
        <v>2628</v>
      </c>
    </row>
    <row r="2114" hidden="1">
      <c r="A2114" s="3"/>
      <c r="B2114" s="3"/>
      <c r="C2114" s="3"/>
      <c r="D2114" s="3"/>
      <c r="E2114" s="4" t="s">
        <v>2629</v>
      </c>
    </row>
    <row r="2115" hidden="1">
      <c r="A2115" s="3"/>
      <c r="B2115" s="3"/>
      <c r="C2115" s="3"/>
      <c r="D2115" s="3"/>
      <c r="E2115" s="4" t="s">
        <v>2630</v>
      </c>
    </row>
    <row r="2116" hidden="1">
      <c r="A2116" s="3"/>
      <c r="B2116" s="3"/>
      <c r="C2116" s="3"/>
      <c r="D2116" s="3"/>
      <c r="E2116" s="4" t="s">
        <v>2631</v>
      </c>
    </row>
    <row r="2117" hidden="1">
      <c r="A2117" s="3"/>
      <c r="B2117" s="3"/>
      <c r="C2117" s="3"/>
      <c r="D2117" s="3"/>
      <c r="E2117" s="4" t="s">
        <v>2633</v>
      </c>
    </row>
    <row r="2118" hidden="1">
      <c r="A2118" s="3"/>
      <c r="B2118" s="3"/>
      <c r="C2118" s="3"/>
      <c r="D2118" s="3"/>
      <c r="E2118" s="4" t="s">
        <v>2634</v>
      </c>
    </row>
    <row r="2119" hidden="1">
      <c r="A2119" s="3"/>
      <c r="B2119" s="3"/>
      <c r="C2119" s="3"/>
      <c r="D2119" s="3"/>
      <c r="E2119" s="4" t="s">
        <v>2635</v>
      </c>
    </row>
    <row r="2120" hidden="1">
      <c r="A2120" s="3"/>
      <c r="B2120" s="3"/>
      <c r="C2120" s="3"/>
      <c r="D2120" s="3"/>
      <c r="E2120" s="4" t="s">
        <v>2636</v>
      </c>
    </row>
    <row r="2121" hidden="1">
      <c r="A2121" s="3"/>
      <c r="B2121" s="3"/>
      <c r="C2121" s="3"/>
      <c r="D2121" s="3"/>
      <c r="E2121" s="4" t="s">
        <v>2637</v>
      </c>
    </row>
    <row r="2122" hidden="1">
      <c r="A2122" s="3"/>
      <c r="B2122" s="3"/>
      <c r="C2122" s="3"/>
      <c r="D2122" s="3"/>
      <c r="E2122" s="4" t="s">
        <v>2638</v>
      </c>
    </row>
    <row r="2123" hidden="1">
      <c r="A2123" s="3"/>
      <c r="B2123" s="3"/>
      <c r="C2123" s="3"/>
      <c r="D2123" s="3"/>
      <c r="E2123" s="4" t="s">
        <v>2640</v>
      </c>
    </row>
    <row r="2124" hidden="1">
      <c r="A2124" s="3"/>
      <c r="B2124" s="3"/>
      <c r="C2124" s="3"/>
      <c r="D2124" s="3"/>
      <c r="E2124" s="4" t="s">
        <v>2641</v>
      </c>
    </row>
    <row r="2125" hidden="1">
      <c r="A2125" s="3"/>
      <c r="B2125" s="3"/>
      <c r="C2125" s="3"/>
      <c r="D2125" s="3"/>
      <c r="E2125" s="4" t="s">
        <v>2642</v>
      </c>
    </row>
    <row r="2126" hidden="1">
      <c r="A2126" s="3"/>
      <c r="B2126" s="3"/>
      <c r="C2126" s="3"/>
      <c r="D2126" s="3"/>
      <c r="E2126" s="4" t="s">
        <v>2643</v>
      </c>
    </row>
    <row r="2127" hidden="1">
      <c r="A2127" s="3"/>
      <c r="B2127" s="3"/>
      <c r="C2127" s="3"/>
      <c r="D2127" s="3"/>
      <c r="E2127" s="4" t="s">
        <v>2644</v>
      </c>
    </row>
    <row r="2128" hidden="1">
      <c r="A2128" s="3"/>
      <c r="B2128" s="3"/>
      <c r="C2128" s="3"/>
      <c r="D2128" s="3"/>
      <c r="E2128" s="4" t="s">
        <v>2646</v>
      </c>
    </row>
    <row r="2129" hidden="1">
      <c r="A2129" s="3"/>
      <c r="B2129" s="3"/>
      <c r="C2129" s="3"/>
      <c r="D2129" s="3"/>
      <c r="E2129" s="4" t="s">
        <v>2647</v>
      </c>
    </row>
    <row r="2130" hidden="1">
      <c r="A2130" s="3"/>
      <c r="B2130" s="3"/>
      <c r="C2130" s="3"/>
      <c r="D2130" s="3"/>
      <c r="E2130" s="4" t="s">
        <v>2648</v>
      </c>
    </row>
    <row r="2131" hidden="1">
      <c r="A2131" s="3"/>
      <c r="B2131" s="3"/>
      <c r="C2131" s="3"/>
      <c r="D2131" s="3"/>
      <c r="E2131" s="4" t="s">
        <v>2650</v>
      </c>
    </row>
    <row r="2132" hidden="1">
      <c r="A2132" s="3"/>
      <c r="B2132" s="3"/>
      <c r="C2132" s="3"/>
      <c r="D2132" s="3"/>
      <c r="E2132" s="4" t="s">
        <v>2652</v>
      </c>
    </row>
    <row r="2133" hidden="1">
      <c r="A2133" s="3"/>
      <c r="B2133" s="3"/>
      <c r="C2133" s="3"/>
      <c r="D2133" s="3"/>
      <c r="E2133" s="4" t="s">
        <v>2653</v>
      </c>
    </row>
    <row r="2134" hidden="1">
      <c r="A2134" s="3"/>
      <c r="B2134" s="3"/>
      <c r="C2134" s="3"/>
      <c r="D2134" s="3"/>
      <c r="E2134" s="4" t="s">
        <v>2654</v>
      </c>
    </row>
    <row r="2135" hidden="1">
      <c r="A2135" s="3"/>
      <c r="B2135" s="3"/>
      <c r="C2135" s="3"/>
      <c r="D2135" s="3"/>
      <c r="E2135" s="4" t="s">
        <v>2655</v>
      </c>
    </row>
    <row r="2136" hidden="1">
      <c r="A2136" s="3"/>
      <c r="B2136" s="3"/>
      <c r="C2136" s="3"/>
      <c r="D2136" s="3"/>
      <c r="E2136" s="4" t="s">
        <v>2656</v>
      </c>
    </row>
    <row r="2137" hidden="1">
      <c r="A2137" s="3"/>
      <c r="B2137" s="3"/>
      <c r="C2137" s="3"/>
      <c r="D2137" s="3"/>
      <c r="E2137" s="4" t="s">
        <v>2658</v>
      </c>
    </row>
    <row r="2138" hidden="1">
      <c r="E2138" s="96"/>
    </row>
    <row r="2139" hidden="1">
      <c r="E2139" s="96"/>
    </row>
    <row r="2140" hidden="1">
      <c r="E2140" s="96"/>
    </row>
    <row r="2141" hidden="1">
      <c r="E2141" s="96"/>
    </row>
    <row r="2142" hidden="1">
      <c r="E2142" s="96"/>
    </row>
    <row r="2143" hidden="1">
      <c r="E2143" s="96"/>
    </row>
    <row r="2144" hidden="1">
      <c r="E2144" s="96"/>
    </row>
    <row r="2145" hidden="1">
      <c r="E2145" s="96"/>
    </row>
    <row r="2146" hidden="1">
      <c r="E2146" s="96"/>
    </row>
    <row r="2147" hidden="1">
      <c r="E2147" s="96"/>
    </row>
    <row r="2148" hidden="1">
      <c r="E2148" s="96"/>
    </row>
    <row r="2149" hidden="1">
      <c r="E2149" s="96"/>
    </row>
    <row r="2150" hidden="1">
      <c r="E2150" s="96"/>
    </row>
    <row r="2151" hidden="1">
      <c r="E2151" s="96"/>
    </row>
    <row r="2152" hidden="1">
      <c r="E2152" s="96"/>
    </row>
    <row r="2153" hidden="1">
      <c r="E2153" s="96"/>
    </row>
    <row r="2154" hidden="1">
      <c r="E2154" s="96"/>
    </row>
    <row r="2155" hidden="1">
      <c r="E2155" s="96"/>
    </row>
    <row r="2156" hidden="1">
      <c r="E2156" s="96"/>
    </row>
    <row r="2157" hidden="1">
      <c r="E2157" s="96"/>
    </row>
    <row r="2158" hidden="1">
      <c r="E2158" s="96"/>
    </row>
    <row r="2159" hidden="1">
      <c r="E2159" s="96"/>
    </row>
    <row r="2160" hidden="1">
      <c r="E2160" s="96"/>
    </row>
    <row r="2161" hidden="1">
      <c r="E2161" s="96"/>
    </row>
    <row r="2162" hidden="1">
      <c r="E2162" s="96"/>
    </row>
    <row r="2163" hidden="1">
      <c r="E2163" s="96"/>
    </row>
    <row r="2164" hidden="1">
      <c r="E2164" s="96"/>
    </row>
    <row r="2165" hidden="1">
      <c r="E2165" s="96"/>
    </row>
    <row r="2166" hidden="1">
      <c r="E2166" s="96"/>
    </row>
    <row r="2167" hidden="1">
      <c r="E2167" s="96"/>
    </row>
    <row r="2168" hidden="1">
      <c r="E2168" s="96"/>
    </row>
    <row r="2169" hidden="1">
      <c r="E2169" s="96"/>
    </row>
    <row r="2170" hidden="1">
      <c r="E2170" s="96"/>
    </row>
    <row r="2171" hidden="1">
      <c r="E2171" s="96"/>
    </row>
    <row r="2172" hidden="1">
      <c r="E2172" s="96"/>
    </row>
    <row r="2173" hidden="1">
      <c r="E2173" s="96"/>
    </row>
    <row r="2174" hidden="1">
      <c r="E2174" s="96"/>
    </row>
    <row r="2175" hidden="1">
      <c r="E2175" s="96"/>
    </row>
    <row r="2176" hidden="1">
      <c r="E2176" s="96"/>
    </row>
    <row r="2177" hidden="1">
      <c r="E2177" s="96"/>
    </row>
    <row r="2178" hidden="1">
      <c r="E2178" s="96"/>
    </row>
    <row r="2179" hidden="1">
      <c r="E2179" s="96"/>
    </row>
    <row r="2180" hidden="1">
      <c r="E2180" s="96"/>
    </row>
    <row r="2181" hidden="1">
      <c r="E2181" s="96"/>
    </row>
    <row r="2182" hidden="1">
      <c r="E2182" s="96"/>
    </row>
    <row r="2183" hidden="1">
      <c r="E2183" s="96"/>
    </row>
    <row r="2184" hidden="1">
      <c r="E2184" s="96"/>
    </row>
    <row r="2185" hidden="1">
      <c r="E2185" s="96"/>
    </row>
    <row r="2186" hidden="1">
      <c r="E2186" s="96"/>
    </row>
    <row r="2187" hidden="1">
      <c r="E2187" s="96"/>
    </row>
    <row r="2188" hidden="1">
      <c r="E2188" s="96"/>
    </row>
    <row r="2189" hidden="1">
      <c r="E2189" s="96"/>
    </row>
    <row r="2190" hidden="1">
      <c r="E2190" s="96"/>
    </row>
    <row r="2191" hidden="1">
      <c r="E2191" s="96"/>
    </row>
    <row r="2192" hidden="1">
      <c r="E2192" s="96"/>
    </row>
    <row r="2193" hidden="1">
      <c r="E2193" s="96"/>
    </row>
    <row r="2194" hidden="1">
      <c r="E2194" s="96"/>
    </row>
    <row r="2195" hidden="1">
      <c r="E2195" s="96"/>
    </row>
    <row r="2196" hidden="1">
      <c r="E2196" s="96"/>
    </row>
    <row r="2197" hidden="1">
      <c r="E2197" s="96"/>
    </row>
    <row r="2198" hidden="1">
      <c r="E2198" s="96"/>
    </row>
    <row r="2199" hidden="1">
      <c r="E2199" s="96"/>
    </row>
    <row r="2200" hidden="1">
      <c r="E2200" s="96"/>
    </row>
    <row r="2201" hidden="1">
      <c r="E2201" s="96"/>
    </row>
    <row r="2202" hidden="1">
      <c r="E2202" s="96"/>
    </row>
    <row r="2203" hidden="1">
      <c r="E2203" s="96"/>
    </row>
    <row r="2204" hidden="1">
      <c r="E2204" s="96"/>
    </row>
    <row r="2205" hidden="1">
      <c r="E2205" s="96"/>
    </row>
    <row r="2206" hidden="1">
      <c r="E2206" s="96"/>
    </row>
    <row r="2207" hidden="1">
      <c r="E2207" s="96"/>
    </row>
    <row r="2208" hidden="1">
      <c r="E2208" s="96"/>
    </row>
    <row r="2209" hidden="1">
      <c r="E2209" s="96"/>
    </row>
    <row r="2210" hidden="1">
      <c r="E2210" s="96"/>
    </row>
    <row r="2211" hidden="1">
      <c r="E2211" s="96"/>
    </row>
    <row r="2212" hidden="1">
      <c r="E2212" s="96"/>
    </row>
    <row r="2213" hidden="1">
      <c r="E2213" s="96"/>
    </row>
    <row r="2214" hidden="1">
      <c r="E2214" s="96"/>
    </row>
    <row r="2215" hidden="1">
      <c r="E2215" s="96"/>
    </row>
    <row r="2216" hidden="1">
      <c r="E2216" s="96"/>
    </row>
    <row r="2217" hidden="1">
      <c r="E2217" s="96"/>
    </row>
    <row r="2218" hidden="1">
      <c r="E2218" s="96"/>
    </row>
    <row r="2219" hidden="1">
      <c r="E2219" s="96"/>
    </row>
    <row r="2220" hidden="1">
      <c r="E2220" s="96"/>
    </row>
    <row r="2221" hidden="1">
      <c r="E2221" s="96"/>
    </row>
    <row r="2222" hidden="1">
      <c r="E2222" s="96"/>
    </row>
    <row r="2223" hidden="1">
      <c r="E2223" s="96"/>
    </row>
    <row r="2224" hidden="1">
      <c r="E2224" s="96"/>
    </row>
    <row r="2225" hidden="1">
      <c r="E2225" s="96"/>
    </row>
    <row r="2226" hidden="1">
      <c r="E2226" s="96"/>
    </row>
    <row r="2227" hidden="1">
      <c r="E2227" s="96"/>
    </row>
    <row r="2228" hidden="1">
      <c r="E2228" s="96"/>
    </row>
    <row r="2229" hidden="1">
      <c r="E2229" s="96"/>
    </row>
    <row r="2230" hidden="1">
      <c r="E2230" s="96"/>
    </row>
    <row r="2231" hidden="1">
      <c r="E2231" s="96"/>
    </row>
    <row r="2232" hidden="1">
      <c r="E2232" s="96"/>
    </row>
    <row r="2233" hidden="1">
      <c r="E2233" s="96"/>
    </row>
    <row r="2234" hidden="1">
      <c r="E2234" s="96"/>
    </row>
    <row r="2235" hidden="1">
      <c r="E2235" s="96"/>
    </row>
    <row r="2236" hidden="1">
      <c r="E2236" s="96"/>
    </row>
    <row r="2237" hidden="1">
      <c r="E2237" s="96"/>
    </row>
    <row r="2238" hidden="1">
      <c r="E2238" s="96"/>
    </row>
    <row r="2239" hidden="1">
      <c r="E2239" s="96"/>
    </row>
    <row r="2240" hidden="1">
      <c r="E2240" s="96"/>
    </row>
    <row r="2241" hidden="1">
      <c r="E2241" s="96"/>
    </row>
    <row r="2242" hidden="1">
      <c r="E2242" s="96"/>
    </row>
    <row r="2243" hidden="1">
      <c r="E2243" s="96"/>
    </row>
    <row r="2244" hidden="1">
      <c r="E2244" s="96"/>
    </row>
    <row r="2245" hidden="1">
      <c r="E2245" s="96"/>
    </row>
    <row r="2246" hidden="1">
      <c r="E2246" s="96"/>
    </row>
    <row r="2247" hidden="1">
      <c r="E2247" s="96"/>
    </row>
    <row r="2248" hidden="1">
      <c r="E2248" s="96"/>
    </row>
    <row r="2249" hidden="1">
      <c r="E2249" s="96"/>
    </row>
    <row r="2250" hidden="1">
      <c r="E2250" s="96"/>
    </row>
    <row r="2251" hidden="1">
      <c r="E2251" s="96"/>
    </row>
    <row r="2252" hidden="1">
      <c r="E2252" s="96"/>
    </row>
    <row r="2253" hidden="1">
      <c r="E2253" s="96"/>
    </row>
    <row r="2254" hidden="1">
      <c r="E2254" s="96"/>
    </row>
    <row r="2255" hidden="1">
      <c r="E2255" s="96"/>
    </row>
    <row r="2256" hidden="1">
      <c r="E2256" s="96"/>
    </row>
    <row r="2257" hidden="1">
      <c r="E2257" s="96"/>
    </row>
    <row r="2258" hidden="1">
      <c r="E2258" s="96"/>
    </row>
    <row r="2259" hidden="1">
      <c r="E2259" s="96"/>
    </row>
    <row r="2260" hidden="1">
      <c r="E2260" s="96"/>
    </row>
    <row r="2261" hidden="1">
      <c r="E2261" s="96"/>
    </row>
    <row r="2262" hidden="1">
      <c r="E2262" s="96"/>
    </row>
    <row r="2263" hidden="1">
      <c r="E2263" s="96"/>
    </row>
    <row r="2264" hidden="1">
      <c r="E2264" s="96"/>
    </row>
    <row r="2265" hidden="1">
      <c r="E2265" s="96"/>
    </row>
    <row r="2266" hidden="1">
      <c r="E2266" s="96"/>
    </row>
    <row r="2267" hidden="1">
      <c r="E2267" s="96"/>
    </row>
    <row r="2268" hidden="1">
      <c r="E2268" s="96"/>
    </row>
    <row r="2269" hidden="1">
      <c r="E2269" s="96"/>
    </row>
    <row r="2270" hidden="1">
      <c r="E2270" s="96"/>
    </row>
    <row r="2271" hidden="1">
      <c r="E2271" s="96"/>
    </row>
    <row r="2272" hidden="1">
      <c r="E2272" s="96"/>
    </row>
    <row r="2273" hidden="1">
      <c r="E2273" s="96"/>
    </row>
    <row r="2274" hidden="1">
      <c r="E2274" s="96"/>
    </row>
    <row r="2275" hidden="1">
      <c r="E2275" s="96"/>
    </row>
    <row r="2276" hidden="1">
      <c r="E2276" s="96"/>
    </row>
    <row r="2277" hidden="1">
      <c r="E2277" s="96"/>
    </row>
    <row r="2278" hidden="1">
      <c r="E2278" s="96"/>
    </row>
    <row r="2279" hidden="1">
      <c r="E2279" s="96"/>
    </row>
    <row r="2280" hidden="1">
      <c r="E2280" s="96"/>
    </row>
    <row r="2281" hidden="1">
      <c r="E2281" s="96"/>
    </row>
    <row r="2282" hidden="1">
      <c r="E2282" s="96"/>
    </row>
    <row r="2283" hidden="1">
      <c r="E2283" s="96"/>
    </row>
    <row r="2284" hidden="1">
      <c r="E2284" s="96"/>
    </row>
    <row r="2285" hidden="1">
      <c r="E2285" s="96"/>
    </row>
    <row r="2286" hidden="1">
      <c r="E2286" s="96"/>
    </row>
    <row r="2287" hidden="1">
      <c r="E2287" s="96"/>
    </row>
    <row r="2288" hidden="1">
      <c r="E2288" s="96"/>
    </row>
    <row r="2289" hidden="1">
      <c r="E2289" s="96"/>
    </row>
    <row r="2290" hidden="1">
      <c r="E2290" s="96"/>
    </row>
    <row r="2291" hidden="1">
      <c r="E2291" s="96"/>
    </row>
    <row r="2292" hidden="1">
      <c r="E2292" s="96"/>
    </row>
    <row r="2293" hidden="1">
      <c r="E2293" s="96"/>
    </row>
    <row r="2294" hidden="1">
      <c r="E2294" s="96"/>
    </row>
    <row r="2295" hidden="1">
      <c r="E2295" s="96"/>
    </row>
    <row r="2296" hidden="1">
      <c r="E2296" s="96"/>
    </row>
    <row r="2297" hidden="1">
      <c r="E2297" s="96"/>
    </row>
    <row r="2298" hidden="1">
      <c r="E2298" s="96"/>
    </row>
    <row r="2299" hidden="1">
      <c r="E2299" s="96"/>
    </row>
    <row r="2300" hidden="1">
      <c r="E2300" s="96"/>
    </row>
    <row r="2301" hidden="1">
      <c r="E2301" s="96"/>
    </row>
    <row r="2302" hidden="1">
      <c r="E2302" s="96"/>
    </row>
    <row r="2303" hidden="1">
      <c r="E2303" s="96"/>
    </row>
    <row r="2304" hidden="1">
      <c r="E2304" s="96"/>
    </row>
    <row r="2305" hidden="1">
      <c r="E2305" s="96"/>
    </row>
    <row r="2306" hidden="1">
      <c r="E2306" s="96"/>
    </row>
    <row r="2307" hidden="1">
      <c r="E2307" s="96"/>
    </row>
    <row r="2308" hidden="1">
      <c r="E2308" s="96"/>
    </row>
    <row r="2309" hidden="1">
      <c r="E2309" s="96"/>
    </row>
    <row r="2310" hidden="1">
      <c r="E2310" s="96"/>
    </row>
    <row r="2311" hidden="1">
      <c r="E2311" s="96"/>
    </row>
    <row r="2312" hidden="1">
      <c r="E2312" s="96"/>
    </row>
    <row r="2313" hidden="1">
      <c r="E2313" s="96"/>
    </row>
    <row r="2314" hidden="1">
      <c r="E2314" s="96"/>
    </row>
    <row r="2315" hidden="1">
      <c r="E2315" s="96"/>
    </row>
    <row r="2316" hidden="1">
      <c r="E2316" s="96"/>
    </row>
    <row r="2317" hidden="1">
      <c r="E2317" s="96"/>
    </row>
    <row r="2318" hidden="1">
      <c r="E2318" s="96"/>
    </row>
    <row r="2319" hidden="1">
      <c r="E2319" s="96"/>
    </row>
    <row r="2320" hidden="1">
      <c r="E2320" s="96"/>
    </row>
    <row r="2321" hidden="1">
      <c r="E2321" s="96"/>
    </row>
    <row r="2322" hidden="1">
      <c r="E2322" s="96"/>
    </row>
    <row r="2323" hidden="1">
      <c r="E2323" s="96"/>
    </row>
    <row r="2324" hidden="1">
      <c r="E2324" s="96"/>
    </row>
    <row r="2325" hidden="1">
      <c r="E2325" s="96"/>
    </row>
    <row r="2326" hidden="1">
      <c r="E2326" s="96"/>
    </row>
    <row r="2327" hidden="1">
      <c r="E2327" s="96"/>
    </row>
    <row r="2328" hidden="1">
      <c r="E2328" s="96"/>
    </row>
    <row r="2329" hidden="1">
      <c r="E2329" s="96"/>
    </row>
    <row r="2330" hidden="1">
      <c r="E2330" s="96"/>
    </row>
    <row r="2331" hidden="1">
      <c r="E2331" s="96"/>
    </row>
    <row r="2332" hidden="1">
      <c r="E2332" s="96"/>
    </row>
    <row r="2333" hidden="1">
      <c r="E2333" s="96"/>
    </row>
    <row r="2334" hidden="1">
      <c r="E2334" s="96"/>
    </row>
    <row r="2335" hidden="1">
      <c r="E2335" s="96"/>
    </row>
    <row r="2336" hidden="1">
      <c r="E2336" s="96"/>
    </row>
    <row r="2337" hidden="1">
      <c r="E2337" s="96"/>
    </row>
    <row r="2338" hidden="1">
      <c r="E2338" s="96"/>
    </row>
    <row r="2339" hidden="1">
      <c r="E2339" s="96"/>
    </row>
    <row r="2340" hidden="1">
      <c r="E2340" s="96"/>
    </row>
    <row r="2341" hidden="1">
      <c r="E2341" s="96"/>
    </row>
    <row r="2342" hidden="1">
      <c r="E2342" s="96"/>
    </row>
    <row r="2343" hidden="1">
      <c r="E2343" s="96"/>
    </row>
    <row r="2344" hidden="1">
      <c r="E2344" s="96"/>
    </row>
    <row r="2345" hidden="1">
      <c r="E2345" s="96"/>
    </row>
    <row r="2346" hidden="1">
      <c r="E2346" s="96"/>
    </row>
    <row r="2347" hidden="1">
      <c r="E2347" s="96"/>
    </row>
    <row r="2348" hidden="1">
      <c r="E2348" s="96"/>
    </row>
    <row r="2349" hidden="1">
      <c r="E2349" s="96"/>
    </row>
    <row r="2350" hidden="1">
      <c r="E2350" s="96"/>
    </row>
    <row r="2351" hidden="1">
      <c r="E2351" s="96"/>
    </row>
    <row r="2352" hidden="1">
      <c r="E2352" s="96"/>
    </row>
    <row r="2353" hidden="1">
      <c r="E2353" s="96"/>
    </row>
    <row r="2354" hidden="1">
      <c r="E2354" s="96"/>
    </row>
    <row r="2355" hidden="1">
      <c r="E2355" s="96"/>
    </row>
    <row r="2356" hidden="1">
      <c r="E2356" s="96"/>
    </row>
    <row r="2357" hidden="1">
      <c r="E2357" s="96"/>
    </row>
    <row r="2358" hidden="1">
      <c r="E2358" s="96"/>
    </row>
    <row r="2359" hidden="1">
      <c r="E2359" s="96"/>
    </row>
    <row r="2360" hidden="1">
      <c r="E2360" s="96"/>
    </row>
    <row r="2361" hidden="1">
      <c r="E2361" s="96"/>
    </row>
    <row r="2362" hidden="1">
      <c r="E2362" s="96"/>
    </row>
    <row r="2363" hidden="1">
      <c r="E2363" s="96"/>
    </row>
    <row r="2364" hidden="1">
      <c r="E2364" s="96"/>
    </row>
    <row r="2365" hidden="1">
      <c r="E2365" s="96"/>
    </row>
    <row r="2366" hidden="1">
      <c r="E2366" s="96"/>
    </row>
    <row r="2367" hidden="1">
      <c r="E2367" s="96"/>
    </row>
    <row r="2368" hidden="1">
      <c r="E2368" s="96"/>
    </row>
    <row r="2369" hidden="1">
      <c r="E2369" s="96"/>
    </row>
    <row r="2370" hidden="1">
      <c r="E2370" s="96"/>
    </row>
    <row r="2371" hidden="1">
      <c r="E2371" s="96"/>
    </row>
    <row r="2372" hidden="1">
      <c r="E2372" s="96"/>
    </row>
    <row r="2373" hidden="1">
      <c r="E2373" s="96"/>
    </row>
    <row r="2374" hidden="1">
      <c r="E2374" s="96"/>
    </row>
    <row r="2375" hidden="1">
      <c r="E2375" s="96"/>
    </row>
    <row r="2376" hidden="1">
      <c r="E2376" s="96"/>
    </row>
    <row r="2377" hidden="1">
      <c r="E2377" s="96"/>
    </row>
    <row r="2378" hidden="1">
      <c r="E2378" s="96"/>
    </row>
    <row r="2379" hidden="1">
      <c r="E2379" s="96"/>
    </row>
    <row r="2380" hidden="1">
      <c r="E2380" s="96"/>
    </row>
    <row r="2381" hidden="1">
      <c r="E2381" s="96"/>
    </row>
    <row r="2382" hidden="1">
      <c r="E2382" s="96"/>
    </row>
    <row r="2383" hidden="1">
      <c r="E2383" s="96"/>
    </row>
    <row r="2384" hidden="1">
      <c r="E2384" s="96"/>
    </row>
    <row r="2385" hidden="1">
      <c r="E2385" s="96"/>
    </row>
    <row r="2386" hidden="1">
      <c r="E2386" s="96"/>
    </row>
    <row r="2387" hidden="1">
      <c r="E2387" s="96"/>
    </row>
    <row r="2388" hidden="1">
      <c r="E2388" s="96"/>
    </row>
    <row r="2389" hidden="1">
      <c r="E2389" s="96"/>
    </row>
    <row r="2390" hidden="1">
      <c r="E2390" s="96"/>
    </row>
    <row r="2391" hidden="1">
      <c r="E2391" s="96"/>
    </row>
    <row r="2392" hidden="1">
      <c r="E2392" s="96"/>
    </row>
    <row r="2393" hidden="1">
      <c r="E2393" s="96"/>
    </row>
    <row r="2394" hidden="1">
      <c r="E2394" s="96"/>
    </row>
    <row r="2395" hidden="1">
      <c r="E2395" s="96"/>
    </row>
    <row r="2396" hidden="1">
      <c r="E2396" s="96"/>
    </row>
    <row r="2397" hidden="1">
      <c r="E2397" s="96"/>
    </row>
    <row r="2398" hidden="1">
      <c r="E2398" s="96"/>
    </row>
    <row r="2399" hidden="1">
      <c r="E2399" s="96"/>
    </row>
    <row r="2400" hidden="1">
      <c r="E2400" s="96"/>
    </row>
    <row r="2401" hidden="1">
      <c r="E2401" s="96"/>
    </row>
    <row r="2402" hidden="1">
      <c r="E2402" s="96"/>
    </row>
    <row r="2403" hidden="1">
      <c r="E2403" s="96"/>
    </row>
    <row r="2404" hidden="1">
      <c r="E2404" s="96"/>
    </row>
    <row r="2405" hidden="1">
      <c r="E2405" s="96"/>
    </row>
    <row r="2406" hidden="1">
      <c r="E2406" s="96"/>
    </row>
    <row r="2407" hidden="1">
      <c r="E2407" s="96"/>
    </row>
    <row r="2408" hidden="1">
      <c r="E2408" s="96"/>
    </row>
    <row r="2409" hidden="1">
      <c r="E2409" s="96"/>
    </row>
    <row r="2410" hidden="1">
      <c r="E2410" s="96"/>
    </row>
    <row r="2411" hidden="1">
      <c r="E2411" s="96"/>
    </row>
    <row r="2412" hidden="1">
      <c r="E2412" s="96"/>
    </row>
    <row r="2413" hidden="1">
      <c r="E2413" s="96"/>
    </row>
    <row r="2414" hidden="1">
      <c r="E2414" s="96"/>
    </row>
    <row r="2415" hidden="1">
      <c r="E2415" s="96"/>
    </row>
    <row r="2416" hidden="1">
      <c r="E2416" s="96"/>
    </row>
    <row r="2417" hidden="1">
      <c r="E2417" s="96"/>
    </row>
    <row r="2418" hidden="1">
      <c r="E2418" s="96"/>
    </row>
    <row r="2419" hidden="1">
      <c r="E2419" s="96"/>
    </row>
    <row r="2420" hidden="1">
      <c r="E2420" s="96"/>
    </row>
    <row r="2421" hidden="1">
      <c r="E2421" s="96"/>
    </row>
    <row r="2422" hidden="1">
      <c r="E2422" s="96"/>
    </row>
    <row r="2423" hidden="1">
      <c r="E2423" s="96"/>
    </row>
    <row r="2424" hidden="1">
      <c r="E2424" s="96"/>
    </row>
    <row r="2425" hidden="1">
      <c r="E2425" s="96"/>
    </row>
    <row r="2426" hidden="1">
      <c r="E2426" s="96"/>
    </row>
    <row r="2427" hidden="1">
      <c r="E2427" s="96"/>
    </row>
    <row r="2428" hidden="1">
      <c r="E2428" s="96"/>
    </row>
    <row r="2429" hidden="1">
      <c r="E2429" s="96"/>
    </row>
    <row r="2430" hidden="1">
      <c r="E2430" s="96"/>
    </row>
    <row r="2431" hidden="1">
      <c r="E2431" s="96"/>
    </row>
    <row r="2432" hidden="1">
      <c r="E2432" s="96"/>
    </row>
    <row r="2433" hidden="1">
      <c r="E2433" s="96"/>
    </row>
    <row r="2434" hidden="1">
      <c r="E2434" s="96"/>
    </row>
    <row r="2435" hidden="1">
      <c r="E2435" s="96"/>
    </row>
    <row r="2436" hidden="1">
      <c r="E2436" s="96"/>
    </row>
    <row r="2437" hidden="1">
      <c r="E2437" s="96"/>
    </row>
    <row r="2438" hidden="1">
      <c r="E2438" s="96"/>
    </row>
    <row r="2439" hidden="1">
      <c r="E2439" s="96"/>
    </row>
    <row r="2440" hidden="1">
      <c r="E2440" s="96"/>
    </row>
    <row r="2441" hidden="1">
      <c r="E2441" s="96"/>
    </row>
    <row r="2442" hidden="1">
      <c r="E2442" s="96"/>
    </row>
    <row r="2443" hidden="1">
      <c r="E2443" s="96"/>
    </row>
    <row r="2444" hidden="1">
      <c r="E2444" s="96"/>
    </row>
    <row r="2445" hidden="1">
      <c r="E2445" s="96"/>
    </row>
    <row r="2446" hidden="1">
      <c r="E2446" s="96"/>
    </row>
    <row r="2447" hidden="1">
      <c r="E2447" s="96"/>
    </row>
    <row r="2448" hidden="1">
      <c r="E2448" s="96"/>
    </row>
    <row r="2449" hidden="1">
      <c r="E2449" s="96"/>
    </row>
    <row r="2450" hidden="1">
      <c r="E2450" s="96"/>
    </row>
    <row r="2451" hidden="1">
      <c r="E2451" s="96"/>
    </row>
    <row r="2452" hidden="1">
      <c r="E2452" s="96"/>
    </row>
    <row r="2453" hidden="1">
      <c r="E2453" s="96"/>
    </row>
    <row r="2454" hidden="1">
      <c r="E2454" s="96"/>
    </row>
    <row r="2455" hidden="1">
      <c r="E2455" s="96"/>
    </row>
    <row r="2456" hidden="1">
      <c r="E2456" s="96"/>
    </row>
    <row r="2457" hidden="1">
      <c r="E2457" s="96"/>
    </row>
    <row r="2458" hidden="1">
      <c r="E2458" s="96"/>
    </row>
    <row r="2459" hidden="1">
      <c r="E2459" s="96"/>
    </row>
    <row r="2460" hidden="1">
      <c r="E2460" s="96"/>
    </row>
    <row r="2461" hidden="1">
      <c r="E2461" s="96"/>
    </row>
    <row r="2462" hidden="1">
      <c r="E2462" s="96"/>
    </row>
    <row r="2463" hidden="1">
      <c r="E2463" s="96"/>
    </row>
    <row r="2464" hidden="1">
      <c r="E2464" s="96"/>
    </row>
    <row r="2465" hidden="1">
      <c r="E2465" s="96"/>
    </row>
    <row r="2466" hidden="1">
      <c r="E2466" s="96"/>
    </row>
    <row r="2467" hidden="1">
      <c r="E2467" s="96"/>
    </row>
    <row r="2468" hidden="1">
      <c r="E2468" s="96"/>
    </row>
    <row r="2469" hidden="1">
      <c r="E2469" s="96"/>
    </row>
    <row r="2470" hidden="1">
      <c r="E2470" s="96"/>
    </row>
    <row r="2471" hidden="1">
      <c r="E2471" s="96"/>
    </row>
    <row r="2472" hidden="1">
      <c r="E2472" s="96"/>
    </row>
    <row r="2473" hidden="1">
      <c r="E2473" s="96"/>
    </row>
    <row r="2474" hidden="1">
      <c r="E2474" s="96"/>
    </row>
    <row r="2475" hidden="1">
      <c r="E2475" s="96"/>
    </row>
    <row r="2476" hidden="1">
      <c r="E2476" s="96"/>
    </row>
    <row r="2477" hidden="1">
      <c r="E2477" s="96"/>
    </row>
    <row r="2478" hidden="1">
      <c r="E2478" s="96"/>
    </row>
    <row r="2479" hidden="1">
      <c r="E2479" s="96"/>
    </row>
    <row r="2480" hidden="1">
      <c r="E2480" s="96"/>
    </row>
    <row r="2481" hidden="1">
      <c r="E2481" s="96"/>
    </row>
    <row r="2482" hidden="1">
      <c r="E2482" s="96"/>
    </row>
    <row r="2483" hidden="1">
      <c r="E2483" s="96"/>
    </row>
    <row r="2484" hidden="1">
      <c r="E2484" s="96"/>
    </row>
    <row r="2485" hidden="1">
      <c r="E2485" s="96"/>
    </row>
    <row r="2486" hidden="1">
      <c r="E2486" s="96"/>
    </row>
    <row r="2487" hidden="1">
      <c r="E2487" s="96"/>
    </row>
    <row r="2488" hidden="1">
      <c r="E2488" s="96"/>
    </row>
    <row r="2489" hidden="1">
      <c r="E2489" s="96"/>
    </row>
    <row r="2490" hidden="1">
      <c r="E2490" s="96"/>
    </row>
    <row r="2491" hidden="1">
      <c r="E2491" s="96"/>
    </row>
    <row r="2492" hidden="1">
      <c r="E2492" s="96"/>
    </row>
    <row r="2493" hidden="1">
      <c r="E2493" s="96"/>
    </row>
    <row r="2494" hidden="1">
      <c r="E2494" s="96"/>
    </row>
    <row r="2495" hidden="1">
      <c r="E2495" s="96"/>
    </row>
    <row r="2496" hidden="1">
      <c r="E2496" s="96"/>
    </row>
    <row r="2497" hidden="1">
      <c r="E2497" s="96"/>
    </row>
    <row r="2498" hidden="1">
      <c r="E2498" s="96"/>
    </row>
    <row r="2499" hidden="1">
      <c r="E2499" s="96"/>
    </row>
    <row r="2500" hidden="1">
      <c r="E2500" s="96"/>
    </row>
    <row r="2501" hidden="1">
      <c r="E2501" s="96"/>
    </row>
    <row r="2502" hidden="1">
      <c r="E2502" s="96"/>
    </row>
    <row r="2503" hidden="1">
      <c r="E2503" s="96"/>
    </row>
    <row r="2504" hidden="1">
      <c r="E2504" s="96"/>
    </row>
    <row r="2505" hidden="1">
      <c r="E2505" s="96"/>
    </row>
    <row r="2506" hidden="1">
      <c r="E2506" s="96"/>
    </row>
    <row r="2507" hidden="1">
      <c r="E2507" s="96"/>
    </row>
    <row r="2508" hidden="1">
      <c r="E2508" s="96"/>
    </row>
    <row r="2509" hidden="1">
      <c r="E2509" s="96"/>
    </row>
    <row r="2510" hidden="1">
      <c r="E2510" s="96"/>
    </row>
    <row r="2511" hidden="1">
      <c r="E2511" s="96"/>
    </row>
    <row r="2512" hidden="1">
      <c r="E2512" s="96"/>
    </row>
    <row r="2513" hidden="1">
      <c r="E2513" s="96"/>
    </row>
    <row r="2514" hidden="1">
      <c r="E2514" s="96"/>
    </row>
    <row r="2515" hidden="1">
      <c r="E2515" s="96"/>
    </row>
    <row r="2516" hidden="1">
      <c r="E2516" s="96"/>
    </row>
    <row r="2517" hidden="1">
      <c r="E2517" s="96"/>
    </row>
    <row r="2518" hidden="1">
      <c r="E2518" s="96"/>
    </row>
    <row r="2519" hidden="1">
      <c r="E2519" s="96"/>
    </row>
    <row r="2520" hidden="1">
      <c r="E2520" s="96"/>
    </row>
    <row r="2521" hidden="1">
      <c r="E2521" s="96"/>
    </row>
    <row r="2522" hidden="1">
      <c r="E2522" s="96"/>
    </row>
    <row r="2523" hidden="1">
      <c r="E2523" s="96"/>
    </row>
    <row r="2524" hidden="1">
      <c r="E2524" s="96"/>
    </row>
    <row r="2525" hidden="1">
      <c r="E2525" s="96"/>
    </row>
    <row r="2526" hidden="1">
      <c r="E2526" s="96"/>
    </row>
    <row r="2527" hidden="1">
      <c r="E2527" s="96"/>
    </row>
    <row r="2528" hidden="1">
      <c r="E2528" s="96"/>
    </row>
    <row r="2529" hidden="1">
      <c r="E2529" s="96"/>
    </row>
    <row r="2530" hidden="1">
      <c r="E2530" s="96"/>
    </row>
    <row r="2531" hidden="1">
      <c r="E2531" s="96"/>
    </row>
    <row r="2532" hidden="1">
      <c r="E2532" s="96"/>
    </row>
    <row r="2533" hidden="1">
      <c r="E2533" s="96"/>
    </row>
    <row r="2534" hidden="1">
      <c r="E2534" s="96"/>
    </row>
    <row r="2535" hidden="1">
      <c r="E2535" s="96"/>
    </row>
    <row r="2536" hidden="1">
      <c r="E2536" s="96"/>
    </row>
    <row r="2537" hidden="1">
      <c r="E2537" s="96"/>
    </row>
    <row r="2538" hidden="1">
      <c r="E2538" s="96"/>
    </row>
    <row r="2539" hidden="1">
      <c r="E2539" s="96"/>
    </row>
    <row r="2540" hidden="1">
      <c r="E2540" s="96"/>
    </row>
    <row r="2541" hidden="1">
      <c r="E2541" s="96"/>
    </row>
    <row r="2542" hidden="1">
      <c r="E2542" s="96"/>
    </row>
    <row r="2543" hidden="1">
      <c r="E2543" s="96"/>
    </row>
    <row r="2544" hidden="1">
      <c r="E2544" s="96"/>
    </row>
    <row r="2545" hidden="1">
      <c r="E2545" s="96"/>
    </row>
    <row r="2546" hidden="1">
      <c r="E2546" s="96"/>
    </row>
    <row r="2547" hidden="1">
      <c r="E2547" s="96"/>
    </row>
    <row r="2548" hidden="1">
      <c r="E2548" s="96"/>
    </row>
    <row r="2549" hidden="1">
      <c r="E2549" s="96"/>
    </row>
    <row r="2550" hidden="1">
      <c r="E2550" s="96"/>
    </row>
    <row r="2551" hidden="1">
      <c r="E2551" s="96"/>
    </row>
    <row r="2552" hidden="1">
      <c r="E2552" s="96"/>
    </row>
    <row r="2553" hidden="1">
      <c r="E2553" s="96"/>
    </row>
    <row r="2554" hidden="1">
      <c r="E2554" s="96"/>
    </row>
    <row r="2555" hidden="1">
      <c r="E2555" s="96"/>
    </row>
    <row r="2556" hidden="1">
      <c r="E2556" s="96"/>
    </row>
    <row r="2557" hidden="1">
      <c r="E2557" s="96"/>
    </row>
    <row r="2558" hidden="1">
      <c r="E2558" s="96"/>
    </row>
    <row r="2559" hidden="1">
      <c r="E2559" s="96"/>
    </row>
    <row r="2560" hidden="1">
      <c r="E2560" s="96"/>
    </row>
    <row r="2561" hidden="1">
      <c r="E2561" s="96"/>
    </row>
    <row r="2562" hidden="1">
      <c r="E2562" s="96"/>
    </row>
    <row r="2563" hidden="1">
      <c r="E2563" s="96"/>
    </row>
    <row r="2564" hidden="1">
      <c r="E2564" s="96"/>
    </row>
    <row r="2565" hidden="1">
      <c r="E2565" s="96"/>
    </row>
    <row r="2566" hidden="1">
      <c r="E2566" s="96"/>
    </row>
    <row r="2567" hidden="1">
      <c r="E2567" s="96"/>
    </row>
    <row r="2568" hidden="1">
      <c r="E2568" s="96"/>
    </row>
    <row r="2569" hidden="1">
      <c r="E2569" s="96"/>
    </row>
    <row r="2570" hidden="1">
      <c r="E2570" s="96"/>
    </row>
    <row r="2571" hidden="1">
      <c r="E2571" s="96"/>
    </row>
    <row r="2572" hidden="1">
      <c r="E2572" s="96"/>
    </row>
    <row r="2573" hidden="1">
      <c r="E2573" s="96"/>
    </row>
    <row r="2574" hidden="1">
      <c r="E2574" s="96"/>
    </row>
    <row r="2575" hidden="1">
      <c r="E2575" s="96"/>
    </row>
    <row r="2576" hidden="1">
      <c r="E2576" s="96"/>
    </row>
    <row r="2577" hidden="1">
      <c r="E2577" s="96"/>
    </row>
    <row r="2578" hidden="1">
      <c r="E2578" s="96"/>
    </row>
    <row r="2579" hidden="1">
      <c r="E2579" s="96"/>
    </row>
    <row r="2580" hidden="1">
      <c r="E2580" s="96"/>
    </row>
    <row r="2581" hidden="1">
      <c r="E2581" s="96"/>
    </row>
    <row r="2582" hidden="1">
      <c r="E2582" s="96"/>
    </row>
    <row r="2583" hidden="1">
      <c r="E2583" s="96"/>
    </row>
    <row r="2584" hidden="1">
      <c r="E2584" s="96"/>
    </row>
    <row r="2585" hidden="1">
      <c r="E2585" s="96"/>
    </row>
    <row r="2586" hidden="1">
      <c r="E2586" s="96"/>
    </row>
    <row r="2587" hidden="1">
      <c r="E2587" s="96"/>
    </row>
    <row r="2588" hidden="1">
      <c r="E2588" s="96"/>
    </row>
    <row r="2589" hidden="1">
      <c r="E2589" s="96"/>
    </row>
    <row r="2590" hidden="1">
      <c r="E2590" s="96"/>
    </row>
    <row r="2591" hidden="1">
      <c r="E2591" s="96"/>
    </row>
    <row r="2592" hidden="1">
      <c r="E2592" s="96"/>
    </row>
    <row r="2593" hidden="1">
      <c r="E2593" s="96"/>
    </row>
    <row r="2594" hidden="1">
      <c r="E2594" s="96"/>
    </row>
    <row r="2595" hidden="1">
      <c r="E2595" s="96"/>
    </row>
    <row r="2596" hidden="1">
      <c r="E2596" s="96"/>
    </row>
    <row r="2597" hidden="1">
      <c r="E2597" s="96"/>
    </row>
    <row r="2598" hidden="1">
      <c r="E2598" s="96"/>
    </row>
    <row r="2599" hidden="1">
      <c r="E2599" s="96"/>
    </row>
    <row r="2600" hidden="1">
      <c r="E2600" s="96"/>
    </row>
    <row r="2601" hidden="1">
      <c r="E2601" s="96"/>
    </row>
    <row r="2602" hidden="1">
      <c r="E2602" s="96"/>
    </row>
    <row r="2603" hidden="1">
      <c r="E2603" s="96"/>
    </row>
    <row r="2604" hidden="1">
      <c r="E2604" s="96"/>
    </row>
    <row r="2605" hidden="1">
      <c r="E2605" s="96"/>
    </row>
    <row r="2606" hidden="1">
      <c r="E2606" s="96"/>
    </row>
    <row r="2607" hidden="1">
      <c r="E2607" s="96"/>
    </row>
    <row r="2608" hidden="1">
      <c r="E2608" s="96"/>
    </row>
    <row r="2609" hidden="1">
      <c r="E2609" s="96"/>
    </row>
    <row r="2610" hidden="1">
      <c r="E2610" s="96"/>
    </row>
    <row r="2611" hidden="1">
      <c r="E2611" s="96"/>
    </row>
    <row r="2612" hidden="1">
      <c r="E2612" s="96"/>
    </row>
    <row r="2613" hidden="1">
      <c r="E2613" s="96"/>
    </row>
    <row r="2614" hidden="1">
      <c r="E2614" s="96"/>
    </row>
    <row r="2615" hidden="1">
      <c r="E2615" s="96"/>
    </row>
    <row r="2616" hidden="1">
      <c r="E2616" s="96"/>
    </row>
    <row r="2617" hidden="1">
      <c r="E2617" s="96"/>
    </row>
    <row r="2618" hidden="1">
      <c r="E2618" s="96"/>
    </row>
    <row r="2619" hidden="1">
      <c r="E2619" s="96"/>
    </row>
    <row r="2620" hidden="1">
      <c r="E2620" s="96"/>
    </row>
    <row r="2621" hidden="1">
      <c r="E2621" s="96"/>
    </row>
    <row r="2622" hidden="1">
      <c r="E2622" s="96"/>
    </row>
    <row r="2623" hidden="1">
      <c r="E2623" s="96"/>
    </row>
    <row r="2624" hidden="1">
      <c r="E2624" s="96"/>
    </row>
    <row r="2625" hidden="1">
      <c r="E2625" s="96"/>
    </row>
    <row r="2626" hidden="1">
      <c r="E2626" s="96"/>
    </row>
    <row r="2627" hidden="1">
      <c r="E2627" s="96"/>
    </row>
    <row r="2628" hidden="1">
      <c r="E2628" s="96"/>
    </row>
    <row r="2629" hidden="1">
      <c r="E2629" s="96"/>
    </row>
    <row r="2630" hidden="1">
      <c r="E2630" s="96"/>
    </row>
    <row r="2631" hidden="1">
      <c r="E2631" s="96"/>
    </row>
    <row r="2632" hidden="1">
      <c r="E2632" s="96"/>
    </row>
    <row r="2633" hidden="1">
      <c r="E2633" s="96"/>
    </row>
    <row r="2634" hidden="1">
      <c r="E2634" s="96"/>
    </row>
    <row r="2635" hidden="1">
      <c r="E2635" s="96"/>
    </row>
    <row r="2636" hidden="1">
      <c r="E2636" s="96"/>
    </row>
    <row r="2637" hidden="1">
      <c r="E2637" s="96"/>
    </row>
    <row r="2638" hidden="1">
      <c r="E2638" s="96"/>
    </row>
    <row r="2639" hidden="1">
      <c r="E2639" s="96"/>
    </row>
    <row r="2640" hidden="1">
      <c r="E2640" s="96"/>
    </row>
    <row r="2641" hidden="1">
      <c r="E2641" s="96"/>
    </row>
    <row r="2642" hidden="1">
      <c r="E2642" s="96"/>
    </row>
    <row r="2643" hidden="1">
      <c r="E2643" s="96"/>
    </row>
    <row r="2644" hidden="1">
      <c r="E2644" s="96"/>
    </row>
    <row r="2645" hidden="1">
      <c r="E2645" s="96"/>
    </row>
    <row r="2646" hidden="1">
      <c r="E2646" s="96"/>
    </row>
    <row r="2647" hidden="1">
      <c r="E2647" s="96"/>
    </row>
    <row r="2648" hidden="1">
      <c r="E2648" s="96"/>
    </row>
    <row r="2649" hidden="1">
      <c r="E2649" s="96"/>
    </row>
    <row r="2650" hidden="1">
      <c r="E2650" s="96"/>
    </row>
    <row r="2651" hidden="1">
      <c r="E2651" s="96"/>
    </row>
    <row r="2652" hidden="1">
      <c r="E2652" s="96"/>
    </row>
    <row r="2653" hidden="1">
      <c r="E2653" s="96"/>
    </row>
    <row r="2654" hidden="1">
      <c r="E2654" s="96"/>
    </row>
    <row r="2655" hidden="1">
      <c r="E2655" s="96"/>
    </row>
    <row r="2656" hidden="1">
      <c r="E2656" s="96"/>
    </row>
    <row r="2657" hidden="1">
      <c r="E2657" s="96"/>
    </row>
    <row r="2658" hidden="1">
      <c r="E2658" s="96"/>
    </row>
    <row r="2659" hidden="1">
      <c r="E2659" s="96"/>
    </row>
    <row r="2660" hidden="1">
      <c r="E2660" s="96"/>
    </row>
    <row r="2661" hidden="1">
      <c r="E2661" s="96"/>
    </row>
    <row r="2662" hidden="1">
      <c r="E2662" s="96"/>
    </row>
    <row r="2663" hidden="1">
      <c r="E2663" s="96"/>
    </row>
    <row r="2664" hidden="1">
      <c r="E2664" s="96"/>
    </row>
    <row r="2665" hidden="1">
      <c r="E2665" s="96"/>
    </row>
    <row r="2666" hidden="1">
      <c r="E2666" s="96"/>
    </row>
    <row r="2667" hidden="1">
      <c r="E2667" s="96"/>
    </row>
    <row r="2668" hidden="1">
      <c r="E2668" s="96"/>
    </row>
    <row r="2669" hidden="1">
      <c r="E2669" s="96"/>
    </row>
    <row r="2670" hidden="1">
      <c r="E2670" s="96"/>
    </row>
    <row r="2671" hidden="1">
      <c r="E2671" s="96"/>
    </row>
    <row r="2672" hidden="1">
      <c r="E2672" s="96"/>
    </row>
    <row r="2673" hidden="1">
      <c r="E2673" s="96"/>
    </row>
    <row r="2674" hidden="1">
      <c r="E2674" s="96"/>
    </row>
    <row r="2675" hidden="1">
      <c r="E2675" s="96"/>
    </row>
    <row r="2676" hidden="1">
      <c r="E2676" s="96"/>
    </row>
    <row r="2677" hidden="1">
      <c r="E2677" s="96"/>
    </row>
    <row r="2678" hidden="1">
      <c r="E2678" s="96"/>
    </row>
    <row r="2679" hidden="1">
      <c r="E2679" s="96"/>
    </row>
    <row r="2680" hidden="1">
      <c r="E2680" s="96"/>
    </row>
    <row r="2681" hidden="1">
      <c r="E2681" s="96"/>
    </row>
    <row r="2682" hidden="1">
      <c r="E2682" s="96"/>
    </row>
    <row r="2683" hidden="1">
      <c r="E2683" s="96"/>
    </row>
    <row r="2684" hidden="1">
      <c r="E2684" s="96"/>
    </row>
    <row r="2685" hidden="1">
      <c r="E2685" s="96"/>
    </row>
    <row r="2686" hidden="1">
      <c r="E2686" s="96"/>
    </row>
    <row r="2687" hidden="1">
      <c r="E2687" s="96"/>
    </row>
    <row r="2688" hidden="1">
      <c r="E2688" s="96"/>
    </row>
    <row r="2689" hidden="1">
      <c r="E2689" s="96"/>
    </row>
    <row r="2690" hidden="1">
      <c r="E2690" s="96"/>
    </row>
    <row r="2691" hidden="1">
      <c r="E2691" s="96"/>
    </row>
    <row r="2692" hidden="1">
      <c r="E2692" s="96"/>
    </row>
    <row r="2693" hidden="1">
      <c r="E2693" s="96"/>
    </row>
    <row r="2694" hidden="1">
      <c r="E2694" s="96"/>
    </row>
    <row r="2695" hidden="1">
      <c r="E2695" s="96"/>
    </row>
    <row r="2696" hidden="1">
      <c r="E2696" s="96"/>
    </row>
    <row r="2697" hidden="1">
      <c r="E2697" s="96"/>
    </row>
    <row r="2698" hidden="1">
      <c r="E2698" s="96"/>
    </row>
    <row r="2699" hidden="1">
      <c r="E2699" s="96"/>
    </row>
    <row r="2700" hidden="1">
      <c r="E2700" s="96"/>
    </row>
    <row r="2701" hidden="1">
      <c r="E2701" s="96"/>
    </row>
    <row r="2702" hidden="1">
      <c r="E2702" s="96"/>
    </row>
    <row r="2703" hidden="1">
      <c r="E2703" s="96"/>
    </row>
    <row r="2704" hidden="1">
      <c r="E2704" s="96"/>
    </row>
    <row r="2705" hidden="1">
      <c r="E2705" s="96"/>
    </row>
    <row r="2706" hidden="1">
      <c r="E2706" s="96"/>
    </row>
    <row r="2707" hidden="1">
      <c r="E2707" s="96"/>
    </row>
    <row r="2708" hidden="1">
      <c r="E2708" s="96"/>
    </row>
    <row r="2709" hidden="1">
      <c r="E2709" s="96"/>
    </row>
    <row r="2710" hidden="1">
      <c r="E2710" s="96"/>
    </row>
    <row r="2711" hidden="1">
      <c r="E2711" s="96"/>
    </row>
    <row r="2712" hidden="1">
      <c r="E2712" s="96"/>
    </row>
    <row r="2713" hidden="1">
      <c r="E2713" s="96"/>
    </row>
    <row r="2714" hidden="1">
      <c r="E2714" s="96"/>
    </row>
    <row r="2715" hidden="1">
      <c r="E2715" s="96"/>
    </row>
    <row r="2716" hidden="1">
      <c r="E2716" s="96"/>
    </row>
    <row r="2717" hidden="1">
      <c r="E2717" s="96"/>
    </row>
    <row r="2718" hidden="1">
      <c r="E2718" s="96"/>
    </row>
    <row r="2719" hidden="1">
      <c r="E2719" s="96"/>
    </row>
    <row r="2720" hidden="1">
      <c r="E2720" s="96"/>
    </row>
    <row r="2721" hidden="1">
      <c r="E2721" s="96"/>
    </row>
    <row r="2722" hidden="1">
      <c r="E2722" s="96"/>
    </row>
    <row r="2723" hidden="1">
      <c r="E2723" s="96"/>
    </row>
    <row r="2724" hidden="1">
      <c r="E2724" s="96"/>
    </row>
    <row r="2725" hidden="1">
      <c r="E2725" s="96"/>
    </row>
    <row r="2726" hidden="1">
      <c r="E2726" s="96"/>
    </row>
    <row r="2727" hidden="1">
      <c r="E2727" s="96"/>
    </row>
    <row r="2728" hidden="1">
      <c r="E2728" s="96"/>
    </row>
    <row r="2729" hidden="1">
      <c r="E2729" s="96"/>
    </row>
    <row r="2730" hidden="1">
      <c r="E2730" s="96"/>
    </row>
    <row r="2731" hidden="1">
      <c r="E2731" s="96"/>
    </row>
    <row r="2732" hidden="1">
      <c r="E2732" s="96"/>
    </row>
    <row r="2733" hidden="1">
      <c r="E2733" s="96"/>
    </row>
    <row r="2734" hidden="1">
      <c r="E2734" s="96"/>
    </row>
    <row r="2735" hidden="1">
      <c r="E2735" s="96"/>
    </row>
    <row r="2736" hidden="1">
      <c r="E2736" s="96"/>
    </row>
    <row r="2737" hidden="1">
      <c r="E2737" s="96"/>
    </row>
    <row r="2738" hidden="1">
      <c r="E2738" s="96"/>
    </row>
    <row r="2739" hidden="1">
      <c r="E2739" s="96"/>
    </row>
    <row r="2740" hidden="1">
      <c r="E2740" s="96"/>
    </row>
    <row r="2741" hidden="1">
      <c r="E2741" s="96"/>
    </row>
    <row r="2742" hidden="1">
      <c r="E2742" s="96"/>
    </row>
    <row r="2743" hidden="1">
      <c r="E2743" s="96"/>
    </row>
    <row r="2744" hidden="1">
      <c r="E2744" s="96"/>
    </row>
    <row r="2745" hidden="1">
      <c r="E2745" s="96"/>
    </row>
    <row r="2746" hidden="1">
      <c r="E2746" s="96"/>
    </row>
    <row r="2747" hidden="1">
      <c r="E2747" s="96"/>
    </row>
    <row r="2748" hidden="1">
      <c r="E2748" s="96"/>
    </row>
    <row r="2749" hidden="1">
      <c r="E2749" s="96"/>
    </row>
    <row r="2750" hidden="1">
      <c r="E2750" s="96"/>
    </row>
    <row r="2751" hidden="1">
      <c r="E2751" s="96"/>
    </row>
    <row r="2752" hidden="1">
      <c r="E2752" s="96"/>
    </row>
    <row r="2753" hidden="1">
      <c r="E2753" s="96"/>
    </row>
    <row r="2754" hidden="1">
      <c r="E2754" s="96"/>
    </row>
    <row r="2755" hidden="1">
      <c r="E2755" s="96"/>
    </row>
    <row r="2756" hidden="1">
      <c r="E2756" s="96"/>
    </row>
    <row r="2757" hidden="1">
      <c r="E2757" s="96"/>
    </row>
    <row r="2758" hidden="1">
      <c r="E2758" s="96"/>
    </row>
    <row r="2759" hidden="1">
      <c r="E2759" s="96"/>
    </row>
    <row r="2760" hidden="1">
      <c r="E2760" s="96"/>
    </row>
    <row r="2761" hidden="1">
      <c r="E2761" s="96"/>
    </row>
    <row r="2762" hidden="1">
      <c r="E2762" s="96"/>
    </row>
    <row r="2763" hidden="1">
      <c r="E2763" s="96"/>
    </row>
    <row r="2764" hidden="1">
      <c r="E2764" s="96"/>
    </row>
    <row r="2765" hidden="1">
      <c r="E2765" s="96"/>
    </row>
    <row r="2766" hidden="1">
      <c r="E2766" s="96"/>
    </row>
    <row r="2767" hidden="1">
      <c r="E2767" s="96"/>
    </row>
    <row r="2768" hidden="1">
      <c r="E2768" s="96"/>
    </row>
    <row r="2769" hidden="1">
      <c r="E2769" s="96"/>
    </row>
    <row r="2770" hidden="1">
      <c r="E2770" s="96"/>
    </row>
    <row r="2771" hidden="1">
      <c r="E2771" s="96"/>
    </row>
    <row r="2772" hidden="1">
      <c r="E2772" s="96"/>
    </row>
    <row r="2773" hidden="1">
      <c r="E2773" s="96"/>
    </row>
    <row r="2774" hidden="1">
      <c r="E2774" s="96"/>
    </row>
    <row r="2775" hidden="1">
      <c r="E2775" s="96"/>
    </row>
    <row r="2776" hidden="1">
      <c r="E2776" s="96"/>
    </row>
    <row r="2777" hidden="1">
      <c r="E2777" s="96"/>
    </row>
    <row r="2778" hidden="1">
      <c r="E2778" s="96"/>
    </row>
    <row r="2779" hidden="1">
      <c r="E2779" s="96"/>
    </row>
    <row r="2780" hidden="1">
      <c r="E2780" s="96"/>
    </row>
    <row r="2781" hidden="1">
      <c r="E2781" s="96"/>
    </row>
    <row r="2782" hidden="1">
      <c r="E2782" s="96"/>
    </row>
    <row r="2783" hidden="1">
      <c r="E2783" s="96"/>
    </row>
    <row r="2784" hidden="1">
      <c r="E2784" s="96"/>
    </row>
    <row r="2785" hidden="1">
      <c r="E2785" s="96"/>
    </row>
    <row r="2786" hidden="1">
      <c r="E2786" s="96"/>
    </row>
    <row r="2787" hidden="1">
      <c r="E2787" s="96"/>
    </row>
    <row r="2788" hidden="1">
      <c r="E2788" s="96"/>
    </row>
    <row r="2789" hidden="1">
      <c r="E2789" s="96"/>
    </row>
    <row r="2790" hidden="1">
      <c r="E2790" s="96"/>
    </row>
    <row r="2791" hidden="1">
      <c r="E2791" s="96"/>
    </row>
    <row r="2792" hidden="1">
      <c r="E2792" s="96"/>
    </row>
    <row r="2793" hidden="1">
      <c r="E2793" s="96"/>
    </row>
    <row r="2794" hidden="1">
      <c r="E2794" s="96"/>
    </row>
    <row r="2795" hidden="1">
      <c r="E2795" s="96"/>
    </row>
    <row r="2796" hidden="1">
      <c r="E2796" s="96"/>
    </row>
    <row r="2797" hidden="1">
      <c r="E2797" s="96"/>
    </row>
    <row r="2798" hidden="1">
      <c r="E2798" s="96"/>
    </row>
    <row r="2799" hidden="1">
      <c r="E2799" s="96"/>
    </row>
    <row r="2800" hidden="1">
      <c r="E2800" s="96"/>
    </row>
    <row r="2801" hidden="1">
      <c r="E2801" s="96"/>
    </row>
    <row r="2802" hidden="1">
      <c r="E2802" s="96"/>
    </row>
    <row r="2803" hidden="1">
      <c r="E2803" s="96"/>
    </row>
    <row r="2804" hidden="1">
      <c r="E2804" s="96"/>
    </row>
    <row r="2805" hidden="1">
      <c r="E2805" s="96"/>
    </row>
    <row r="2806" hidden="1">
      <c r="E2806" s="96"/>
    </row>
    <row r="2807" hidden="1">
      <c r="E2807" s="96"/>
    </row>
    <row r="2808" hidden="1">
      <c r="E2808" s="96"/>
    </row>
    <row r="2809" hidden="1">
      <c r="E2809" s="96"/>
    </row>
    <row r="2810" hidden="1">
      <c r="E2810" s="96"/>
    </row>
    <row r="2811" hidden="1">
      <c r="E2811" s="96"/>
    </row>
    <row r="2812" hidden="1">
      <c r="E2812" s="96"/>
    </row>
    <row r="2813" hidden="1">
      <c r="E2813" s="96"/>
    </row>
    <row r="2814" hidden="1">
      <c r="E2814" s="96"/>
    </row>
    <row r="2815" hidden="1">
      <c r="E2815" s="96"/>
    </row>
    <row r="2816" hidden="1">
      <c r="E2816" s="96"/>
    </row>
    <row r="2817" hidden="1">
      <c r="E2817" s="96"/>
    </row>
    <row r="2818" hidden="1">
      <c r="E2818" s="96"/>
    </row>
    <row r="2819" hidden="1">
      <c r="E2819" s="96"/>
    </row>
    <row r="2820" hidden="1">
      <c r="E2820" s="96"/>
    </row>
    <row r="2821" hidden="1">
      <c r="E2821" s="96"/>
    </row>
    <row r="2822" hidden="1">
      <c r="E2822" s="96"/>
    </row>
    <row r="2823" hidden="1">
      <c r="E2823" s="96"/>
    </row>
    <row r="2824" hidden="1">
      <c r="E2824" s="96"/>
    </row>
    <row r="2825" hidden="1">
      <c r="E2825" s="96"/>
    </row>
    <row r="2826" hidden="1">
      <c r="E2826" s="96"/>
    </row>
    <row r="2827" hidden="1">
      <c r="E2827" s="96"/>
    </row>
    <row r="2828" hidden="1">
      <c r="E2828" s="96"/>
    </row>
    <row r="2829" hidden="1">
      <c r="E2829" s="96"/>
    </row>
    <row r="2830" hidden="1">
      <c r="E2830" s="96"/>
    </row>
    <row r="2831" hidden="1">
      <c r="E2831" s="96"/>
    </row>
    <row r="2832" hidden="1">
      <c r="E2832" s="96"/>
    </row>
    <row r="2833" hidden="1">
      <c r="E2833" s="96"/>
    </row>
    <row r="2834" hidden="1">
      <c r="E2834" s="96"/>
    </row>
    <row r="2835" hidden="1">
      <c r="E2835" s="96"/>
    </row>
    <row r="2836" hidden="1">
      <c r="E2836" s="96"/>
    </row>
    <row r="2837" hidden="1">
      <c r="E2837" s="96"/>
    </row>
    <row r="2838" hidden="1">
      <c r="E2838" s="96"/>
    </row>
    <row r="2839" hidden="1">
      <c r="E2839" s="96"/>
    </row>
    <row r="2840" hidden="1">
      <c r="E2840" s="96"/>
    </row>
    <row r="2841" hidden="1">
      <c r="E2841" s="96"/>
    </row>
    <row r="2842" hidden="1">
      <c r="E2842" s="96"/>
    </row>
    <row r="2843" hidden="1">
      <c r="E2843" s="96"/>
    </row>
    <row r="2844" hidden="1">
      <c r="E2844" s="96"/>
    </row>
    <row r="2845" hidden="1">
      <c r="E2845" s="96"/>
    </row>
    <row r="2846" hidden="1">
      <c r="E2846" s="96"/>
    </row>
    <row r="2847" hidden="1">
      <c r="E2847" s="96"/>
    </row>
    <row r="2848" hidden="1">
      <c r="E2848" s="96"/>
    </row>
    <row r="2849" hidden="1">
      <c r="E2849" s="96"/>
    </row>
    <row r="2850" hidden="1">
      <c r="E2850" s="96"/>
    </row>
    <row r="2851" hidden="1">
      <c r="E2851" s="96"/>
    </row>
    <row r="2852" hidden="1">
      <c r="E2852" s="96"/>
    </row>
    <row r="2853" hidden="1">
      <c r="E2853" s="96"/>
    </row>
    <row r="2854" hidden="1">
      <c r="E2854" s="96"/>
    </row>
    <row r="2855" hidden="1">
      <c r="E2855" s="96"/>
    </row>
    <row r="2856" hidden="1">
      <c r="E2856" s="96"/>
    </row>
    <row r="2857" hidden="1">
      <c r="E2857" s="96"/>
    </row>
    <row r="2858" hidden="1">
      <c r="E2858" s="96"/>
    </row>
    <row r="2859" hidden="1">
      <c r="E2859" s="96"/>
    </row>
    <row r="2860" hidden="1">
      <c r="E2860" s="96"/>
    </row>
    <row r="2861" hidden="1">
      <c r="E2861" s="96"/>
    </row>
    <row r="2862" hidden="1">
      <c r="E2862" s="96"/>
    </row>
    <row r="2863" hidden="1">
      <c r="E2863" s="96"/>
    </row>
    <row r="2864" hidden="1">
      <c r="E2864" s="96"/>
    </row>
    <row r="2865" hidden="1">
      <c r="E2865" s="96"/>
    </row>
    <row r="2866" hidden="1">
      <c r="E2866" s="96"/>
    </row>
    <row r="2867" hidden="1">
      <c r="E2867" s="96"/>
    </row>
    <row r="2868" hidden="1">
      <c r="E2868" s="96"/>
    </row>
    <row r="2869" hidden="1">
      <c r="E2869" s="96"/>
    </row>
    <row r="2870" hidden="1">
      <c r="E2870" s="96"/>
    </row>
    <row r="2871" hidden="1">
      <c r="E2871" s="96"/>
    </row>
    <row r="2872" hidden="1">
      <c r="E2872" s="96"/>
    </row>
    <row r="2873" hidden="1">
      <c r="E2873" s="96"/>
    </row>
    <row r="2874" hidden="1">
      <c r="E2874" s="96"/>
    </row>
    <row r="2875" hidden="1">
      <c r="E2875" s="96"/>
    </row>
    <row r="2876" hidden="1">
      <c r="E2876" s="96"/>
    </row>
    <row r="2877" hidden="1">
      <c r="E2877" s="96"/>
    </row>
    <row r="2878" hidden="1">
      <c r="E2878" s="96"/>
    </row>
    <row r="2879" hidden="1">
      <c r="E2879" s="96"/>
    </row>
    <row r="2880" hidden="1">
      <c r="E2880" s="96"/>
    </row>
    <row r="2881" hidden="1">
      <c r="E2881" s="96"/>
    </row>
    <row r="2882" hidden="1">
      <c r="E2882" s="96"/>
    </row>
    <row r="2883" hidden="1">
      <c r="E2883" s="96"/>
    </row>
    <row r="2884" hidden="1">
      <c r="E2884" s="96"/>
    </row>
    <row r="2885" hidden="1">
      <c r="E2885" s="96"/>
    </row>
    <row r="2886" hidden="1">
      <c r="E2886" s="96"/>
    </row>
    <row r="2887" hidden="1">
      <c r="E2887" s="96"/>
    </row>
    <row r="2888" hidden="1">
      <c r="E2888" s="96"/>
    </row>
    <row r="2889" hidden="1">
      <c r="E2889" s="96"/>
    </row>
    <row r="2890" hidden="1">
      <c r="E2890" s="96"/>
    </row>
    <row r="2891" hidden="1">
      <c r="E2891" s="96"/>
    </row>
    <row r="2892" hidden="1">
      <c r="E2892" s="96"/>
    </row>
    <row r="2893" hidden="1">
      <c r="E2893" s="96"/>
    </row>
    <row r="2894" hidden="1">
      <c r="E2894" s="96"/>
    </row>
    <row r="2895" hidden="1">
      <c r="E2895" s="96"/>
    </row>
    <row r="2896" hidden="1">
      <c r="E2896" s="96"/>
    </row>
    <row r="2897" hidden="1">
      <c r="E2897" s="96"/>
    </row>
    <row r="2898" hidden="1">
      <c r="E2898" s="96"/>
    </row>
    <row r="2899" hidden="1">
      <c r="E2899" s="96"/>
    </row>
    <row r="2900" hidden="1">
      <c r="E2900" s="96"/>
    </row>
    <row r="2901" hidden="1">
      <c r="E2901" s="96"/>
    </row>
    <row r="2902" hidden="1">
      <c r="E2902" s="96"/>
    </row>
    <row r="2903" hidden="1">
      <c r="E2903" s="96"/>
    </row>
    <row r="2904" hidden="1">
      <c r="E2904" s="96"/>
    </row>
    <row r="2905" hidden="1">
      <c r="E2905" s="96"/>
    </row>
    <row r="2906" hidden="1">
      <c r="E2906" s="96"/>
    </row>
    <row r="2907" hidden="1">
      <c r="E2907" s="96"/>
    </row>
    <row r="2908" hidden="1">
      <c r="E2908" s="96"/>
    </row>
    <row r="2909" hidden="1">
      <c r="E2909" s="96"/>
    </row>
    <row r="2910" hidden="1">
      <c r="E2910" s="96"/>
    </row>
    <row r="2911" hidden="1">
      <c r="E2911" s="96"/>
    </row>
    <row r="2912" hidden="1">
      <c r="E2912" s="96"/>
    </row>
    <row r="2913" hidden="1">
      <c r="E2913" s="96"/>
    </row>
    <row r="2914" hidden="1">
      <c r="E2914" s="96"/>
    </row>
    <row r="2915" hidden="1">
      <c r="E2915" s="96"/>
    </row>
    <row r="2916" hidden="1">
      <c r="E2916" s="96"/>
    </row>
    <row r="2917" hidden="1">
      <c r="E2917" s="96"/>
    </row>
    <row r="2918" hidden="1">
      <c r="E2918" s="96"/>
    </row>
    <row r="2919" hidden="1">
      <c r="E2919" s="96"/>
    </row>
    <row r="2920" hidden="1">
      <c r="E2920" s="96"/>
    </row>
    <row r="2921" hidden="1">
      <c r="E2921" s="96"/>
    </row>
    <row r="2922" hidden="1">
      <c r="E2922" s="96"/>
    </row>
    <row r="2923" hidden="1">
      <c r="E2923" s="96"/>
    </row>
    <row r="2924" hidden="1">
      <c r="E2924" s="96"/>
    </row>
    <row r="2925" hidden="1">
      <c r="E2925" s="96"/>
    </row>
    <row r="2926" hidden="1">
      <c r="E2926" s="96"/>
    </row>
    <row r="2927" hidden="1">
      <c r="E2927" s="96"/>
    </row>
    <row r="2928" hidden="1">
      <c r="E2928" s="96"/>
    </row>
    <row r="2929" hidden="1">
      <c r="E2929" s="96"/>
    </row>
    <row r="2930" hidden="1">
      <c r="E2930" s="96"/>
    </row>
    <row r="2931" hidden="1">
      <c r="E2931" s="96"/>
    </row>
    <row r="2932" hidden="1">
      <c r="E2932" s="96"/>
    </row>
    <row r="2933" hidden="1">
      <c r="E2933" s="96"/>
    </row>
    <row r="2934" hidden="1">
      <c r="E2934" s="96"/>
    </row>
    <row r="2935" hidden="1">
      <c r="E2935" s="96"/>
    </row>
    <row r="2936" hidden="1">
      <c r="E2936" s="96"/>
    </row>
    <row r="2937" hidden="1">
      <c r="E2937" s="96"/>
    </row>
    <row r="2938" hidden="1">
      <c r="E2938" s="96"/>
    </row>
    <row r="2939" hidden="1">
      <c r="E2939" s="96"/>
    </row>
    <row r="2940" hidden="1">
      <c r="E2940" s="96"/>
    </row>
    <row r="2941" hidden="1">
      <c r="E2941" s="96"/>
    </row>
    <row r="2942" hidden="1">
      <c r="E2942" s="96"/>
    </row>
    <row r="2943" hidden="1">
      <c r="E2943" s="96"/>
    </row>
    <row r="2944" hidden="1">
      <c r="E2944" s="96"/>
    </row>
    <row r="2945" hidden="1">
      <c r="E2945" s="96"/>
    </row>
    <row r="2946" hidden="1">
      <c r="E2946" s="96"/>
    </row>
    <row r="2947" hidden="1">
      <c r="E2947" s="96"/>
    </row>
    <row r="2948" hidden="1">
      <c r="E2948" s="96"/>
    </row>
    <row r="2949" hidden="1">
      <c r="E2949" s="96"/>
    </row>
    <row r="2950" hidden="1">
      <c r="E2950" s="96"/>
    </row>
    <row r="2951" hidden="1">
      <c r="E2951" s="96"/>
    </row>
    <row r="2952" hidden="1">
      <c r="E2952" s="96"/>
    </row>
    <row r="2953" hidden="1">
      <c r="E2953" s="96"/>
    </row>
    <row r="2954" hidden="1">
      <c r="E2954" s="96"/>
    </row>
    <row r="2955" hidden="1">
      <c r="E2955" s="96"/>
    </row>
    <row r="2956" hidden="1">
      <c r="E2956" s="96"/>
    </row>
    <row r="2957" hidden="1">
      <c r="E2957" s="96"/>
    </row>
    <row r="2958" hidden="1">
      <c r="E2958" s="96"/>
    </row>
    <row r="2959" hidden="1">
      <c r="E2959" s="96"/>
    </row>
    <row r="2960" hidden="1">
      <c r="E2960" s="96"/>
    </row>
    <row r="2961" hidden="1">
      <c r="E2961" s="96"/>
    </row>
    <row r="2962" hidden="1">
      <c r="E2962" s="96"/>
    </row>
    <row r="2963" hidden="1">
      <c r="E2963" s="96"/>
    </row>
    <row r="2964" hidden="1">
      <c r="E2964" s="96"/>
    </row>
    <row r="2965" hidden="1">
      <c r="E2965" s="96"/>
    </row>
    <row r="2966" hidden="1">
      <c r="E2966" s="96"/>
    </row>
    <row r="2967" hidden="1">
      <c r="E2967" s="96"/>
    </row>
    <row r="2968" hidden="1">
      <c r="E2968" s="96"/>
    </row>
    <row r="2969" hidden="1">
      <c r="E2969" s="96"/>
    </row>
    <row r="2970" hidden="1">
      <c r="E2970" s="96"/>
    </row>
    <row r="2971" hidden="1">
      <c r="E2971" s="96"/>
    </row>
    <row r="2972" hidden="1">
      <c r="E2972" s="96"/>
    </row>
    <row r="2973" hidden="1">
      <c r="E2973" s="96"/>
    </row>
    <row r="2974" hidden="1">
      <c r="E2974" s="96"/>
    </row>
    <row r="2975" hidden="1">
      <c r="E2975" s="96"/>
    </row>
    <row r="2976" hidden="1">
      <c r="E2976" s="96"/>
    </row>
    <row r="2977" hidden="1">
      <c r="E2977" s="96"/>
    </row>
    <row r="2978" hidden="1">
      <c r="E2978" s="96"/>
    </row>
    <row r="2979" hidden="1">
      <c r="E2979" s="96"/>
    </row>
    <row r="2980" hidden="1">
      <c r="E2980" s="96"/>
    </row>
    <row r="2981" hidden="1">
      <c r="E2981" s="96"/>
    </row>
    <row r="2982" hidden="1">
      <c r="E2982" s="96"/>
    </row>
    <row r="2983" hidden="1">
      <c r="E2983" s="96"/>
    </row>
    <row r="2984" hidden="1">
      <c r="E2984" s="96"/>
    </row>
    <row r="2985" hidden="1">
      <c r="E2985" s="96"/>
    </row>
    <row r="2986" hidden="1">
      <c r="E2986" s="96"/>
    </row>
    <row r="2987" hidden="1">
      <c r="E2987" s="96"/>
    </row>
    <row r="2988" hidden="1">
      <c r="E2988" s="96"/>
    </row>
    <row r="2989" hidden="1">
      <c r="E2989" s="96"/>
    </row>
    <row r="2990" hidden="1">
      <c r="E2990" s="96"/>
    </row>
    <row r="2991" hidden="1">
      <c r="E2991" s="96"/>
    </row>
    <row r="2992" hidden="1">
      <c r="E2992" s="96"/>
    </row>
    <row r="2993" hidden="1">
      <c r="E2993" s="96"/>
    </row>
    <row r="2994" hidden="1">
      <c r="E2994" s="96"/>
    </row>
    <row r="2995" hidden="1">
      <c r="E2995" s="96"/>
    </row>
    <row r="2996" hidden="1">
      <c r="E2996" s="96"/>
    </row>
    <row r="2997" hidden="1">
      <c r="E2997" s="96"/>
    </row>
    <row r="2998" hidden="1">
      <c r="E2998" s="96"/>
    </row>
    <row r="2999" hidden="1">
      <c r="E2999" s="96"/>
    </row>
    <row r="3000" hidden="1">
      <c r="E3000" s="96"/>
    </row>
    <row r="3001" hidden="1">
      <c r="E3001" s="96"/>
    </row>
    <row r="3002" hidden="1">
      <c r="E3002" s="96"/>
    </row>
    <row r="3003" hidden="1">
      <c r="E3003" s="96"/>
    </row>
    <row r="3004" hidden="1">
      <c r="E3004" s="96"/>
    </row>
    <row r="3005" hidden="1">
      <c r="E3005" s="96"/>
    </row>
    <row r="3006" hidden="1">
      <c r="E3006" s="96"/>
    </row>
    <row r="3007" hidden="1">
      <c r="E3007" s="96"/>
    </row>
    <row r="3008" hidden="1">
      <c r="E3008" s="96"/>
    </row>
    <row r="3009" hidden="1">
      <c r="E3009" s="96"/>
    </row>
    <row r="3010" hidden="1">
      <c r="E3010" s="96"/>
    </row>
    <row r="3011" hidden="1">
      <c r="E3011" s="96"/>
    </row>
    <row r="3012" hidden="1">
      <c r="E3012" s="96"/>
    </row>
    <row r="3013" hidden="1">
      <c r="E3013" s="96"/>
    </row>
    <row r="3014" hidden="1">
      <c r="E3014" s="96"/>
    </row>
    <row r="3015" hidden="1">
      <c r="E3015" s="96"/>
    </row>
    <row r="3016" hidden="1">
      <c r="E3016" s="96"/>
    </row>
    <row r="3017" hidden="1">
      <c r="E3017" s="96"/>
    </row>
    <row r="3018" hidden="1">
      <c r="E3018" s="96"/>
    </row>
    <row r="3019" hidden="1">
      <c r="E3019" s="96"/>
    </row>
    <row r="3020" hidden="1">
      <c r="E3020" s="96"/>
    </row>
    <row r="3021" hidden="1">
      <c r="E3021" s="96"/>
    </row>
    <row r="3022" hidden="1">
      <c r="E3022" s="96"/>
    </row>
    <row r="3023" hidden="1">
      <c r="E3023" s="96"/>
    </row>
    <row r="3024" hidden="1">
      <c r="E3024" s="96"/>
    </row>
    <row r="3025" hidden="1">
      <c r="E3025" s="96"/>
    </row>
    <row r="3026" hidden="1">
      <c r="E3026" s="96"/>
    </row>
    <row r="3027" hidden="1">
      <c r="E3027" s="96"/>
    </row>
    <row r="3028" hidden="1">
      <c r="E3028" s="96"/>
    </row>
    <row r="3029" hidden="1">
      <c r="E3029" s="96"/>
    </row>
    <row r="3030" hidden="1">
      <c r="E3030" s="96"/>
    </row>
    <row r="3031" hidden="1">
      <c r="E3031" s="96"/>
    </row>
    <row r="3032" hidden="1">
      <c r="E3032" s="96"/>
    </row>
    <row r="3033" hidden="1">
      <c r="E3033" s="96"/>
    </row>
    <row r="3034" hidden="1">
      <c r="E3034" s="96"/>
    </row>
    <row r="3035" hidden="1">
      <c r="E3035" s="96"/>
    </row>
    <row r="3036" hidden="1">
      <c r="E3036" s="96"/>
    </row>
    <row r="3037" hidden="1">
      <c r="E3037" s="96"/>
    </row>
    <row r="3038" hidden="1">
      <c r="E3038" s="96"/>
    </row>
    <row r="3039" hidden="1">
      <c r="E3039" s="96"/>
    </row>
    <row r="3040" hidden="1">
      <c r="E3040" s="96"/>
    </row>
    <row r="3041" hidden="1">
      <c r="E3041" s="96"/>
    </row>
    <row r="3042" hidden="1">
      <c r="E3042" s="96"/>
    </row>
    <row r="3043" hidden="1">
      <c r="E3043" s="96"/>
    </row>
    <row r="3044" hidden="1">
      <c r="E3044" s="96"/>
    </row>
    <row r="3045" hidden="1">
      <c r="E3045" s="96"/>
    </row>
    <row r="3046" hidden="1">
      <c r="E3046" s="96"/>
    </row>
    <row r="3047" hidden="1">
      <c r="E3047" s="96"/>
    </row>
    <row r="3048" hidden="1">
      <c r="E3048" s="96"/>
    </row>
    <row r="3049" hidden="1">
      <c r="E3049" s="96"/>
    </row>
    <row r="3050" hidden="1">
      <c r="E3050" s="96"/>
    </row>
    <row r="3051" hidden="1">
      <c r="E3051" s="96"/>
    </row>
    <row r="3052" hidden="1">
      <c r="E3052" s="96"/>
    </row>
    <row r="3053" hidden="1">
      <c r="E3053" s="96"/>
    </row>
    <row r="3054" hidden="1">
      <c r="E3054" s="96"/>
    </row>
    <row r="3055" hidden="1">
      <c r="E3055" s="96"/>
    </row>
    <row r="3056" hidden="1">
      <c r="E3056" s="96"/>
    </row>
    <row r="3057" hidden="1">
      <c r="E3057" s="96"/>
    </row>
    <row r="3058" hidden="1">
      <c r="E3058" s="96"/>
    </row>
    <row r="3059" hidden="1">
      <c r="E3059" s="96"/>
    </row>
    <row r="3060" hidden="1">
      <c r="E3060" s="96"/>
    </row>
    <row r="3061" hidden="1">
      <c r="E3061" s="96"/>
    </row>
    <row r="3062" hidden="1">
      <c r="E3062" s="96"/>
    </row>
    <row r="3063" hidden="1">
      <c r="E3063" s="96"/>
    </row>
    <row r="3064" hidden="1">
      <c r="E3064" s="96"/>
    </row>
    <row r="3065" hidden="1">
      <c r="E3065" s="96"/>
    </row>
    <row r="3066" hidden="1">
      <c r="E3066" s="96"/>
    </row>
    <row r="3067" hidden="1">
      <c r="E3067" s="96"/>
    </row>
    <row r="3068" hidden="1">
      <c r="E3068" s="96"/>
    </row>
    <row r="3069" hidden="1">
      <c r="E3069" s="96"/>
    </row>
    <row r="3070" hidden="1">
      <c r="E3070" s="96"/>
    </row>
    <row r="3071" hidden="1">
      <c r="E3071" s="96"/>
    </row>
    <row r="3072" hidden="1">
      <c r="E3072" s="96"/>
    </row>
    <row r="3073" hidden="1">
      <c r="E3073" s="96"/>
    </row>
    <row r="3074" hidden="1">
      <c r="E3074" s="96"/>
    </row>
    <row r="3075" hidden="1">
      <c r="E3075" s="96"/>
    </row>
    <row r="3076" hidden="1">
      <c r="E3076" s="96"/>
    </row>
    <row r="3077" hidden="1">
      <c r="E3077" s="96"/>
    </row>
    <row r="3078" hidden="1">
      <c r="E3078" s="96"/>
    </row>
    <row r="3079" hidden="1">
      <c r="E3079" s="96"/>
    </row>
    <row r="3080" hidden="1">
      <c r="E3080" s="96"/>
    </row>
    <row r="3081" hidden="1">
      <c r="E3081" s="96"/>
    </row>
    <row r="3082" hidden="1">
      <c r="E3082" s="96"/>
    </row>
    <row r="3083" hidden="1">
      <c r="E3083" s="96"/>
    </row>
    <row r="3084" hidden="1">
      <c r="E3084" s="96"/>
    </row>
    <row r="3085" hidden="1">
      <c r="E3085" s="96"/>
    </row>
    <row r="3086" hidden="1">
      <c r="E3086" s="96"/>
    </row>
    <row r="3087" hidden="1">
      <c r="E3087" s="96"/>
    </row>
    <row r="3088" hidden="1">
      <c r="E3088" s="96"/>
    </row>
    <row r="3089" hidden="1">
      <c r="E3089" s="96"/>
    </row>
    <row r="3090" hidden="1">
      <c r="E3090" s="96"/>
    </row>
    <row r="3091" hidden="1">
      <c r="E3091" s="96"/>
    </row>
    <row r="3092" hidden="1">
      <c r="E3092" s="96"/>
    </row>
    <row r="3093" hidden="1">
      <c r="E3093" s="96"/>
    </row>
    <row r="3094" hidden="1">
      <c r="E3094" s="96"/>
    </row>
    <row r="3095" hidden="1">
      <c r="E3095" s="96"/>
    </row>
    <row r="3096" hidden="1">
      <c r="E3096" s="96"/>
    </row>
    <row r="3097" hidden="1">
      <c r="E3097" s="96"/>
    </row>
    <row r="3098" hidden="1">
      <c r="E3098" s="96"/>
    </row>
    <row r="3099" hidden="1">
      <c r="E3099" s="96"/>
    </row>
    <row r="3100" hidden="1">
      <c r="E3100" s="96"/>
    </row>
    <row r="3101" hidden="1">
      <c r="E3101" s="96"/>
    </row>
    <row r="3102" hidden="1">
      <c r="E3102" s="96"/>
    </row>
    <row r="3103" hidden="1">
      <c r="E3103" s="96"/>
    </row>
    <row r="3104" hidden="1">
      <c r="E3104" s="96"/>
    </row>
    <row r="3105" hidden="1">
      <c r="E3105" s="96"/>
    </row>
    <row r="3106" hidden="1">
      <c r="E3106" s="96"/>
    </row>
    <row r="3107" hidden="1">
      <c r="E3107" s="96"/>
    </row>
    <row r="3108" hidden="1">
      <c r="E3108" s="96"/>
    </row>
    <row r="3109" hidden="1">
      <c r="E3109" s="96"/>
    </row>
    <row r="3110" hidden="1">
      <c r="E3110" s="96"/>
    </row>
    <row r="3111" hidden="1">
      <c r="E3111" s="96"/>
    </row>
    <row r="3112" hidden="1">
      <c r="E3112" s="96"/>
    </row>
    <row r="3113" hidden="1">
      <c r="E3113" s="96"/>
    </row>
    <row r="3114" hidden="1">
      <c r="E3114" s="96"/>
    </row>
    <row r="3115" hidden="1">
      <c r="E3115" s="96"/>
    </row>
    <row r="3116" hidden="1">
      <c r="E3116" s="96"/>
    </row>
    <row r="3117" hidden="1">
      <c r="E3117" s="96"/>
    </row>
    <row r="3118" hidden="1">
      <c r="E3118" s="96"/>
    </row>
    <row r="3119" hidden="1">
      <c r="E3119" s="96"/>
    </row>
    <row r="3120" hidden="1">
      <c r="E3120" s="96"/>
    </row>
    <row r="3121" hidden="1">
      <c r="E3121" s="96"/>
    </row>
    <row r="3122" hidden="1">
      <c r="E3122" s="96"/>
    </row>
    <row r="3123" hidden="1">
      <c r="E3123" s="96"/>
    </row>
    <row r="3124" hidden="1">
      <c r="E3124" s="96"/>
    </row>
    <row r="3125" hidden="1">
      <c r="E3125" s="96"/>
    </row>
    <row r="3126" hidden="1">
      <c r="E3126" s="96"/>
    </row>
    <row r="3127" hidden="1">
      <c r="E3127" s="96"/>
    </row>
    <row r="3128" hidden="1">
      <c r="E3128" s="96"/>
    </row>
    <row r="3129" hidden="1">
      <c r="E3129" s="96"/>
    </row>
    <row r="3130" hidden="1">
      <c r="E3130" s="96"/>
    </row>
    <row r="3131" hidden="1">
      <c r="E3131" s="96"/>
    </row>
    <row r="3132" hidden="1">
      <c r="E3132" s="96"/>
    </row>
    <row r="3133" hidden="1">
      <c r="E3133" s="96"/>
    </row>
    <row r="3134" hidden="1">
      <c r="E3134" s="96"/>
    </row>
    <row r="3135" hidden="1">
      <c r="E3135" s="96"/>
    </row>
    <row r="3136" hidden="1">
      <c r="E3136" s="96"/>
    </row>
    <row r="3137" hidden="1">
      <c r="E3137" s="96"/>
    </row>
    <row r="3138" hidden="1">
      <c r="E3138" s="96"/>
    </row>
    <row r="3139" hidden="1">
      <c r="E3139" s="96"/>
    </row>
    <row r="3140" hidden="1">
      <c r="E3140" s="96"/>
    </row>
    <row r="3141" hidden="1">
      <c r="E3141" s="96"/>
    </row>
    <row r="3142" hidden="1">
      <c r="E3142" s="96"/>
    </row>
    <row r="3143" hidden="1">
      <c r="E3143" s="96"/>
    </row>
    <row r="3144" hidden="1">
      <c r="E3144" s="96"/>
    </row>
    <row r="3145" hidden="1">
      <c r="E3145" s="96"/>
    </row>
    <row r="3146" hidden="1">
      <c r="E3146" s="96"/>
    </row>
    <row r="3147" hidden="1">
      <c r="E3147" s="96"/>
    </row>
    <row r="3148" hidden="1">
      <c r="E3148" s="96"/>
    </row>
    <row r="3149" hidden="1">
      <c r="E3149" s="96"/>
    </row>
    <row r="3150" hidden="1">
      <c r="E3150" s="96"/>
    </row>
    <row r="3151" hidden="1">
      <c r="E3151" s="96"/>
    </row>
    <row r="3152" hidden="1">
      <c r="E3152" s="96"/>
    </row>
    <row r="3153" hidden="1">
      <c r="E3153" s="96"/>
    </row>
    <row r="3154" hidden="1">
      <c r="E3154" s="96"/>
    </row>
    <row r="3155" hidden="1">
      <c r="E3155" s="96"/>
    </row>
    <row r="3156" hidden="1">
      <c r="E3156" s="96"/>
    </row>
    <row r="3157" hidden="1">
      <c r="E3157" s="96"/>
    </row>
    <row r="3158" hidden="1">
      <c r="E3158" s="96"/>
    </row>
    <row r="3159" hidden="1">
      <c r="E3159" s="96"/>
    </row>
    <row r="3160" hidden="1">
      <c r="E3160" s="96"/>
    </row>
    <row r="3161" hidden="1">
      <c r="E3161" s="96"/>
    </row>
    <row r="3162" hidden="1">
      <c r="E3162" s="96"/>
    </row>
    <row r="3163" hidden="1">
      <c r="E3163" s="96"/>
    </row>
    <row r="3164" hidden="1">
      <c r="E3164" s="96"/>
    </row>
    <row r="3165" hidden="1">
      <c r="E3165" s="96"/>
    </row>
    <row r="3166" hidden="1">
      <c r="E3166" s="96"/>
    </row>
    <row r="3167" hidden="1">
      <c r="E3167" s="96"/>
    </row>
    <row r="3168" hidden="1">
      <c r="E3168" s="96"/>
    </row>
    <row r="3169" hidden="1">
      <c r="E3169" s="96"/>
    </row>
    <row r="3170" hidden="1">
      <c r="E3170" s="96"/>
    </row>
    <row r="3171" hidden="1">
      <c r="E3171" s="96"/>
    </row>
    <row r="3172" hidden="1">
      <c r="E3172" s="96"/>
    </row>
    <row r="3173" hidden="1">
      <c r="E3173" s="96"/>
    </row>
    <row r="3174" hidden="1">
      <c r="E3174" s="96"/>
    </row>
    <row r="3175" hidden="1">
      <c r="E3175" s="96"/>
    </row>
    <row r="3176" hidden="1">
      <c r="E3176" s="96"/>
    </row>
    <row r="3177" hidden="1">
      <c r="E3177" s="96"/>
    </row>
    <row r="3178" hidden="1">
      <c r="E3178" s="96"/>
    </row>
    <row r="3179" hidden="1">
      <c r="E3179" s="96"/>
    </row>
    <row r="3180" hidden="1">
      <c r="E3180" s="96"/>
    </row>
    <row r="3181" hidden="1">
      <c r="E3181" s="96"/>
    </row>
    <row r="3182" hidden="1">
      <c r="E3182" s="96"/>
    </row>
    <row r="3183" hidden="1">
      <c r="E3183" s="96"/>
    </row>
    <row r="3184" hidden="1">
      <c r="E3184" s="96"/>
    </row>
    <row r="3185" hidden="1">
      <c r="E3185" s="96"/>
    </row>
    <row r="3186" hidden="1">
      <c r="E3186" s="96"/>
    </row>
    <row r="3187" hidden="1">
      <c r="E3187" s="96"/>
    </row>
    <row r="3188" hidden="1">
      <c r="E3188" s="96"/>
    </row>
    <row r="3189" hidden="1">
      <c r="E3189" s="96"/>
    </row>
    <row r="3190" hidden="1">
      <c r="E3190" s="96"/>
    </row>
    <row r="3191" hidden="1">
      <c r="E3191" s="96"/>
    </row>
    <row r="3192" hidden="1">
      <c r="E3192" s="96"/>
    </row>
    <row r="3193" hidden="1">
      <c r="E3193" s="96"/>
    </row>
    <row r="3194" hidden="1">
      <c r="E3194" s="96"/>
    </row>
    <row r="3195" hidden="1">
      <c r="E3195" s="96"/>
    </row>
    <row r="3196" hidden="1">
      <c r="E3196" s="96"/>
    </row>
    <row r="3197" hidden="1">
      <c r="E3197" s="96"/>
    </row>
    <row r="3198" hidden="1">
      <c r="E3198" s="96"/>
    </row>
    <row r="3199" hidden="1">
      <c r="E3199" s="96"/>
    </row>
    <row r="3200" hidden="1">
      <c r="E3200" s="96"/>
    </row>
    <row r="3201" hidden="1">
      <c r="E3201" s="96"/>
    </row>
    <row r="3202" hidden="1">
      <c r="E3202" s="96"/>
    </row>
    <row r="3203" hidden="1">
      <c r="E3203" s="96"/>
    </row>
    <row r="3204" hidden="1">
      <c r="E3204" s="96"/>
    </row>
    <row r="3205" hidden="1">
      <c r="E3205" s="96"/>
    </row>
    <row r="3206" hidden="1">
      <c r="E3206" s="96"/>
    </row>
    <row r="3207" hidden="1">
      <c r="E3207" s="96"/>
    </row>
    <row r="3208" hidden="1">
      <c r="E3208" s="96"/>
    </row>
    <row r="3209" hidden="1">
      <c r="E3209" s="96"/>
    </row>
    <row r="3210" hidden="1">
      <c r="E3210" s="96"/>
    </row>
    <row r="3211" hidden="1">
      <c r="E3211" s="96"/>
    </row>
    <row r="3212" hidden="1">
      <c r="E3212" s="96"/>
    </row>
    <row r="3213" hidden="1">
      <c r="E3213" s="96"/>
    </row>
    <row r="3214" hidden="1">
      <c r="E3214" s="96"/>
    </row>
    <row r="3215" hidden="1">
      <c r="E3215" s="96"/>
    </row>
    <row r="3216" hidden="1">
      <c r="E3216" s="96"/>
    </row>
    <row r="3217" hidden="1">
      <c r="E3217" s="96"/>
    </row>
    <row r="3218" hidden="1">
      <c r="E3218" s="96"/>
    </row>
    <row r="3219" hidden="1">
      <c r="E3219" s="96"/>
    </row>
    <row r="3220" hidden="1">
      <c r="E3220" s="96"/>
    </row>
    <row r="3221" hidden="1">
      <c r="E3221" s="96"/>
    </row>
    <row r="3222" hidden="1">
      <c r="E3222" s="96"/>
    </row>
    <row r="3223" hidden="1">
      <c r="E3223" s="96"/>
    </row>
    <row r="3224" hidden="1">
      <c r="E3224" s="96"/>
    </row>
    <row r="3225" hidden="1">
      <c r="E3225" s="96"/>
    </row>
    <row r="3226" hidden="1">
      <c r="E3226" s="96"/>
    </row>
    <row r="3227" hidden="1">
      <c r="E3227" s="96"/>
    </row>
    <row r="3228" hidden="1">
      <c r="E3228" s="96"/>
    </row>
    <row r="3229" hidden="1">
      <c r="E3229" s="96"/>
    </row>
    <row r="3230" hidden="1">
      <c r="E3230" s="96"/>
    </row>
    <row r="3231" hidden="1">
      <c r="E3231" s="96"/>
    </row>
    <row r="3232" hidden="1">
      <c r="E3232" s="96"/>
    </row>
    <row r="3233" hidden="1">
      <c r="E3233" s="96"/>
    </row>
    <row r="3234" hidden="1">
      <c r="E3234" s="96"/>
    </row>
    <row r="3235" hidden="1">
      <c r="E3235" s="96"/>
    </row>
    <row r="3236" hidden="1">
      <c r="E3236" s="96"/>
    </row>
    <row r="3237" hidden="1">
      <c r="E3237" s="96"/>
    </row>
    <row r="3238" hidden="1">
      <c r="E3238" s="96"/>
    </row>
    <row r="3239" hidden="1">
      <c r="E3239" s="96"/>
    </row>
    <row r="3240" hidden="1">
      <c r="E3240" s="96"/>
    </row>
    <row r="3241" hidden="1">
      <c r="E3241" s="96"/>
    </row>
    <row r="3242" hidden="1">
      <c r="E3242" s="96"/>
    </row>
    <row r="3243" hidden="1">
      <c r="E3243" s="96"/>
    </row>
    <row r="3244" hidden="1">
      <c r="E3244" s="96"/>
    </row>
    <row r="3245" hidden="1">
      <c r="E3245" s="96"/>
    </row>
    <row r="3246" hidden="1">
      <c r="E3246" s="96"/>
    </row>
    <row r="3247" hidden="1">
      <c r="E3247" s="96"/>
    </row>
    <row r="3248" hidden="1">
      <c r="E3248" s="96"/>
    </row>
    <row r="3249" hidden="1">
      <c r="E3249" s="96"/>
    </row>
    <row r="3250" hidden="1">
      <c r="E3250" s="96"/>
    </row>
    <row r="3251" hidden="1">
      <c r="E3251" s="96"/>
    </row>
    <row r="3252" hidden="1">
      <c r="E3252" s="96"/>
    </row>
    <row r="3253" hidden="1">
      <c r="E3253" s="96"/>
    </row>
    <row r="3254" hidden="1">
      <c r="E3254" s="96"/>
    </row>
    <row r="3255" hidden="1">
      <c r="E3255" s="96"/>
    </row>
    <row r="3256" hidden="1">
      <c r="E3256" s="96"/>
    </row>
    <row r="3257" hidden="1">
      <c r="E3257" s="96"/>
    </row>
    <row r="3258" hidden="1">
      <c r="E3258" s="96"/>
    </row>
    <row r="3259" hidden="1">
      <c r="E3259" s="96"/>
    </row>
    <row r="3260" hidden="1">
      <c r="E3260" s="96"/>
    </row>
    <row r="3261" hidden="1">
      <c r="E3261" s="96"/>
    </row>
    <row r="3262" hidden="1">
      <c r="E3262" s="96"/>
    </row>
    <row r="3263" hidden="1">
      <c r="E3263" s="96"/>
    </row>
    <row r="3264" hidden="1">
      <c r="E3264" s="96"/>
    </row>
    <row r="3265" hidden="1">
      <c r="E3265" s="96"/>
    </row>
    <row r="3266" hidden="1">
      <c r="E3266" s="96"/>
    </row>
    <row r="3267" hidden="1">
      <c r="E3267" s="96"/>
    </row>
    <row r="3268" hidden="1">
      <c r="E3268" s="96"/>
    </row>
    <row r="3269" hidden="1">
      <c r="E3269" s="96"/>
    </row>
    <row r="3270" hidden="1">
      <c r="E3270" s="96"/>
    </row>
    <row r="3271" hidden="1">
      <c r="E3271" s="96"/>
    </row>
    <row r="3272" hidden="1">
      <c r="E3272" s="96"/>
    </row>
    <row r="3273" hidden="1">
      <c r="E3273" s="96"/>
    </row>
    <row r="3274" hidden="1">
      <c r="E3274" s="96"/>
    </row>
    <row r="3275" hidden="1">
      <c r="E3275" s="96"/>
    </row>
    <row r="3276" hidden="1">
      <c r="E3276" s="96"/>
    </row>
    <row r="3277" hidden="1">
      <c r="E3277" s="96"/>
    </row>
    <row r="3278" hidden="1">
      <c r="E3278" s="96"/>
    </row>
    <row r="3279" hidden="1">
      <c r="E3279" s="96"/>
    </row>
    <row r="3280" hidden="1">
      <c r="E3280" s="96"/>
    </row>
    <row r="3281" hidden="1">
      <c r="E3281" s="96"/>
    </row>
    <row r="3282" hidden="1">
      <c r="E3282" s="96"/>
    </row>
    <row r="3283" hidden="1">
      <c r="E3283" s="96"/>
    </row>
    <row r="3284" hidden="1">
      <c r="E3284" s="96"/>
    </row>
    <row r="3285" hidden="1">
      <c r="E3285" s="96"/>
    </row>
    <row r="3286" hidden="1">
      <c r="E3286" s="96"/>
    </row>
    <row r="3287" hidden="1">
      <c r="E3287" s="96"/>
    </row>
    <row r="3288" hidden="1">
      <c r="E3288" s="96"/>
    </row>
    <row r="3289" hidden="1">
      <c r="E3289" s="96"/>
    </row>
    <row r="3290" hidden="1">
      <c r="E3290" s="96"/>
    </row>
    <row r="3291" hidden="1">
      <c r="E3291" s="96"/>
    </row>
    <row r="3292" hidden="1">
      <c r="E3292" s="96"/>
    </row>
    <row r="3293" hidden="1">
      <c r="E3293" s="96"/>
    </row>
    <row r="3294" hidden="1">
      <c r="E3294" s="96"/>
    </row>
    <row r="3295" hidden="1">
      <c r="E3295" s="96"/>
    </row>
    <row r="3296" hidden="1">
      <c r="E3296" s="96"/>
    </row>
    <row r="3297" hidden="1">
      <c r="E3297" s="96"/>
    </row>
    <row r="3298" hidden="1">
      <c r="E3298" s="96"/>
    </row>
    <row r="3299" hidden="1">
      <c r="E3299" s="96"/>
    </row>
    <row r="3300" hidden="1">
      <c r="E3300" s="96"/>
    </row>
    <row r="3301" hidden="1">
      <c r="E3301" s="96"/>
    </row>
    <row r="3302" hidden="1">
      <c r="E3302" s="96"/>
    </row>
    <row r="3303" hidden="1">
      <c r="E3303" s="96"/>
    </row>
    <row r="3304" hidden="1">
      <c r="E3304" s="96"/>
    </row>
    <row r="3305" hidden="1">
      <c r="E3305" s="96"/>
    </row>
    <row r="3306" hidden="1">
      <c r="E3306" s="96"/>
    </row>
    <row r="3307" hidden="1">
      <c r="E3307" s="96"/>
    </row>
    <row r="3308" hidden="1">
      <c r="E3308" s="96"/>
    </row>
    <row r="3309" hidden="1">
      <c r="E3309" s="96"/>
    </row>
    <row r="3310" hidden="1">
      <c r="E3310" s="96"/>
    </row>
    <row r="3311" hidden="1">
      <c r="E3311" s="96"/>
    </row>
    <row r="3312" hidden="1">
      <c r="E3312" s="96"/>
    </row>
    <row r="3313" hidden="1">
      <c r="E3313" s="96"/>
    </row>
    <row r="3314" hidden="1">
      <c r="E3314" s="96"/>
    </row>
    <row r="3315" hidden="1">
      <c r="E3315" s="96"/>
    </row>
    <row r="3316" hidden="1">
      <c r="E3316" s="96"/>
    </row>
    <row r="3317" hidden="1">
      <c r="E3317" s="96"/>
    </row>
    <row r="3318" hidden="1">
      <c r="E3318" s="96"/>
    </row>
    <row r="3319" hidden="1">
      <c r="E3319" s="96"/>
    </row>
    <row r="3320" hidden="1">
      <c r="E3320" s="96"/>
    </row>
    <row r="3321" hidden="1">
      <c r="E3321" s="96"/>
    </row>
    <row r="3322" hidden="1">
      <c r="E3322" s="96"/>
    </row>
    <row r="3323" hidden="1">
      <c r="E3323" s="96"/>
    </row>
    <row r="3324" hidden="1">
      <c r="E3324" s="96"/>
    </row>
    <row r="3325" hidden="1">
      <c r="E3325" s="96"/>
    </row>
    <row r="3326" hidden="1">
      <c r="E3326" s="96"/>
    </row>
    <row r="3327" hidden="1">
      <c r="E3327" s="96"/>
    </row>
    <row r="3328" hidden="1">
      <c r="E3328" s="96"/>
    </row>
    <row r="3329" hidden="1">
      <c r="E3329" s="96"/>
    </row>
    <row r="3330" hidden="1">
      <c r="E3330" s="96"/>
    </row>
    <row r="3331" hidden="1">
      <c r="E3331" s="96"/>
    </row>
    <row r="3332" hidden="1">
      <c r="E3332" s="96"/>
    </row>
    <row r="3333" hidden="1">
      <c r="E3333" s="96"/>
    </row>
    <row r="3334" hidden="1">
      <c r="E3334" s="96"/>
    </row>
    <row r="3335" hidden="1">
      <c r="E3335" s="96"/>
    </row>
    <row r="3336" hidden="1">
      <c r="E3336" s="96"/>
    </row>
    <row r="3337" hidden="1">
      <c r="E3337" s="96"/>
    </row>
    <row r="3338" hidden="1">
      <c r="E3338" s="96"/>
    </row>
    <row r="3339" hidden="1">
      <c r="E3339" s="96"/>
    </row>
    <row r="3340" hidden="1">
      <c r="E3340" s="96"/>
    </row>
    <row r="3341" hidden="1">
      <c r="E3341" s="96"/>
    </row>
    <row r="3342" hidden="1">
      <c r="E3342" s="96"/>
    </row>
    <row r="3343" hidden="1">
      <c r="E3343" s="96"/>
    </row>
    <row r="3344" hidden="1">
      <c r="E3344" s="96"/>
    </row>
    <row r="3345" hidden="1">
      <c r="E3345" s="96"/>
    </row>
    <row r="3346" hidden="1">
      <c r="E3346" s="96"/>
    </row>
    <row r="3347" hidden="1">
      <c r="E3347" s="96"/>
    </row>
    <row r="3348" hidden="1">
      <c r="E3348" s="96"/>
    </row>
    <row r="3349" hidden="1">
      <c r="E3349" s="96"/>
    </row>
    <row r="3350" hidden="1">
      <c r="E3350" s="96"/>
    </row>
    <row r="3351" hidden="1">
      <c r="E3351" s="96"/>
    </row>
    <row r="3352" hidden="1">
      <c r="E3352" s="96"/>
    </row>
    <row r="3353" hidden="1">
      <c r="E3353" s="96"/>
    </row>
    <row r="3354" hidden="1">
      <c r="E3354" s="96"/>
    </row>
    <row r="3355" hidden="1">
      <c r="E3355" s="96"/>
    </row>
    <row r="3356" hidden="1">
      <c r="E3356" s="96"/>
    </row>
    <row r="3357" hidden="1">
      <c r="E3357" s="96"/>
    </row>
    <row r="3358" hidden="1">
      <c r="E3358" s="96"/>
    </row>
    <row r="3359" hidden="1">
      <c r="E3359" s="96"/>
    </row>
    <row r="3360" hidden="1">
      <c r="E3360" s="96"/>
    </row>
    <row r="3361" hidden="1">
      <c r="E3361" s="96"/>
    </row>
    <row r="3362" hidden="1">
      <c r="E3362" s="96"/>
    </row>
    <row r="3363" hidden="1">
      <c r="E3363" s="96"/>
    </row>
    <row r="3364" hidden="1">
      <c r="E3364" s="96"/>
    </row>
    <row r="3365" hidden="1">
      <c r="E3365" s="96"/>
    </row>
    <row r="3366" hidden="1">
      <c r="E3366" s="96"/>
    </row>
    <row r="3367" hidden="1">
      <c r="E3367" s="96"/>
    </row>
    <row r="3368" hidden="1">
      <c r="E3368" s="96"/>
    </row>
    <row r="3369" hidden="1">
      <c r="E3369" s="96"/>
    </row>
    <row r="3370" hidden="1">
      <c r="E3370" s="96"/>
    </row>
    <row r="3371" hidden="1">
      <c r="E3371" s="96"/>
    </row>
    <row r="3372" hidden="1">
      <c r="E3372" s="96"/>
    </row>
    <row r="3373" hidden="1">
      <c r="E3373" s="96"/>
    </row>
    <row r="3374" hidden="1">
      <c r="E3374" s="96"/>
    </row>
    <row r="3375" hidden="1">
      <c r="E3375" s="96"/>
    </row>
    <row r="3376" hidden="1">
      <c r="E3376" s="96"/>
    </row>
    <row r="3377" hidden="1">
      <c r="E3377" s="96"/>
    </row>
    <row r="3378" hidden="1">
      <c r="E3378" s="96"/>
    </row>
    <row r="3379" hidden="1">
      <c r="E3379" s="96"/>
    </row>
    <row r="3380" hidden="1">
      <c r="E3380" s="96"/>
    </row>
    <row r="3381" hidden="1">
      <c r="E3381" s="96"/>
    </row>
    <row r="3382" hidden="1">
      <c r="E3382" s="96"/>
    </row>
    <row r="3383" hidden="1">
      <c r="E3383" s="96"/>
    </row>
    <row r="3384" hidden="1">
      <c r="E3384" s="96"/>
    </row>
    <row r="3385" hidden="1">
      <c r="E3385" s="96"/>
    </row>
    <row r="3386" hidden="1">
      <c r="E3386" s="96"/>
    </row>
    <row r="3387" hidden="1">
      <c r="E3387" s="96"/>
    </row>
    <row r="3388" hidden="1">
      <c r="E3388" s="96"/>
    </row>
    <row r="3389" hidden="1">
      <c r="E3389" s="96"/>
    </row>
    <row r="3390" hidden="1">
      <c r="E3390" s="96"/>
    </row>
    <row r="3391" hidden="1">
      <c r="E3391" s="96"/>
    </row>
    <row r="3392" hidden="1">
      <c r="E3392" s="96"/>
    </row>
    <row r="3393" hidden="1">
      <c r="E3393" s="96"/>
    </row>
    <row r="3394" hidden="1">
      <c r="E3394" s="96"/>
    </row>
    <row r="3395" hidden="1">
      <c r="E3395" s="96"/>
    </row>
    <row r="3396" hidden="1">
      <c r="E3396" s="96"/>
    </row>
    <row r="3397" hidden="1">
      <c r="E3397" s="96"/>
    </row>
    <row r="3398" hidden="1">
      <c r="E3398" s="96"/>
    </row>
    <row r="3399" hidden="1">
      <c r="E3399" s="96"/>
    </row>
    <row r="3400" hidden="1">
      <c r="E3400" s="96"/>
    </row>
    <row r="3401" hidden="1">
      <c r="E3401" s="96"/>
    </row>
    <row r="3402" hidden="1">
      <c r="E3402" s="96"/>
    </row>
    <row r="3403" hidden="1">
      <c r="E3403" s="96"/>
    </row>
    <row r="3404" hidden="1">
      <c r="E3404" s="96"/>
    </row>
    <row r="3405" hidden="1">
      <c r="E3405" s="96"/>
    </row>
    <row r="3406" hidden="1">
      <c r="E3406" s="96"/>
    </row>
    <row r="3407" hidden="1">
      <c r="E3407" s="96"/>
    </row>
    <row r="3408" hidden="1">
      <c r="E3408" s="96"/>
    </row>
    <row r="3409" hidden="1">
      <c r="E3409" s="96"/>
    </row>
    <row r="3410" hidden="1">
      <c r="E3410" s="96"/>
    </row>
    <row r="3411" hidden="1">
      <c r="E3411" s="96"/>
    </row>
    <row r="3412" hidden="1">
      <c r="E3412" s="96"/>
    </row>
    <row r="3413" hidden="1">
      <c r="E3413" s="96"/>
    </row>
    <row r="3414" hidden="1">
      <c r="E3414" s="96"/>
    </row>
    <row r="3415" hidden="1">
      <c r="E3415" s="96"/>
    </row>
    <row r="3416" hidden="1">
      <c r="E3416" s="96"/>
    </row>
    <row r="3417" hidden="1">
      <c r="E3417" s="96"/>
    </row>
    <row r="3418" hidden="1">
      <c r="E3418" s="96"/>
    </row>
    <row r="3419" hidden="1">
      <c r="E3419" s="96"/>
    </row>
    <row r="3420" hidden="1">
      <c r="E3420" s="96"/>
    </row>
    <row r="3421" hidden="1">
      <c r="E3421" s="96"/>
    </row>
    <row r="3422" hidden="1">
      <c r="E3422" s="96"/>
    </row>
    <row r="3423" hidden="1">
      <c r="E3423" s="96"/>
    </row>
    <row r="3424" hidden="1">
      <c r="E3424" s="96"/>
    </row>
    <row r="3425" hidden="1">
      <c r="E3425" s="96"/>
    </row>
    <row r="3426" hidden="1">
      <c r="E3426" s="96"/>
    </row>
    <row r="3427" hidden="1">
      <c r="E3427" s="96"/>
    </row>
    <row r="3428" hidden="1">
      <c r="E3428" s="96"/>
    </row>
    <row r="3429" hidden="1">
      <c r="E3429" s="96"/>
    </row>
    <row r="3430" hidden="1">
      <c r="E3430" s="96"/>
    </row>
    <row r="3431" hidden="1">
      <c r="E3431" s="96"/>
    </row>
    <row r="3432" hidden="1">
      <c r="E3432" s="96"/>
    </row>
    <row r="3433" hidden="1">
      <c r="E3433" s="96"/>
    </row>
    <row r="3434" hidden="1">
      <c r="E3434" s="96"/>
    </row>
    <row r="3435" hidden="1">
      <c r="E3435" s="96"/>
    </row>
    <row r="3436" hidden="1">
      <c r="E3436" s="96"/>
    </row>
    <row r="3437" hidden="1">
      <c r="E3437" s="96"/>
    </row>
    <row r="3438" hidden="1">
      <c r="E3438" s="96"/>
    </row>
    <row r="3439" hidden="1">
      <c r="E3439" s="96"/>
    </row>
    <row r="3440" hidden="1">
      <c r="E3440" s="96"/>
    </row>
    <row r="3441" hidden="1">
      <c r="E3441" s="96"/>
    </row>
    <row r="3442" hidden="1">
      <c r="E3442" s="96"/>
    </row>
    <row r="3443" hidden="1">
      <c r="E3443" s="96"/>
    </row>
    <row r="3444" hidden="1">
      <c r="E3444" s="96"/>
    </row>
    <row r="3445" hidden="1">
      <c r="E3445" s="96"/>
    </row>
    <row r="3446" hidden="1">
      <c r="E3446" s="96"/>
    </row>
    <row r="3447" hidden="1">
      <c r="E3447" s="96"/>
    </row>
    <row r="3448" hidden="1">
      <c r="E3448" s="96"/>
    </row>
    <row r="3449" hidden="1">
      <c r="E3449" s="96"/>
    </row>
    <row r="3450" hidden="1">
      <c r="E3450" s="96"/>
    </row>
    <row r="3451" hidden="1">
      <c r="E3451" s="96"/>
    </row>
    <row r="3452" hidden="1">
      <c r="E3452" s="96"/>
    </row>
    <row r="3453" hidden="1">
      <c r="E3453" s="96"/>
    </row>
    <row r="3454" hidden="1">
      <c r="E3454" s="96"/>
    </row>
    <row r="3455" hidden="1">
      <c r="E3455" s="96"/>
    </row>
    <row r="3456" hidden="1">
      <c r="E3456" s="96"/>
    </row>
    <row r="3457" hidden="1">
      <c r="E3457" s="96"/>
    </row>
    <row r="3458" hidden="1">
      <c r="E3458" s="96"/>
    </row>
    <row r="3459" hidden="1">
      <c r="E3459" s="96"/>
    </row>
    <row r="3460" hidden="1">
      <c r="E3460" s="96"/>
    </row>
    <row r="3461" hidden="1">
      <c r="E3461" s="96"/>
    </row>
    <row r="3462" hidden="1">
      <c r="E3462" s="96"/>
    </row>
    <row r="3463" hidden="1">
      <c r="E3463" s="96"/>
    </row>
    <row r="3464" hidden="1">
      <c r="E3464" s="96"/>
    </row>
    <row r="3465" hidden="1">
      <c r="E3465" s="96"/>
    </row>
    <row r="3466" hidden="1">
      <c r="E3466" s="96"/>
    </row>
    <row r="3467" hidden="1">
      <c r="E3467" s="96"/>
    </row>
    <row r="3468" hidden="1">
      <c r="E3468" s="96"/>
    </row>
    <row r="3469" hidden="1">
      <c r="E3469" s="96"/>
    </row>
    <row r="3470" hidden="1">
      <c r="E3470" s="96"/>
    </row>
    <row r="3471" hidden="1">
      <c r="E3471" s="96"/>
    </row>
    <row r="3472" hidden="1">
      <c r="E3472" s="96"/>
    </row>
    <row r="3473" hidden="1">
      <c r="E3473" s="96"/>
    </row>
    <row r="3474" hidden="1">
      <c r="E3474" s="96"/>
    </row>
    <row r="3475" hidden="1">
      <c r="E3475" s="96"/>
    </row>
    <row r="3476" hidden="1">
      <c r="E3476" s="96"/>
    </row>
    <row r="3477" hidden="1">
      <c r="E3477" s="96"/>
    </row>
    <row r="3478" hidden="1">
      <c r="E3478" s="96"/>
    </row>
    <row r="3479" hidden="1">
      <c r="E3479" s="96"/>
    </row>
    <row r="3480" hidden="1">
      <c r="E3480" s="96"/>
    </row>
    <row r="3481" hidden="1">
      <c r="E3481" s="96"/>
    </row>
    <row r="3482" hidden="1">
      <c r="E3482" s="96"/>
    </row>
    <row r="3483" hidden="1">
      <c r="E3483" s="96"/>
    </row>
    <row r="3484" hidden="1">
      <c r="E3484" s="96"/>
    </row>
    <row r="3485" hidden="1">
      <c r="E3485" s="96"/>
    </row>
    <row r="3486" hidden="1">
      <c r="E3486" s="96"/>
    </row>
    <row r="3487" hidden="1">
      <c r="E3487" s="96"/>
    </row>
    <row r="3488" hidden="1">
      <c r="E3488" s="96"/>
    </row>
    <row r="3489" hidden="1">
      <c r="E3489" s="96"/>
    </row>
    <row r="3490" hidden="1">
      <c r="E3490" s="96"/>
    </row>
    <row r="3491" hidden="1">
      <c r="E3491" s="96"/>
    </row>
    <row r="3492" hidden="1">
      <c r="E3492" s="96"/>
    </row>
    <row r="3493" hidden="1">
      <c r="E3493" s="96"/>
    </row>
    <row r="3494" hidden="1">
      <c r="E3494" s="96"/>
    </row>
    <row r="3495" hidden="1">
      <c r="E3495" s="96"/>
    </row>
    <row r="3496" hidden="1">
      <c r="E3496" s="96"/>
    </row>
    <row r="3497" hidden="1">
      <c r="E3497" s="96"/>
    </row>
    <row r="3498" hidden="1">
      <c r="E3498" s="96"/>
    </row>
    <row r="3499" hidden="1">
      <c r="E3499" s="96"/>
    </row>
    <row r="3500" hidden="1">
      <c r="E3500" s="96"/>
    </row>
    <row r="3501" hidden="1">
      <c r="E3501" s="96"/>
    </row>
    <row r="3502" hidden="1">
      <c r="E3502" s="96"/>
    </row>
    <row r="3503" hidden="1">
      <c r="E3503" s="96"/>
    </row>
    <row r="3504" hidden="1">
      <c r="E3504" s="96"/>
    </row>
    <row r="3505" hidden="1">
      <c r="E3505" s="96"/>
    </row>
    <row r="3506" hidden="1">
      <c r="E3506" s="96"/>
    </row>
    <row r="3507" hidden="1">
      <c r="E3507" s="96"/>
    </row>
    <row r="3508" hidden="1">
      <c r="E3508" s="96"/>
    </row>
    <row r="3509" hidden="1">
      <c r="E3509" s="96"/>
    </row>
    <row r="3510" hidden="1">
      <c r="E3510" s="96"/>
    </row>
    <row r="3511" hidden="1">
      <c r="E3511" s="96"/>
    </row>
    <row r="3512" hidden="1">
      <c r="E3512" s="96"/>
    </row>
    <row r="3513" hidden="1">
      <c r="E3513" s="96"/>
    </row>
    <row r="3514" hidden="1">
      <c r="E3514" s="96"/>
    </row>
    <row r="3515" hidden="1">
      <c r="E3515" s="96"/>
    </row>
    <row r="3516" hidden="1">
      <c r="E3516" s="96"/>
    </row>
    <row r="3517" hidden="1">
      <c r="E3517" s="96"/>
    </row>
    <row r="3518" hidden="1">
      <c r="E3518" s="96"/>
    </row>
    <row r="3519" hidden="1">
      <c r="E3519" s="96"/>
    </row>
    <row r="3520" hidden="1">
      <c r="E3520" s="96"/>
    </row>
    <row r="3521" hidden="1">
      <c r="E3521" s="96"/>
    </row>
    <row r="3522" hidden="1">
      <c r="E3522" s="96"/>
    </row>
    <row r="3523" hidden="1">
      <c r="E3523" s="96"/>
    </row>
    <row r="3524" hidden="1">
      <c r="E3524" s="96"/>
    </row>
    <row r="3525" hidden="1">
      <c r="E3525" s="96"/>
    </row>
    <row r="3526" hidden="1">
      <c r="E3526" s="96"/>
    </row>
    <row r="3527" hidden="1">
      <c r="E3527" s="96"/>
    </row>
    <row r="3528" hidden="1">
      <c r="E3528" s="96"/>
    </row>
    <row r="3529" hidden="1">
      <c r="E3529" s="96"/>
    </row>
    <row r="3530" hidden="1">
      <c r="E3530" s="96"/>
    </row>
    <row r="3531" hidden="1">
      <c r="E3531" s="96"/>
    </row>
    <row r="3532" hidden="1">
      <c r="E3532" s="96"/>
    </row>
    <row r="3533" hidden="1">
      <c r="E3533" s="96"/>
    </row>
    <row r="3534" hidden="1">
      <c r="E3534" s="96"/>
    </row>
    <row r="3535" hidden="1">
      <c r="E3535" s="96"/>
    </row>
    <row r="3536" hidden="1">
      <c r="E3536" s="96"/>
    </row>
    <row r="3537" hidden="1">
      <c r="E3537" s="96"/>
    </row>
    <row r="3538" hidden="1">
      <c r="E3538" s="96"/>
    </row>
    <row r="3539" hidden="1">
      <c r="E3539" s="96"/>
    </row>
    <row r="3540" hidden="1">
      <c r="E3540" s="96"/>
    </row>
    <row r="3541" hidden="1">
      <c r="E3541" s="96"/>
    </row>
    <row r="3542" hidden="1">
      <c r="E3542" s="96"/>
    </row>
    <row r="3543" hidden="1">
      <c r="E3543" s="96"/>
    </row>
    <row r="3544" hidden="1">
      <c r="E3544" s="96"/>
    </row>
    <row r="3545" hidden="1">
      <c r="E3545" s="96"/>
    </row>
    <row r="3546" hidden="1">
      <c r="E3546" s="96"/>
    </row>
    <row r="3547" hidden="1">
      <c r="E3547" s="96"/>
    </row>
    <row r="3548" hidden="1">
      <c r="E3548" s="96"/>
    </row>
    <row r="3549" hidden="1">
      <c r="E3549" s="96"/>
    </row>
    <row r="3550" hidden="1">
      <c r="E3550" s="96"/>
    </row>
    <row r="3551" hidden="1">
      <c r="E3551" s="96"/>
    </row>
    <row r="3552" hidden="1">
      <c r="E3552" s="96"/>
    </row>
    <row r="3553" hidden="1">
      <c r="E3553" s="96"/>
    </row>
    <row r="3554" hidden="1">
      <c r="E3554" s="96"/>
    </row>
    <row r="3555" hidden="1">
      <c r="E3555" s="96"/>
    </row>
    <row r="3556" hidden="1">
      <c r="E3556" s="96"/>
    </row>
    <row r="3557" hidden="1">
      <c r="E3557" s="96"/>
    </row>
    <row r="3558" hidden="1">
      <c r="E3558" s="96"/>
    </row>
    <row r="3559" hidden="1">
      <c r="E3559" s="96"/>
    </row>
    <row r="3560" hidden="1">
      <c r="E3560" s="96"/>
    </row>
    <row r="3561" hidden="1">
      <c r="E3561" s="96"/>
    </row>
    <row r="3562" hidden="1">
      <c r="E3562" s="96"/>
    </row>
    <row r="3563" hidden="1">
      <c r="E3563" s="96"/>
    </row>
    <row r="3564" hidden="1">
      <c r="E3564" s="96"/>
    </row>
    <row r="3565" hidden="1">
      <c r="E3565" s="96"/>
    </row>
    <row r="3566" hidden="1">
      <c r="E3566" s="96"/>
    </row>
    <row r="3567" hidden="1">
      <c r="E3567" s="96"/>
    </row>
    <row r="3568" hidden="1">
      <c r="E3568" s="96"/>
    </row>
    <row r="3569" hidden="1">
      <c r="E3569" s="96"/>
    </row>
    <row r="3570" hidden="1">
      <c r="E3570" s="96"/>
    </row>
    <row r="3571" hidden="1">
      <c r="E3571" s="96"/>
    </row>
    <row r="3572" hidden="1">
      <c r="E3572" s="96"/>
    </row>
    <row r="3573" hidden="1">
      <c r="E3573" s="96"/>
    </row>
    <row r="3574" hidden="1">
      <c r="E3574" s="96"/>
    </row>
    <row r="3575" hidden="1">
      <c r="E3575" s="96"/>
    </row>
    <row r="3576" hidden="1">
      <c r="E3576" s="96"/>
    </row>
    <row r="3577" hidden="1">
      <c r="E3577" s="96"/>
    </row>
    <row r="3578" hidden="1">
      <c r="E3578" s="96"/>
    </row>
    <row r="3579" hidden="1">
      <c r="E3579" s="96"/>
    </row>
    <row r="3580" hidden="1">
      <c r="E3580" s="96"/>
    </row>
    <row r="3581" hidden="1">
      <c r="E3581" s="96"/>
    </row>
    <row r="3582" hidden="1">
      <c r="E3582" s="96"/>
    </row>
    <row r="3583" hidden="1">
      <c r="E3583" s="96"/>
    </row>
    <row r="3584" hidden="1">
      <c r="E3584" s="96"/>
    </row>
    <row r="3585" hidden="1">
      <c r="E3585" s="96"/>
    </row>
    <row r="3586" hidden="1">
      <c r="E3586" s="96"/>
    </row>
    <row r="3587" hidden="1">
      <c r="E3587" s="96"/>
    </row>
    <row r="3588" hidden="1">
      <c r="E3588" s="96"/>
    </row>
    <row r="3589" hidden="1">
      <c r="E3589" s="96"/>
    </row>
    <row r="3590" hidden="1">
      <c r="E3590" s="96"/>
    </row>
    <row r="3591" hidden="1">
      <c r="E3591" s="96"/>
    </row>
    <row r="3592" hidden="1">
      <c r="E3592" s="96"/>
    </row>
    <row r="3593" hidden="1">
      <c r="E3593" s="96"/>
    </row>
    <row r="3594" hidden="1">
      <c r="E3594" s="96"/>
    </row>
    <row r="3595" hidden="1">
      <c r="E3595" s="96"/>
    </row>
    <row r="3596" hidden="1">
      <c r="E3596" s="96"/>
    </row>
    <row r="3597" hidden="1">
      <c r="E3597" s="96"/>
    </row>
    <row r="3598" hidden="1">
      <c r="E3598" s="96"/>
    </row>
    <row r="3599" hidden="1">
      <c r="E3599" s="96"/>
    </row>
    <row r="3600" hidden="1">
      <c r="E3600" s="96"/>
    </row>
    <row r="3601" hidden="1">
      <c r="E3601" s="96"/>
    </row>
    <row r="3602" hidden="1">
      <c r="E3602" s="96"/>
    </row>
    <row r="3603" hidden="1">
      <c r="E3603" s="96"/>
    </row>
    <row r="3604" hidden="1">
      <c r="E3604" s="96"/>
    </row>
    <row r="3605" hidden="1">
      <c r="E3605" s="96"/>
    </row>
    <row r="3606" hidden="1">
      <c r="E3606" s="96"/>
    </row>
    <row r="3607" hidden="1">
      <c r="E3607" s="96"/>
    </row>
    <row r="3608" hidden="1">
      <c r="E3608" s="96"/>
    </row>
    <row r="3609" hidden="1">
      <c r="E3609" s="96"/>
    </row>
    <row r="3610" hidden="1">
      <c r="E3610" s="96"/>
    </row>
    <row r="3611" hidden="1">
      <c r="E3611" s="96"/>
    </row>
    <row r="3612" hidden="1">
      <c r="E3612" s="96"/>
    </row>
    <row r="3613" hidden="1">
      <c r="E3613" s="96"/>
    </row>
    <row r="3614" hidden="1">
      <c r="E3614" s="96"/>
    </row>
    <row r="3615" hidden="1">
      <c r="E3615" s="96"/>
    </row>
    <row r="3616" hidden="1">
      <c r="E3616" s="96"/>
    </row>
    <row r="3617" hidden="1">
      <c r="E3617" s="96"/>
    </row>
    <row r="3618" hidden="1">
      <c r="E3618" s="96"/>
    </row>
    <row r="3619" hidden="1">
      <c r="E3619" s="96"/>
    </row>
    <row r="3620" hidden="1">
      <c r="E3620" s="96"/>
    </row>
    <row r="3621" hidden="1">
      <c r="E3621" s="96"/>
    </row>
    <row r="3622" hidden="1">
      <c r="E3622" s="96"/>
    </row>
    <row r="3623" hidden="1">
      <c r="E3623" s="96"/>
    </row>
    <row r="3624" hidden="1">
      <c r="E3624" s="96"/>
    </row>
    <row r="3625" hidden="1">
      <c r="E3625" s="96"/>
    </row>
    <row r="3626" hidden="1">
      <c r="E3626" s="96"/>
    </row>
    <row r="3627" hidden="1">
      <c r="E3627" s="96"/>
    </row>
    <row r="3628" hidden="1">
      <c r="E3628" s="96"/>
    </row>
    <row r="3629" hidden="1">
      <c r="E3629" s="96"/>
    </row>
    <row r="3630" hidden="1">
      <c r="E3630" s="96"/>
    </row>
    <row r="3631" hidden="1">
      <c r="E3631" s="96"/>
    </row>
    <row r="3632" hidden="1">
      <c r="E3632" s="96"/>
    </row>
    <row r="3633" hidden="1">
      <c r="E3633" s="96"/>
    </row>
    <row r="3634" hidden="1">
      <c r="E3634" s="96"/>
    </row>
    <row r="3635" hidden="1">
      <c r="E3635" s="96"/>
    </row>
    <row r="3636" hidden="1">
      <c r="E3636" s="96"/>
    </row>
    <row r="3637" hidden="1">
      <c r="E3637" s="96"/>
    </row>
    <row r="3638" hidden="1">
      <c r="E3638" s="96"/>
    </row>
    <row r="3639" hidden="1">
      <c r="E3639" s="96"/>
    </row>
    <row r="3640" hidden="1">
      <c r="E3640" s="96"/>
    </row>
    <row r="3641" hidden="1">
      <c r="E3641" s="96"/>
    </row>
    <row r="3642" hidden="1">
      <c r="E3642" s="96"/>
    </row>
    <row r="3643" hidden="1">
      <c r="E3643" s="96"/>
    </row>
    <row r="3644" hidden="1">
      <c r="E3644" s="96"/>
    </row>
    <row r="3645" hidden="1">
      <c r="E3645" s="96"/>
    </row>
    <row r="3646" hidden="1">
      <c r="E3646" s="96"/>
    </row>
    <row r="3647" hidden="1">
      <c r="E3647" s="96"/>
    </row>
    <row r="3648" hidden="1">
      <c r="E3648" s="96"/>
    </row>
    <row r="3649" hidden="1">
      <c r="E3649" s="96"/>
    </row>
    <row r="3650" hidden="1">
      <c r="E3650" s="96"/>
    </row>
    <row r="3651" hidden="1">
      <c r="E3651" s="96"/>
    </row>
    <row r="3652" hidden="1">
      <c r="E3652" s="96"/>
    </row>
    <row r="3653" hidden="1">
      <c r="E3653" s="96"/>
    </row>
    <row r="3654" hidden="1">
      <c r="E3654" s="96"/>
    </row>
    <row r="3655" hidden="1">
      <c r="E3655" s="96"/>
    </row>
    <row r="3656" hidden="1">
      <c r="E3656" s="96"/>
    </row>
    <row r="3657" hidden="1">
      <c r="E3657" s="96"/>
    </row>
    <row r="3658" hidden="1">
      <c r="E3658" s="96"/>
    </row>
    <row r="3659" hidden="1">
      <c r="E3659" s="96"/>
    </row>
    <row r="3660" hidden="1">
      <c r="E3660" s="96"/>
    </row>
    <row r="3661" hidden="1">
      <c r="E3661" s="96"/>
    </row>
    <row r="3662" hidden="1">
      <c r="E3662" s="96"/>
    </row>
    <row r="3663" hidden="1">
      <c r="E3663" s="96"/>
    </row>
    <row r="3664" hidden="1">
      <c r="E3664" s="96"/>
    </row>
    <row r="3665" hidden="1">
      <c r="E3665" s="96"/>
    </row>
    <row r="3666" hidden="1">
      <c r="E3666" s="96"/>
    </row>
    <row r="3667" hidden="1">
      <c r="E3667" s="96"/>
    </row>
    <row r="3668" hidden="1">
      <c r="E3668" s="96"/>
    </row>
    <row r="3669" hidden="1">
      <c r="E3669" s="96"/>
    </row>
    <row r="3670" hidden="1">
      <c r="E3670" s="96"/>
    </row>
    <row r="3671" hidden="1">
      <c r="E3671" s="96"/>
    </row>
    <row r="3672" hidden="1">
      <c r="E3672" s="96"/>
    </row>
    <row r="3673" hidden="1">
      <c r="E3673" s="96"/>
    </row>
    <row r="3674" hidden="1">
      <c r="E3674" s="96"/>
    </row>
    <row r="3675" hidden="1">
      <c r="E3675" s="96"/>
    </row>
    <row r="3676" hidden="1">
      <c r="E3676" s="96"/>
    </row>
    <row r="3677" hidden="1">
      <c r="E3677" s="96"/>
    </row>
    <row r="3678" hidden="1">
      <c r="E3678" s="96"/>
    </row>
    <row r="3679" hidden="1">
      <c r="E3679" s="96"/>
    </row>
    <row r="3680" hidden="1">
      <c r="E3680" s="96"/>
    </row>
    <row r="3681" hidden="1">
      <c r="E3681" s="96"/>
    </row>
    <row r="3682" hidden="1">
      <c r="E3682" s="96"/>
    </row>
    <row r="3683" hidden="1">
      <c r="E3683" s="96"/>
    </row>
    <row r="3684" hidden="1">
      <c r="E3684" s="96"/>
    </row>
    <row r="3685" hidden="1">
      <c r="E3685" s="96"/>
    </row>
    <row r="3686" hidden="1">
      <c r="E3686" s="96"/>
    </row>
    <row r="3687" hidden="1">
      <c r="E3687" s="96"/>
    </row>
    <row r="3688" hidden="1">
      <c r="E3688" s="96"/>
    </row>
    <row r="3689" hidden="1">
      <c r="E3689" s="96"/>
    </row>
    <row r="3690" hidden="1">
      <c r="E3690" s="96"/>
    </row>
    <row r="3691" hidden="1">
      <c r="E3691" s="96"/>
    </row>
    <row r="3692" hidden="1">
      <c r="E3692" s="96"/>
    </row>
    <row r="3693" hidden="1">
      <c r="E3693" s="96"/>
    </row>
    <row r="3694" hidden="1">
      <c r="E3694" s="96"/>
    </row>
    <row r="3695" hidden="1">
      <c r="E3695" s="96"/>
    </row>
    <row r="3696" hidden="1">
      <c r="E3696" s="96"/>
    </row>
    <row r="3697" hidden="1">
      <c r="E3697" s="96"/>
    </row>
    <row r="3698" hidden="1">
      <c r="E3698" s="96"/>
    </row>
    <row r="3699" hidden="1">
      <c r="E3699" s="96"/>
    </row>
    <row r="3700" hidden="1">
      <c r="E3700" s="96"/>
    </row>
    <row r="3701" hidden="1">
      <c r="E3701" s="96"/>
    </row>
    <row r="3702" hidden="1">
      <c r="E3702" s="96"/>
    </row>
    <row r="3703" hidden="1">
      <c r="E3703" s="96"/>
    </row>
    <row r="3704" hidden="1">
      <c r="E3704" s="96"/>
    </row>
    <row r="3705" hidden="1">
      <c r="E3705" s="96"/>
    </row>
    <row r="3706" hidden="1">
      <c r="E3706" s="96"/>
    </row>
    <row r="3707" hidden="1">
      <c r="E3707" s="96"/>
    </row>
    <row r="3708" hidden="1">
      <c r="E3708" s="96"/>
    </row>
    <row r="3709" hidden="1">
      <c r="E3709" s="96"/>
    </row>
    <row r="3710" hidden="1">
      <c r="E3710" s="96"/>
    </row>
    <row r="3711" hidden="1">
      <c r="E3711" s="96"/>
    </row>
    <row r="3712" hidden="1">
      <c r="E3712" s="96"/>
    </row>
    <row r="3713" hidden="1">
      <c r="E3713" s="96"/>
    </row>
    <row r="3714" hidden="1">
      <c r="E3714" s="96"/>
    </row>
    <row r="3715" hidden="1">
      <c r="E3715" s="96"/>
    </row>
    <row r="3716" hidden="1">
      <c r="E3716" s="96"/>
    </row>
    <row r="3717" hidden="1">
      <c r="E3717" s="96"/>
    </row>
    <row r="3718" hidden="1">
      <c r="E3718" s="96"/>
    </row>
    <row r="3719" hidden="1">
      <c r="E3719" s="96"/>
    </row>
    <row r="3720" hidden="1">
      <c r="E3720" s="96"/>
    </row>
    <row r="3721" hidden="1">
      <c r="E3721" s="96"/>
    </row>
    <row r="3722" hidden="1">
      <c r="E3722" s="96"/>
    </row>
    <row r="3723" hidden="1">
      <c r="E3723" s="96"/>
    </row>
    <row r="3724" hidden="1">
      <c r="E3724" s="96"/>
    </row>
    <row r="3725" hidden="1">
      <c r="E3725" s="96"/>
    </row>
    <row r="3726" hidden="1">
      <c r="E3726" s="96"/>
    </row>
    <row r="3727" hidden="1">
      <c r="E3727" s="96"/>
    </row>
    <row r="3728" hidden="1">
      <c r="E3728" s="96"/>
    </row>
    <row r="3729" hidden="1">
      <c r="E3729" s="96"/>
    </row>
    <row r="3730" hidden="1">
      <c r="E3730" s="96"/>
    </row>
    <row r="3731" hidden="1">
      <c r="E3731" s="96"/>
    </row>
    <row r="3732" hidden="1">
      <c r="E3732" s="96"/>
    </row>
    <row r="3733" hidden="1">
      <c r="E3733" s="96"/>
    </row>
    <row r="3734" hidden="1">
      <c r="E3734" s="96"/>
    </row>
    <row r="3735" hidden="1">
      <c r="E3735" s="96"/>
    </row>
    <row r="3736" hidden="1">
      <c r="E3736" s="96"/>
    </row>
    <row r="3737" hidden="1">
      <c r="E3737" s="96"/>
    </row>
    <row r="3738" hidden="1">
      <c r="E3738" s="96"/>
    </row>
    <row r="3739" hidden="1">
      <c r="E3739" s="96"/>
    </row>
    <row r="3740" hidden="1">
      <c r="E3740" s="96"/>
    </row>
    <row r="3741" hidden="1">
      <c r="E3741" s="96"/>
    </row>
    <row r="3742" hidden="1">
      <c r="E3742" s="96"/>
    </row>
    <row r="3743" hidden="1">
      <c r="E3743" s="96"/>
    </row>
    <row r="3744" hidden="1">
      <c r="E3744" s="96"/>
    </row>
    <row r="3745" hidden="1">
      <c r="E3745" s="96"/>
    </row>
    <row r="3746" hidden="1">
      <c r="E3746" s="96"/>
    </row>
    <row r="3747" hidden="1">
      <c r="E3747" s="96"/>
    </row>
    <row r="3748" hidden="1">
      <c r="E3748" s="96"/>
    </row>
    <row r="3749" hidden="1">
      <c r="E3749" s="96"/>
    </row>
    <row r="3750" hidden="1">
      <c r="E3750" s="96"/>
    </row>
    <row r="3751" hidden="1">
      <c r="E3751" s="96"/>
    </row>
    <row r="3752" hidden="1">
      <c r="E3752" s="96"/>
    </row>
    <row r="3753" hidden="1">
      <c r="E3753" s="96"/>
    </row>
    <row r="3754" hidden="1">
      <c r="E3754" s="96"/>
    </row>
    <row r="3755" hidden="1">
      <c r="E3755" s="96"/>
    </row>
    <row r="3756" hidden="1">
      <c r="E3756" s="96"/>
    </row>
    <row r="3757" hidden="1">
      <c r="E3757" s="96"/>
    </row>
    <row r="3758" hidden="1">
      <c r="E3758" s="96"/>
    </row>
    <row r="3759" hidden="1">
      <c r="E3759" s="96"/>
    </row>
    <row r="3760" hidden="1">
      <c r="E3760" s="96"/>
    </row>
    <row r="3761" hidden="1">
      <c r="E3761" s="96"/>
    </row>
    <row r="3762" hidden="1">
      <c r="E3762" s="96"/>
    </row>
    <row r="3763" hidden="1">
      <c r="E3763" s="96"/>
    </row>
    <row r="3764" hidden="1">
      <c r="E3764" s="96"/>
    </row>
    <row r="3765" hidden="1">
      <c r="E3765" s="96"/>
    </row>
    <row r="3766" hidden="1">
      <c r="E3766" s="96"/>
    </row>
    <row r="3767" hidden="1">
      <c r="E3767" s="96"/>
    </row>
    <row r="3768" hidden="1">
      <c r="E3768" s="96"/>
    </row>
    <row r="3769" hidden="1">
      <c r="E3769" s="96"/>
    </row>
    <row r="3770" hidden="1">
      <c r="E3770" s="96"/>
    </row>
    <row r="3771" hidden="1">
      <c r="E3771" s="96"/>
    </row>
    <row r="3772" hidden="1">
      <c r="E3772" s="96"/>
    </row>
    <row r="3773" hidden="1">
      <c r="E3773" s="96"/>
    </row>
    <row r="3774" hidden="1">
      <c r="E3774" s="96"/>
    </row>
    <row r="3775" hidden="1">
      <c r="E3775" s="96"/>
    </row>
    <row r="3776" hidden="1">
      <c r="E3776" s="96"/>
    </row>
    <row r="3777" hidden="1">
      <c r="E3777" s="96"/>
    </row>
    <row r="3778" hidden="1">
      <c r="E3778" s="96"/>
    </row>
    <row r="3779" hidden="1">
      <c r="E3779" s="96"/>
    </row>
    <row r="3780" hidden="1">
      <c r="E3780" s="96"/>
    </row>
    <row r="3781" hidden="1">
      <c r="E3781" s="96"/>
    </row>
    <row r="3782" hidden="1">
      <c r="E3782" s="96"/>
    </row>
    <row r="3783" hidden="1">
      <c r="E3783" s="96"/>
    </row>
    <row r="3784" hidden="1">
      <c r="E3784" s="96"/>
    </row>
    <row r="3785" hidden="1">
      <c r="E3785" s="96"/>
    </row>
    <row r="3786" hidden="1">
      <c r="E3786" s="96"/>
    </row>
    <row r="3787" hidden="1">
      <c r="E3787" s="96"/>
    </row>
    <row r="3788" hidden="1">
      <c r="E3788" s="96"/>
    </row>
    <row r="3789" hidden="1">
      <c r="E3789" s="96"/>
    </row>
    <row r="3790" hidden="1">
      <c r="E3790" s="96"/>
    </row>
    <row r="3791" hidden="1">
      <c r="E3791" s="96"/>
    </row>
    <row r="3792" hidden="1">
      <c r="E3792" s="96"/>
    </row>
    <row r="3793" hidden="1">
      <c r="E3793" s="96"/>
    </row>
    <row r="3794" hidden="1">
      <c r="E3794" s="96"/>
    </row>
    <row r="3795" hidden="1">
      <c r="E3795" s="96"/>
    </row>
    <row r="3796" hidden="1">
      <c r="E3796" s="96"/>
    </row>
    <row r="3797" hidden="1">
      <c r="E3797" s="96"/>
    </row>
    <row r="3798" hidden="1">
      <c r="E3798" s="96"/>
    </row>
    <row r="3799" hidden="1">
      <c r="E3799" s="96"/>
    </row>
    <row r="3800" hidden="1">
      <c r="E3800" s="96"/>
    </row>
    <row r="3801" hidden="1">
      <c r="E3801" s="96"/>
    </row>
    <row r="3802" hidden="1">
      <c r="E3802" s="96"/>
    </row>
    <row r="3803" hidden="1">
      <c r="E3803" s="96"/>
    </row>
    <row r="3804" hidden="1">
      <c r="E3804" s="96"/>
    </row>
    <row r="3805" hidden="1">
      <c r="E3805" s="96"/>
    </row>
    <row r="3806" hidden="1">
      <c r="E3806" s="96"/>
    </row>
    <row r="3807" hidden="1">
      <c r="E3807" s="96"/>
    </row>
    <row r="3808" hidden="1">
      <c r="E3808" s="96"/>
    </row>
    <row r="3809" hidden="1">
      <c r="E3809" s="96"/>
    </row>
    <row r="3810" hidden="1">
      <c r="E3810" s="96"/>
    </row>
    <row r="3811" hidden="1">
      <c r="E3811" s="96"/>
    </row>
    <row r="3812" hidden="1">
      <c r="E3812" s="96"/>
    </row>
    <row r="3813" hidden="1">
      <c r="E3813" s="96"/>
    </row>
    <row r="3814" hidden="1">
      <c r="E3814" s="96"/>
    </row>
    <row r="3815" hidden="1">
      <c r="E3815" s="96"/>
    </row>
    <row r="3816" hidden="1">
      <c r="E3816" s="96"/>
    </row>
    <row r="3817" hidden="1">
      <c r="E3817" s="96"/>
    </row>
    <row r="3818" hidden="1">
      <c r="E3818" s="96"/>
    </row>
    <row r="3819" hidden="1">
      <c r="E3819" s="96"/>
    </row>
    <row r="3820" hidden="1">
      <c r="E3820" s="96"/>
    </row>
    <row r="3821" hidden="1">
      <c r="E3821" s="96"/>
    </row>
    <row r="3822" hidden="1">
      <c r="E3822" s="96"/>
    </row>
    <row r="3823" hidden="1">
      <c r="E3823" s="96"/>
    </row>
    <row r="3824" hidden="1">
      <c r="E3824" s="96"/>
    </row>
    <row r="3825" hidden="1">
      <c r="E3825" s="96"/>
    </row>
    <row r="3826" hidden="1">
      <c r="E3826" s="96"/>
    </row>
    <row r="3827" hidden="1">
      <c r="E3827" s="96"/>
    </row>
    <row r="3828" hidden="1">
      <c r="E3828" s="96"/>
    </row>
    <row r="3829" hidden="1">
      <c r="E3829" s="96"/>
    </row>
    <row r="3830" hidden="1">
      <c r="E3830" s="96"/>
    </row>
    <row r="3831" hidden="1">
      <c r="E3831" s="96"/>
    </row>
    <row r="3832" hidden="1">
      <c r="E3832" s="96"/>
    </row>
    <row r="3833" hidden="1">
      <c r="E3833" s="96"/>
    </row>
    <row r="3834" hidden="1">
      <c r="E3834" s="96"/>
    </row>
    <row r="3835" hidden="1">
      <c r="E3835" s="96"/>
    </row>
    <row r="3836" hidden="1">
      <c r="E3836" s="96"/>
    </row>
    <row r="3837" hidden="1">
      <c r="E3837" s="96"/>
    </row>
    <row r="3838" hidden="1">
      <c r="E3838" s="96"/>
    </row>
    <row r="3839" hidden="1">
      <c r="E3839" s="96"/>
    </row>
    <row r="3840" hidden="1">
      <c r="E3840" s="96"/>
    </row>
    <row r="3841" hidden="1">
      <c r="E3841" s="96"/>
    </row>
    <row r="3842" hidden="1">
      <c r="E3842" s="96"/>
    </row>
    <row r="3843" hidden="1">
      <c r="E3843" s="96"/>
    </row>
    <row r="3844" hidden="1">
      <c r="E3844" s="96"/>
    </row>
    <row r="3845" hidden="1">
      <c r="E3845" s="96"/>
    </row>
    <row r="3846" hidden="1">
      <c r="E3846" s="96"/>
    </row>
    <row r="3847" hidden="1">
      <c r="E3847" s="96"/>
    </row>
    <row r="3848" hidden="1">
      <c r="E3848" s="96"/>
    </row>
    <row r="3849" hidden="1">
      <c r="E3849" s="96"/>
    </row>
    <row r="3850" hidden="1">
      <c r="E3850" s="96"/>
    </row>
    <row r="3851" hidden="1">
      <c r="E3851" s="96"/>
    </row>
    <row r="3852" hidden="1">
      <c r="E3852" s="96"/>
    </row>
    <row r="3853" hidden="1">
      <c r="E3853" s="96"/>
    </row>
    <row r="3854" hidden="1">
      <c r="E3854" s="96"/>
    </row>
    <row r="3855" hidden="1">
      <c r="E3855" s="96"/>
    </row>
    <row r="3856" hidden="1">
      <c r="E3856" s="96"/>
    </row>
    <row r="3857" hidden="1">
      <c r="E3857" s="96"/>
    </row>
    <row r="3858" hidden="1">
      <c r="E3858" s="96"/>
    </row>
    <row r="3859" hidden="1">
      <c r="E3859" s="96"/>
    </row>
    <row r="3860" hidden="1">
      <c r="E3860" s="96"/>
    </row>
    <row r="3861" hidden="1">
      <c r="E3861" s="96"/>
    </row>
    <row r="3862" hidden="1">
      <c r="E3862" s="96"/>
    </row>
    <row r="3863" hidden="1">
      <c r="E3863" s="96"/>
    </row>
    <row r="3864" hidden="1">
      <c r="E3864" s="96"/>
    </row>
    <row r="3865" hidden="1">
      <c r="E3865" s="96"/>
    </row>
    <row r="3866" hidden="1">
      <c r="E3866" s="96"/>
    </row>
    <row r="3867" hidden="1">
      <c r="E3867" s="96"/>
    </row>
    <row r="3868" hidden="1">
      <c r="E3868" s="96"/>
    </row>
    <row r="3869" hidden="1">
      <c r="E3869" s="96"/>
    </row>
    <row r="3870" hidden="1">
      <c r="E3870" s="96"/>
    </row>
    <row r="3871" hidden="1">
      <c r="E3871" s="96"/>
    </row>
    <row r="3872" hidden="1">
      <c r="E3872" s="96"/>
    </row>
    <row r="3873" hidden="1">
      <c r="E3873" s="96"/>
    </row>
    <row r="3874" hidden="1">
      <c r="E3874" s="96"/>
    </row>
    <row r="3875" hidden="1">
      <c r="E3875" s="96"/>
    </row>
    <row r="3876" hidden="1">
      <c r="E3876" s="96"/>
    </row>
    <row r="3877" hidden="1">
      <c r="E3877" s="96"/>
    </row>
    <row r="3878" hidden="1">
      <c r="E3878" s="96"/>
    </row>
    <row r="3879" hidden="1">
      <c r="E3879" s="96"/>
    </row>
    <row r="3880" hidden="1">
      <c r="E3880" s="96"/>
    </row>
    <row r="3881" hidden="1">
      <c r="E3881" s="96"/>
    </row>
    <row r="3882" hidden="1">
      <c r="E3882" s="96"/>
    </row>
    <row r="3883" hidden="1">
      <c r="E3883" s="96"/>
    </row>
    <row r="3884" hidden="1">
      <c r="E3884" s="96"/>
    </row>
    <row r="3885" hidden="1">
      <c r="E3885" s="96"/>
    </row>
    <row r="3886" hidden="1">
      <c r="E3886" s="96"/>
    </row>
    <row r="3887" hidden="1">
      <c r="E3887" s="96"/>
    </row>
    <row r="3888" hidden="1">
      <c r="E3888" s="96"/>
    </row>
    <row r="3889" hidden="1">
      <c r="E3889" s="96"/>
    </row>
    <row r="3890" hidden="1">
      <c r="E3890" s="96"/>
    </row>
    <row r="3891" hidden="1">
      <c r="E3891" s="96"/>
    </row>
    <row r="3892" hidden="1">
      <c r="E3892" s="96"/>
    </row>
    <row r="3893" hidden="1">
      <c r="E3893" s="96"/>
    </row>
    <row r="3894" hidden="1">
      <c r="E3894" s="96"/>
    </row>
    <row r="3895" hidden="1">
      <c r="E3895" s="96"/>
    </row>
    <row r="3896" hidden="1">
      <c r="E3896" s="96"/>
    </row>
    <row r="3897" hidden="1">
      <c r="E3897" s="96"/>
    </row>
    <row r="3898" hidden="1">
      <c r="E3898" s="96"/>
    </row>
    <row r="3899" hidden="1">
      <c r="E3899" s="96"/>
    </row>
    <row r="3900" hidden="1">
      <c r="E3900" s="96"/>
    </row>
    <row r="3901" hidden="1">
      <c r="E3901" s="96"/>
    </row>
    <row r="3902" hidden="1">
      <c r="E3902" s="96"/>
    </row>
    <row r="3903" hidden="1">
      <c r="E3903" s="96"/>
    </row>
    <row r="3904" hidden="1">
      <c r="E3904" s="96"/>
    </row>
    <row r="3905" hidden="1">
      <c r="E3905" s="96"/>
    </row>
    <row r="3906" hidden="1">
      <c r="E3906" s="96"/>
    </row>
    <row r="3907" hidden="1">
      <c r="E3907" s="96"/>
    </row>
    <row r="3908" hidden="1">
      <c r="E3908" s="96"/>
    </row>
    <row r="3909" hidden="1">
      <c r="E3909" s="96"/>
    </row>
    <row r="3910" hidden="1">
      <c r="E3910" s="96"/>
    </row>
    <row r="3911" hidden="1">
      <c r="E3911" s="96"/>
    </row>
    <row r="3912" hidden="1">
      <c r="E3912" s="96"/>
    </row>
    <row r="3913" hidden="1">
      <c r="E3913" s="96"/>
    </row>
    <row r="3914" hidden="1">
      <c r="E3914" s="96"/>
    </row>
    <row r="3915" hidden="1">
      <c r="E3915" s="96"/>
    </row>
    <row r="3916" hidden="1">
      <c r="E3916" s="96"/>
    </row>
    <row r="3917" hidden="1">
      <c r="E3917" s="96"/>
    </row>
    <row r="3918" hidden="1">
      <c r="E3918" s="96"/>
    </row>
    <row r="3919" hidden="1">
      <c r="E3919" s="96"/>
    </row>
    <row r="3920" hidden="1">
      <c r="E3920" s="96"/>
    </row>
    <row r="3921" hidden="1">
      <c r="E3921" s="96"/>
    </row>
    <row r="3922" hidden="1">
      <c r="E3922" s="96"/>
    </row>
    <row r="3923" hidden="1">
      <c r="E3923" s="96"/>
    </row>
    <row r="3924" hidden="1">
      <c r="E3924" s="96"/>
    </row>
    <row r="3925" hidden="1">
      <c r="E3925" s="96"/>
    </row>
    <row r="3926" hidden="1">
      <c r="E3926" s="96"/>
    </row>
    <row r="3927" hidden="1">
      <c r="E3927" s="96"/>
    </row>
    <row r="3928" hidden="1">
      <c r="E3928" s="96"/>
    </row>
    <row r="3929" hidden="1">
      <c r="E3929" s="96"/>
    </row>
    <row r="3930" hidden="1">
      <c r="E3930" s="96"/>
    </row>
    <row r="3931" hidden="1">
      <c r="E3931" s="96"/>
    </row>
    <row r="3932" hidden="1">
      <c r="E3932" s="96"/>
    </row>
    <row r="3933" hidden="1">
      <c r="E3933" s="96"/>
    </row>
    <row r="3934" hidden="1">
      <c r="E3934" s="96"/>
    </row>
    <row r="3935" hidden="1">
      <c r="E3935" s="96"/>
    </row>
    <row r="3936" hidden="1">
      <c r="E3936" s="96"/>
    </row>
    <row r="3937" hidden="1">
      <c r="E3937" s="96"/>
    </row>
    <row r="3938" hidden="1">
      <c r="E3938" s="96"/>
    </row>
    <row r="3939" hidden="1">
      <c r="E3939" s="96"/>
    </row>
    <row r="3940" hidden="1">
      <c r="E3940" s="96"/>
    </row>
    <row r="3941" hidden="1">
      <c r="E3941" s="96"/>
    </row>
    <row r="3942" hidden="1">
      <c r="E3942" s="96"/>
    </row>
    <row r="3943" hidden="1">
      <c r="E3943" s="96"/>
    </row>
    <row r="3944" hidden="1">
      <c r="E3944" s="96"/>
    </row>
    <row r="3945" hidden="1">
      <c r="E3945" s="96"/>
    </row>
    <row r="3946" hidden="1">
      <c r="E3946" s="96"/>
    </row>
    <row r="3947" hidden="1">
      <c r="E3947" s="96"/>
    </row>
    <row r="3948" hidden="1">
      <c r="E3948" s="96"/>
    </row>
    <row r="3949" hidden="1">
      <c r="E3949" s="96"/>
    </row>
    <row r="3950" hidden="1">
      <c r="E3950" s="96"/>
    </row>
    <row r="3951" hidden="1">
      <c r="E3951" s="96"/>
    </row>
    <row r="3952" hidden="1">
      <c r="E3952" s="96"/>
    </row>
    <row r="3953" hidden="1">
      <c r="E3953" s="96"/>
    </row>
    <row r="3954" hidden="1">
      <c r="E3954" s="96"/>
    </row>
    <row r="3955" hidden="1">
      <c r="E3955" s="96"/>
    </row>
    <row r="3956" hidden="1">
      <c r="E3956" s="96"/>
    </row>
    <row r="3957" hidden="1">
      <c r="E3957" s="96"/>
    </row>
    <row r="3958" hidden="1">
      <c r="E3958" s="96"/>
    </row>
    <row r="3959" hidden="1">
      <c r="E3959" s="96"/>
    </row>
    <row r="3960" hidden="1">
      <c r="E3960" s="96"/>
    </row>
    <row r="3961" hidden="1">
      <c r="E3961" s="96"/>
    </row>
    <row r="3962" hidden="1">
      <c r="E3962" s="96"/>
    </row>
    <row r="3963" hidden="1">
      <c r="E3963" s="96"/>
    </row>
    <row r="3964" hidden="1">
      <c r="E3964" s="96"/>
    </row>
    <row r="3965" hidden="1">
      <c r="E3965" s="96"/>
    </row>
    <row r="3966" hidden="1">
      <c r="E3966" s="96"/>
    </row>
    <row r="3967" hidden="1">
      <c r="E3967" s="96"/>
    </row>
    <row r="3968" hidden="1">
      <c r="E3968" s="96"/>
    </row>
    <row r="3969" hidden="1">
      <c r="E3969" s="96"/>
    </row>
    <row r="3970" hidden="1">
      <c r="E3970" s="96"/>
    </row>
    <row r="3971" hidden="1">
      <c r="E3971" s="96"/>
    </row>
    <row r="3972" hidden="1">
      <c r="E3972" s="96"/>
    </row>
    <row r="3973" hidden="1">
      <c r="E3973" s="96"/>
    </row>
    <row r="3974" hidden="1">
      <c r="E3974" s="96"/>
    </row>
    <row r="3975" hidden="1">
      <c r="E3975" s="96"/>
    </row>
    <row r="3976" hidden="1">
      <c r="E3976" s="96"/>
    </row>
    <row r="3977" hidden="1">
      <c r="E3977" s="96"/>
    </row>
    <row r="3978" hidden="1">
      <c r="E3978" s="96"/>
    </row>
    <row r="3979" hidden="1">
      <c r="E3979" s="96"/>
    </row>
    <row r="3980" hidden="1">
      <c r="E3980" s="96"/>
    </row>
    <row r="3981" hidden="1">
      <c r="E3981" s="96"/>
    </row>
    <row r="3982" hidden="1">
      <c r="E3982" s="96"/>
    </row>
    <row r="3983" hidden="1">
      <c r="E3983" s="96"/>
    </row>
    <row r="3984" hidden="1">
      <c r="E3984" s="96"/>
    </row>
    <row r="3985" hidden="1">
      <c r="E3985" s="96"/>
    </row>
    <row r="3986" hidden="1">
      <c r="E3986" s="96"/>
    </row>
    <row r="3987" hidden="1">
      <c r="E3987" s="96"/>
    </row>
    <row r="3988" hidden="1">
      <c r="E3988" s="96"/>
    </row>
    <row r="3989" hidden="1">
      <c r="E3989" s="96"/>
    </row>
    <row r="3990" hidden="1">
      <c r="E3990" s="96"/>
    </row>
    <row r="3991" hidden="1">
      <c r="E3991" s="96"/>
    </row>
    <row r="3992" hidden="1">
      <c r="E3992" s="96"/>
    </row>
    <row r="3993" hidden="1">
      <c r="E3993" s="96"/>
    </row>
    <row r="3994" hidden="1">
      <c r="E3994" s="96"/>
    </row>
    <row r="3995" hidden="1">
      <c r="E3995" s="96"/>
    </row>
    <row r="3996" hidden="1">
      <c r="E3996" s="96"/>
    </row>
    <row r="3997" hidden="1">
      <c r="E3997" s="96"/>
    </row>
    <row r="3998" hidden="1">
      <c r="E3998" s="96"/>
    </row>
    <row r="3999" hidden="1">
      <c r="E3999" s="96"/>
    </row>
    <row r="4000" hidden="1">
      <c r="E4000" s="96"/>
    </row>
    <row r="4001" hidden="1">
      <c r="E4001" s="96"/>
    </row>
    <row r="4002" hidden="1">
      <c r="E4002" s="96"/>
    </row>
    <row r="4003" hidden="1">
      <c r="E4003" s="96"/>
    </row>
    <row r="4004" hidden="1">
      <c r="E4004" s="96"/>
    </row>
    <row r="4005" hidden="1">
      <c r="E4005" s="96"/>
    </row>
    <row r="4006" hidden="1">
      <c r="E4006" s="96"/>
    </row>
    <row r="4007" hidden="1">
      <c r="E4007" s="96"/>
    </row>
    <row r="4008" hidden="1">
      <c r="E4008" s="96"/>
    </row>
    <row r="4009" hidden="1">
      <c r="E4009" s="96"/>
    </row>
    <row r="4010" hidden="1">
      <c r="E4010" s="96"/>
    </row>
    <row r="4011" hidden="1">
      <c r="E4011" s="96"/>
    </row>
    <row r="4012" hidden="1">
      <c r="E4012" s="96"/>
    </row>
    <row r="4013" hidden="1">
      <c r="E4013" s="96"/>
    </row>
    <row r="4014" hidden="1">
      <c r="E4014" s="96"/>
    </row>
    <row r="4015" hidden="1">
      <c r="E4015" s="96"/>
    </row>
    <row r="4016" hidden="1">
      <c r="E4016" s="96"/>
    </row>
    <row r="4017" hidden="1">
      <c r="E4017" s="96"/>
    </row>
    <row r="4018" hidden="1">
      <c r="E4018" s="96"/>
    </row>
    <row r="4019" hidden="1">
      <c r="E4019" s="96"/>
    </row>
    <row r="4020" hidden="1">
      <c r="E4020" s="96"/>
    </row>
    <row r="4021" hidden="1">
      <c r="E4021" s="96"/>
    </row>
    <row r="4022" hidden="1">
      <c r="E4022" s="96"/>
    </row>
    <row r="4023" hidden="1">
      <c r="E4023" s="96"/>
    </row>
    <row r="4024" hidden="1">
      <c r="E4024" s="96"/>
    </row>
    <row r="4025" hidden="1">
      <c r="E4025" s="96"/>
    </row>
    <row r="4026" hidden="1">
      <c r="E4026" s="96"/>
    </row>
    <row r="4027" hidden="1">
      <c r="E4027" s="96"/>
    </row>
    <row r="4028" hidden="1">
      <c r="E4028" s="96"/>
    </row>
    <row r="4029" hidden="1">
      <c r="E4029" s="96"/>
    </row>
    <row r="4030" hidden="1">
      <c r="E4030" s="96"/>
    </row>
    <row r="4031" hidden="1">
      <c r="E4031" s="96"/>
    </row>
    <row r="4032" hidden="1">
      <c r="E4032" s="96"/>
    </row>
    <row r="4033" hidden="1">
      <c r="E4033" s="96"/>
    </row>
    <row r="4034" hidden="1">
      <c r="E4034" s="96"/>
    </row>
    <row r="4035" hidden="1">
      <c r="E4035" s="96"/>
    </row>
    <row r="4036" hidden="1">
      <c r="E4036" s="96"/>
    </row>
    <row r="4037" hidden="1">
      <c r="E4037" s="96"/>
    </row>
    <row r="4038" hidden="1">
      <c r="E4038" s="96"/>
    </row>
    <row r="4039" hidden="1">
      <c r="E4039" s="96"/>
    </row>
    <row r="4040" hidden="1">
      <c r="E4040" s="96"/>
    </row>
    <row r="4041" hidden="1">
      <c r="E4041" s="96"/>
    </row>
    <row r="4042" hidden="1">
      <c r="E4042" s="96"/>
    </row>
    <row r="4043" hidden="1">
      <c r="E4043" s="96"/>
    </row>
    <row r="4044" hidden="1">
      <c r="E4044" s="96"/>
    </row>
    <row r="4045" hidden="1">
      <c r="E4045" s="96"/>
    </row>
    <row r="4046" hidden="1">
      <c r="E4046" s="96"/>
    </row>
    <row r="4047" hidden="1">
      <c r="E4047" s="96"/>
    </row>
    <row r="4048" hidden="1">
      <c r="E4048" s="96"/>
    </row>
    <row r="4049" hidden="1">
      <c r="E4049" s="96"/>
    </row>
    <row r="4050" hidden="1">
      <c r="E4050" s="96"/>
    </row>
    <row r="4051" hidden="1">
      <c r="E4051" s="96"/>
    </row>
    <row r="4052" hidden="1">
      <c r="E4052" s="96"/>
    </row>
    <row r="4053" hidden="1">
      <c r="E4053" s="96"/>
    </row>
    <row r="4054" hidden="1">
      <c r="E4054" s="96"/>
    </row>
    <row r="4055" hidden="1">
      <c r="E4055" s="96"/>
    </row>
    <row r="4056" hidden="1">
      <c r="E4056" s="96"/>
    </row>
    <row r="4057" hidden="1">
      <c r="E4057" s="96"/>
    </row>
    <row r="4058" hidden="1">
      <c r="E4058" s="96"/>
    </row>
    <row r="4059" hidden="1">
      <c r="E4059" s="96"/>
    </row>
    <row r="4060" hidden="1">
      <c r="E4060" s="96"/>
    </row>
    <row r="4061" hidden="1">
      <c r="E4061" s="96"/>
    </row>
    <row r="4062" hidden="1">
      <c r="E4062" s="96"/>
    </row>
    <row r="4063" hidden="1">
      <c r="E4063" s="96"/>
    </row>
    <row r="4064" hidden="1">
      <c r="E4064" s="96"/>
    </row>
    <row r="4065" hidden="1">
      <c r="E4065" s="96"/>
    </row>
    <row r="4066" hidden="1">
      <c r="E4066" s="96"/>
    </row>
    <row r="4067" hidden="1">
      <c r="E4067" s="96"/>
    </row>
    <row r="4068" hidden="1">
      <c r="E4068" s="96"/>
    </row>
    <row r="4069" hidden="1">
      <c r="E4069" s="96"/>
    </row>
    <row r="4070" hidden="1">
      <c r="E4070" s="96"/>
    </row>
    <row r="4071" hidden="1">
      <c r="E4071" s="96"/>
    </row>
    <row r="4072" hidden="1">
      <c r="E4072" s="96"/>
    </row>
    <row r="4073" hidden="1">
      <c r="E4073" s="96"/>
    </row>
    <row r="4074" hidden="1">
      <c r="E4074" s="96"/>
    </row>
    <row r="4075" hidden="1">
      <c r="E4075" s="96"/>
    </row>
    <row r="4076" hidden="1">
      <c r="E4076" s="96"/>
    </row>
    <row r="4077" hidden="1">
      <c r="E4077" s="96"/>
    </row>
    <row r="4078" hidden="1">
      <c r="E4078" s="96"/>
    </row>
    <row r="4079" hidden="1">
      <c r="E4079" s="96"/>
    </row>
    <row r="4080" hidden="1">
      <c r="E4080" s="96"/>
    </row>
    <row r="4081" hidden="1">
      <c r="E4081" s="96"/>
    </row>
    <row r="4082" hidden="1">
      <c r="E4082" s="96"/>
    </row>
    <row r="4083" hidden="1">
      <c r="E4083" s="96"/>
    </row>
    <row r="4084" hidden="1">
      <c r="E4084" s="96"/>
    </row>
    <row r="4085" hidden="1">
      <c r="E4085" s="96"/>
    </row>
    <row r="4086" hidden="1">
      <c r="E4086" s="96"/>
    </row>
    <row r="4087" hidden="1">
      <c r="E4087" s="96"/>
    </row>
    <row r="4088" hidden="1">
      <c r="E4088" s="96"/>
    </row>
    <row r="4089" hidden="1">
      <c r="E4089" s="96"/>
    </row>
    <row r="4090" hidden="1">
      <c r="E4090" s="96"/>
    </row>
    <row r="4091" hidden="1">
      <c r="E4091" s="96"/>
    </row>
    <row r="4092" hidden="1">
      <c r="E4092" s="96"/>
    </row>
    <row r="4093" hidden="1">
      <c r="E4093" s="96"/>
    </row>
    <row r="4094" hidden="1">
      <c r="E4094" s="96"/>
    </row>
    <row r="4095" hidden="1">
      <c r="E4095" s="96"/>
    </row>
    <row r="4096" hidden="1">
      <c r="E4096" s="96"/>
    </row>
    <row r="4097" hidden="1">
      <c r="E4097" s="96"/>
    </row>
    <row r="4098" hidden="1">
      <c r="E4098" s="96"/>
    </row>
    <row r="4099" hidden="1">
      <c r="E4099" s="96"/>
    </row>
    <row r="4100" hidden="1">
      <c r="E4100" s="96"/>
    </row>
    <row r="4101" hidden="1">
      <c r="E4101" s="96"/>
    </row>
    <row r="4102" hidden="1">
      <c r="E4102" s="96"/>
    </row>
    <row r="4103" hidden="1">
      <c r="E4103" s="96"/>
    </row>
    <row r="4104" hidden="1">
      <c r="E4104" s="96"/>
    </row>
    <row r="4105" hidden="1">
      <c r="E4105" s="96"/>
    </row>
    <row r="4106" hidden="1">
      <c r="E4106" s="96"/>
    </row>
    <row r="4107" hidden="1">
      <c r="E4107" s="96"/>
    </row>
    <row r="4108" hidden="1">
      <c r="E4108" s="96"/>
    </row>
    <row r="4109" hidden="1">
      <c r="E4109" s="96"/>
    </row>
    <row r="4110" hidden="1">
      <c r="E4110" s="96"/>
    </row>
    <row r="4111" hidden="1">
      <c r="E4111" s="96"/>
    </row>
    <row r="4112" hidden="1">
      <c r="E4112" s="96"/>
    </row>
    <row r="4113" hidden="1">
      <c r="E4113" s="96"/>
    </row>
    <row r="4114" hidden="1">
      <c r="E4114" s="96"/>
    </row>
    <row r="4115" hidden="1">
      <c r="E4115" s="96"/>
    </row>
    <row r="4116" hidden="1">
      <c r="E4116" s="96"/>
    </row>
    <row r="4117" hidden="1">
      <c r="E4117" s="96"/>
    </row>
    <row r="4118" hidden="1">
      <c r="E4118" s="96"/>
    </row>
    <row r="4119" hidden="1">
      <c r="E4119" s="96"/>
    </row>
    <row r="4120" hidden="1">
      <c r="E4120" s="96"/>
    </row>
    <row r="4121" hidden="1">
      <c r="E4121" s="96"/>
    </row>
    <row r="4122" hidden="1">
      <c r="E4122" s="96"/>
    </row>
    <row r="4123" hidden="1">
      <c r="E4123" s="96"/>
    </row>
    <row r="4124" hidden="1">
      <c r="E4124" s="96"/>
    </row>
    <row r="4125" hidden="1">
      <c r="E4125" s="96"/>
    </row>
    <row r="4126" hidden="1">
      <c r="E4126" s="96"/>
    </row>
    <row r="4127" hidden="1">
      <c r="E4127" s="96"/>
    </row>
    <row r="4128" hidden="1">
      <c r="E4128" s="96"/>
    </row>
    <row r="4129" hidden="1">
      <c r="E4129" s="96"/>
    </row>
    <row r="4130" hidden="1">
      <c r="E4130" s="96"/>
    </row>
    <row r="4131" hidden="1">
      <c r="E4131" s="96"/>
    </row>
    <row r="4132" hidden="1">
      <c r="E4132" s="96"/>
    </row>
    <row r="4133" hidden="1">
      <c r="E4133" s="96"/>
    </row>
    <row r="4134" hidden="1">
      <c r="E4134" s="96"/>
    </row>
    <row r="4135" hidden="1">
      <c r="E4135" s="96"/>
    </row>
    <row r="4136" hidden="1">
      <c r="E4136" s="96"/>
    </row>
    <row r="4137" hidden="1">
      <c r="E4137" s="96"/>
    </row>
    <row r="4138" hidden="1">
      <c r="E4138" s="96"/>
    </row>
    <row r="4139" hidden="1">
      <c r="E4139" s="96"/>
    </row>
    <row r="4140" hidden="1">
      <c r="E4140" s="96"/>
    </row>
    <row r="4141" hidden="1">
      <c r="E4141" s="96"/>
    </row>
    <row r="4142" hidden="1">
      <c r="E4142" s="96"/>
    </row>
    <row r="4143" hidden="1">
      <c r="E4143" s="96"/>
    </row>
    <row r="4144" hidden="1">
      <c r="E4144" s="96"/>
    </row>
    <row r="4145" hidden="1">
      <c r="E4145" s="96"/>
    </row>
    <row r="4146" hidden="1">
      <c r="E4146" s="96"/>
    </row>
    <row r="4147" hidden="1">
      <c r="E4147" s="96"/>
    </row>
    <row r="4148" hidden="1">
      <c r="E4148" s="96"/>
    </row>
    <row r="4149" hidden="1">
      <c r="E4149" s="96"/>
    </row>
    <row r="4150" hidden="1">
      <c r="E4150" s="96"/>
    </row>
    <row r="4151" hidden="1">
      <c r="E4151" s="96"/>
    </row>
    <row r="4152" hidden="1">
      <c r="E4152" s="96"/>
    </row>
    <row r="4153" hidden="1">
      <c r="E4153" s="96"/>
    </row>
    <row r="4154" hidden="1">
      <c r="E4154" s="96"/>
    </row>
    <row r="4155" hidden="1">
      <c r="E4155" s="96"/>
    </row>
    <row r="4156" hidden="1">
      <c r="E4156" s="96"/>
    </row>
    <row r="4157" hidden="1">
      <c r="E4157" s="96"/>
    </row>
    <row r="4158" hidden="1">
      <c r="E4158" s="96"/>
    </row>
    <row r="4159" hidden="1">
      <c r="E4159" s="96"/>
    </row>
    <row r="4160" hidden="1">
      <c r="E4160" s="96"/>
    </row>
    <row r="4161" hidden="1">
      <c r="E4161" s="96"/>
    </row>
    <row r="4162" hidden="1">
      <c r="E4162" s="96"/>
    </row>
    <row r="4163" hidden="1">
      <c r="E4163" s="96"/>
    </row>
    <row r="4164" hidden="1">
      <c r="E4164" s="96"/>
    </row>
    <row r="4165" hidden="1">
      <c r="E4165" s="96"/>
    </row>
    <row r="4166" hidden="1">
      <c r="E4166" s="96"/>
    </row>
    <row r="4167" hidden="1">
      <c r="E4167" s="96"/>
    </row>
    <row r="4168" hidden="1">
      <c r="E4168" s="96"/>
    </row>
    <row r="4169" hidden="1">
      <c r="E4169" s="96"/>
    </row>
    <row r="4170" hidden="1">
      <c r="E4170" s="96"/>
    </row>
    <row r="4171" hidden="1">
      <c r="E4171" s="96"/>
    </row>
    <row r="4172" hidden="1">
      <c r="E4172" s="96"/>
    </row>
    <row r="4173" hidden="1">
      <c r="E4173" s="96"/>
    </row>
    <row r="4174" hidden="1">
      <c r="E4174" s="96"/>
    </row>
    <row r="4175" hidden="1">
      <c r="E4175" s="96"/>
    </row>
    <row r="4176" hidden="1">
      <c r="E4176" s="96"/>
    </row>
    <row r="4177" hidden="1">
      <c r="E4177" s="96"/>
    </row>
    <row r="4178" hidden="1">
      <c r="E4178" s="96"/>
    </row>
    <row r="4179" hidden="1">
      <c r="E4179" s="96"/>
    </row>
    <row r="4180" hidden="1">
      <c r="E4180" s="96"/>
    </row>
    <row r="4181" hidden="1">
      <c r="E4181" s="96"/>
    </row>
    <row r="4182" hidden="1">
      <c r="E4182" s="96"/>
    </row>
    <row r="4183" hidden="1">
      <c r="E4183" s="96"/>
    </row>
    <row r="4184" hidden="1">
      <c r="E4184" s="96"/>
    </row>
    <row r="4185" hidden="1">
      <c r="E4185" s="96"/>
    </row>
    <row r="4186" hidden="1">
      <c r="E4186" s="96"/>
    </row>
    <row r="4187" hidden="1">
      <c r="E4187" s="96"/>
    </row>
    <row r="4188" hidden="1">
      <c r="E4188" s="96"/>
    </row>
    <row r="4189" hidden="1">
      <c r="E4189" s="96"/>
    </row>
    <row r="4190" hidden="1">
      <c r="E4190" s="96"/>
    </row>
    <row r="4191" hidden="1">
      <c r="E4191" s="96"/>
    </row>
    <row r="4192" hidden="1">
      <c r="E4192" s="96"/>
    </row>
    <row r="4193" hidden="1">
      <c r="E4193" s="96"/>
    </row>
    <row r="4194" hidden="1">
      <c r="E4194" s="96"/>
    </row>
    <row r="4195" hidden="1">
      <c r="E4195" s="96"/>
    </row>
    <row r="4196" hidden="1">
      <c r="E4196" s="96"/>
    </row>
    <row r="4197" hidden="1">
      <c r="E4197" s="96"/>
    </row>
    <row r="4198" hidden="1">
      <c r="E4198" s="96"/>
    </row>
    <row r="4199" hidden="1">
      <c r="E4199" s="96"/>
    </row>
    <row r="4200" hidden="1">
      <c r="E4200" s="96"/>
    </row>
    <row r="4201" hidden="1">
      <c r="E4201" s="96"/>
    </row>
    <row r="4202" hidden="1">
      <c r="E4202" s="96"/>
    </row>
    <row r="4203" hidden="1">
      <c r="E4203" s="96"/>
    </row>
    <row r="4204" hidden="1">
      <c r="E4204" s="96"/>
    </row>
    <row r="4205" hidden="1">
      <c r="E4205" s="96"/>
    </row>
    <row r="4206" hidden="1">
      <c r="E4206" s="96"/>
    </row>
    <row r="4207" hidden="1">
      <c r="E4207" s="96"/>
    </row>
    <row r="4208" hidden="1">
      <c r="E4208" s="96"/>
    </row>
    <row r="4209" hidden="1">
      <c r="E4209" s="96"/>
    </row>
    <row r="4210" hidden="1">
      <c r="E4210" s="96"/>
    </row>
    <row r="4211" hidden="1">
      <c r="E4211" s="96"/>
    </row>
    <row r="4212" hidden="1">
      <c r="E4212" s="96"/>
    </row>
    <row r="4213" hidden="1">
      <c r="E4213" s="96"/>
    </row>
    <row r="4214" hidden="1">
      <c r="E4214" s="96"/>
    </row>
    <row r="4215" hidden="1">
      <c r="E4215" s="96"/>
    </row>
    <row r="4216" hidden="1">
      <c r="E4216" s="96"/>
    </row>
    <row r="4217" hidden="1">
      <c r="E4217" s="96"/>
    </row>
    <row r="4218" hidden="1">
      <c r="E4218" s="96"/>
    </row>
    <row r="4219" hidden="1">
      <c r="E4219" s="96"/>
    </row>
    <row r="4220" hidden="1">
      <c r="E4220" s="96"/>
    </row>
    <row r="4221" hidden="1">
      <c r="E4221" s="96"/>
    </row>
    <row r="4222" hidden="1">
      <c r="E4222" s="96"/>
    </row>
    <row r="4223" hidden="1">
      <c r="E4223" s="96"/>
    </row>
    <row r="4224" hidden="1">
      <c r="E4224" s="96"/>
    </row>
    <row r="4225" hidden="1">
      <c r="E4225" s="96"/>
    </row>
    <row r="4226" hidden="1">
      <c r="E4226" s="96"/>
    </row>
    <row r="4227" hidden="1">
      <c r="E4227" s="96"/>
    </row>
    <row r="4228" hidden="1">
      <c r="E4228" s="96"/>
    </row>
    <row r="4229" hidden="1">
      <c r="E4229" s="96"/>
    </row>
    <row r="4230" hidden="1">
      <c r="E4230" s="96"/>
    </row>
    <row r="4231" hidden="1">
      <c r="E4231" s="96"/>
    </row>
    <row r="4232" hidden="1">
      <c r="E4232" s="96"/>
    </row>
    <row r="4233" hidden="1">
      <c r="E4233" s="96"/>
    </row>
    <row r="4234" hidden="1">
      <c r="E4234" s="96"/>
    </row>
    <row r="4235" hidden="1">
      <c r="E4235" s="96"/>
    </row>
    <row r="4236" hidden="1">
      <c r="E4236" s="96"/>
    </row>
    <row r="4237" hidden="1">
      <c r="E4237" s="96"/>
    </row>
    <row r="4238" hidden="1">
      <c r="E4238" s="96"/>
    </row>
    <row r="4239" hidden="1">
      <c r="E4239" s="96"/>
    </row>
    <row r="4240" hidden="1">
      <c r="E4240" s="96"/>
    </row>
    <row r="4241" hidden="1">
      <c r="E4241" s="96"/>
    </row>
    <row r="4242" hidden="1">
      <c r="E4242" s="96"/>
    </row>
    <row r="4243" hidden="1">
      <c r="E4243" s="96"/>
    </row>
    <row r="4244" hidden="1">
      <c r="E4244" s="96"/>
    </row>
    <row r="4245" hidden="1">
      <c r="E4245" s="96"/>
    </row>
    <row r="4246" hidden="1">
      <c r="E4246" s="96"/>
    </row>
    <row r="4247" hidden="1">
      <c r="E4247" s="96"/>
    </row>
    <row r="4248" hidden="1">
      <c r="E4248" s="96"/>
    </row>
    <row r="4249" hidden="1">
      <c r="E4249" s="96"/>
    </row>
    <row r="4250" hidden="1">
      <c r="E4250" s="96"/>
    </row>
    <row r="4251" hidden="1">
      <c r="E4251" s="96"/>
    </row>
    <row r="4252" hidden="1">
      <c r="E4252" s="96"/>
    </row>
    <row r="4253" hidden="1">
      <c r="E4253" s="96"/>
    </row>
    <row r="4254" hidden="1">
      <c r="E4254" s="96"/>
    </row>
    <row r="4255" hidden="1">
      <c r="E4255" s="96"/>
    </row>
    <row r="4256" hidden="1">
      <c r="E4256" s="96"/>
    </row>
    <row r="4257" hidden="1">
      <c r="E4257" s="96"/>
    </row>
    <row r="4258" hidden="1">
      <c r="E4258" s="96"/>
    </row>
    <row r="4259" hidden="1">
      <c r="E4259" s="96"/>
    </row>
    <row r="4260" hidden="1">
      <c r="E4260" s="96"/>
    </row>
    <row r="4261" hidden="1">
      <c r="E4261" s="96"/>
    </row>
    <row r="4262" hidden="1">
      <c r="E4262" s="96"/>
    </row>
    <row r="4263" hidden="1">
      <c r="E4263" s="96"/>
    </row>
    <row r="4264" hidden="1">
      <c r="E4264" s="96"/>
    </row>
    <row r="4265" hidden="1">
      <c r="E4265" s="96"/>
    </row>
    <row r="4266" hidden="1">
      <c r="E4266" s="96"/>
    </row>
    <row r="4267" hidden="1">
      <c r="E4267" s="96"/>
    </row>
    <row r="4268" hidden="1">
      <c r="E4268" s="96"/>
    </row>
    <row r="4269" hidden="1">
      <c r="E4269" s="96"/>
    </row>
    <row r="4270" hidden="1">
      <c r="E4270" s="96"/>
    </row>
    <row r="4271" hidden="1">
      <c r="E4271" s="96"/>
    </row>
    <row r="4272" hidden="1">
      <c r="E4272" s="96"/>
    </row>
    <row r="4273" hidden="1">
      <c r="E4273" s="96"/>
    </row>
    <row r="4274" hidden="1">
      <c r="E4274" s="96"/>
    </row>
    <row r="4275" hidden="1">
      <c r="E4275" s="96"/>
    </row>
    <row r="4276" hidden="1">
      <c r="E4276" s="96"/>
    </row>
    <row r="4277" hidden="1">
      <c r="E4277" s="96"/>
    </row>
    <row r="4278" hidden="1">
      <c r="E4278" s="96"/>
    </row>
    <row r="4279" hidden="1">
      <c r="E4279" s="96"/>
    </row>
    <row r="4280" hidden="1">
      <c r="E4280" s="96"/>
    </row>
    <row r="4281" hidden="1">
      <c r="E4281" s="96"/>
    </row>
    <row r="4282" hidden="1">
      <c r="E4282" s="96"/>
    </row>
    <row r="4283" hidden="1">
      <c r="E4283" s="96"/>
    </row>
    <row r="4284" hidden="1">
      <c r="E4284" s="96"/>
    </row>
    <row r="4285" hidden="1">
      <c r="E4285" s="96"/>
    </row>
    <row r="4286" hidden="1">
      <c r="E4286" s="96"/>
    </row>
    <row r="4287" hidden="1">
      <c r="E4287" s="96"/>
    </row>
    <row r="4288" hidden="1">
      <c r="E4288" s="96"/>
    </row>
    <row r="4289" hidden="1">
      <c r="E4289" s="96"/>
    </row>
    <row r="4290" hidden="1">
      <c r="E4290" s="96"/>
    </row>
    <row r="4291" hidden="1">
      <c r="E4291" s="96"/>
    </row>
    <row r="4292" hidden="1">
      <c r="E4292" s="96"/>
    </row>
    <row r="4293" hidden="1">
      <c r="E4293" s="96"/>
    </row>
    <row r="4294" hidden="1">
      <c r="E4294" s="96"/>
    </row>
    <row r="4295" hidden="1">
      <c r="E4295" s="96"/>
    </row>
    <row r="4296" hidden="1">
      <c r="E4296" s="96"/>
    </row>
    <row r="4297" hidden="1">
      <c r="E4297" s="96"/>
    </row>
    <row r="4298" hidden="1">
      <c r="E4298" s="96"/>
    </row>
    <row r="4299" hidden="1">
      <c r="E4299" s="96"/>
    </row>
    <row r="4300" hidden="1">
      <c r="E4300" s="96"/>
    </row>
    <row r="4301" hidden="1">
      <c r="E4301" s="96"/>
    </row>
    <row r="4302" hidden="1">
      <c r="E4302" s="96"/>
    </row>
    <row r="4303" hidden="1">
      <c r="E4303" s="96"/>
    </row>
    <row r="4304" hidden="1">
      <c r="E4304" s="96"/>
    </row>
    <row r="4305" hidden="1">
      <c r="E4305" s="96"/>
    </row>
    <row r="4306" hidden="1">
      <c r="E4306" s="96"/>
    </row>
    <row r="4307" hidden="1">
      <c r="E4307" s="96"/>
    </row>
    <row r="4308" hidden="1">
      <c r="E4308" s="96"/>
    </row>
    <row r="4309" hidden="1">
      <c r="E4309" s="96"/>
    </row>
    <row r="4310" hidden="1">
      <c r="E4310" s="96"/>
    </row>
    <row r="4311" hidden="1">
      <c r="E4311" s="96"/>
    </row>
    <row r="4312" hidden="1">
      <c r="E4312" s="96"/>
    </row>
    <row r="4313" hidden="1">
      <c r="E4313" s="96"/>
    </row>
    <row r="4314" hidden="1">
      <c r="E4314" s="96"/>
    </row>
    <row r="4315" hidden="1">
      <c r="E4315" s="96"/>
    </row>
    <row r="4316" hidden="1">
      <c r="E4316" s="96"/>
    </row>
    <row r="4317" hidden="1">
      <c r="E4317" s="96"/>
    </row>
    <row r="4318" hidden="1">
      <c r="E4318" s="96"/>
    </row>
    <row r="4319" hidden="1">
      <c r="E4319" s="96"/>
    </row>
    <row r="4320" hidden="1">
      <c r="E4320" s="96"/>
    </row>
    <row r="4321" hidden="1">
      <c r="E4321" s="96"/>
    </row>
    <row r="4322" hidden="1">
      <c r="E4322" s="96"/>
    </row>
    <row r="4323" hidden="1">
      <c r="E4323" s="96"/>
    </row>
    <row r="4324" hidden="1">
      <c r="E4324" s="96"/>
    </row>
    <row r="4325" hidden="1">
      <c r="E4325" s="96"/>
    </row>
    <row r="4326" hidden="1">
      <c r="E4326" s="96"/>
    </row>
    <row r="4327" hidden="1">
      <c r="E4327" s="96"/>
    </row>
    <row r="4328" hidden="1">
      <c r="E4328" s="96"/>
    </row>
    <row r="4329" hidden="1">
      <c r="E4329" s="96"/>
    </row>
    <row r="4330" hidden="1">
      <c r="E4330" s="96"/>
    </row>
    <row r="4331" hidden="1">
      <c r="E4331" s="96"/>
    </row>
    <row r="4332" hidden="1">
      <c r="E4332" s="96"/>
    </row>
    <row r="4333" hidden="1">
      <c r="E4333" s="96"/>
    </row>
    <row r="4334" hidden="1">
      <c r="E4334" s="96"/>
    </row>
    <row r="4335" hidden="1">
      <c r="E4335" s="96"/>
    </row>
    <row r="4336" hidden="1">
      <c r="E4336" s="96"/>
    </row>
    <row r="4337" hidden="1">
      <c r="E4337" s="96"/>
    </row>
    <row r="4338" hidden="1">
      <c r="E4338" s="96"/>
    </row>
    <row r="4339" hidden="1">
      <c r="E4339" s="96"/>
    </row>
    <row r="4340" hidden="1">
      <c r="E4340" s="96"/>
    </row>
    <row r="4341" hidden="1">
      <c r="E4341" s="96"/>
    </row>
    <row r="4342" hidden="1">
      <c r="E4342" s="96"/>
    </row>
    <row r="4343" hidden="1">
      <c r="E4343" s="96"/>
    </row>
    <row r="4344" hidden="1">
      <c r="E4344" s="96"/>
    </row>
    <row r="4345" hidden="1">
      <c r="E4345" s="96"/>
    </row>
    <row r="4346" hidden="1">
      <c r="E4346" s="96"/>
    </row>
    <row r="4347" hidden="1">
      <c r="E4347" s="96"/>
    </row>
    <row r="4348" hidden="1">
      <c r="E4348" s="96"/>
    </row>
    <row r="4349" hidden="1">
      <c r="E4349" s="96"/>
    </row>
    <row r="4350" hidden="1">
      <c r="E4350" s="96"/>
    </row>
    <row r="4351" hidden="1">
      <c r="E4351" s="96"/>
    </row>
    <row r="4352" hidden="1">
      <c r="E4352" s="96"/>
    </row>
    <row r="4353" hidden="1">
      <c r="E4353" s="96"/>
    </row>
    <row r="4354" hidden="1">
      <c r="E4354" s="96"/>
    </row>
    <row r="4355" hidden="1">
      <c r="E4355" s="96"/>
    </row>
    <row r="4356" hidden="1">
      <c r="E4356" s="96"/>
    </row>
    <row r="4357" hidden="1">
      <c r="E4357" s="96"/>
    </row>
    <row r="4358" hidden="1">
      <c r="E4358" s="96"/>
    </row>
    <row r="4359" hidden="1">
      <c r="E4359" s="96"/>
    </row>
    <row r="4360" hidden="1">
      <c r="E4360" s="96"/>
    </row>
    <row r="4361" hidden="1">
      <c r="E4361" s="96"/>
    </row>
    <row r="4362" hidden="1">
      <c r="E4362" s="96"/>
    </row>
    <row r="4363" hidden="1">
      <c r="E4363" s="96"/>
    </row>
    <row r="4364" hidden="1">
      <c r="E4364" s="96"/>
    </row>
    <row r="4365" hidden="1">
      <c r="E4365" s="96"/>
    </row>
    <row r="4366" hidden="1">
      <c r="E4366" s="96"/>
    </row>
    <row r="4367" hidden="1">
      <c r="E4367" s="96"/>
    </row>
    <row r="4368" hidden="1">
      <c r="E4368" s="96"/>
    </row>
    <row r="4369" hidden="1">
      <c r="E4369" s="96"/>
    </row>
    <row r="4370" hidden="1">
      <c r="E4370" s="96"/>
    </row>
    <row r="4371" hidden="1">
      <c r="E4371" s="96"/>
    </row>
    <row r="4372" hidden="1">
      <c r="E4372" s="96"/>
    </row>
    <row r="4373" hidden="1">
      <c r="E4373" s="96"/>
    </row>
    <row r="4374" hidden="1">
      <c r="E4374" s="96"/>
    </row>
    <row r="4375" hidden="1">
      <c r="E4375" s="96"/>
    </row>
    <row r="4376" hidden="1">
      <c r="E4376" s="96"/>
    </row>
    <row r="4377" hidden="1">
      <c r="E4377" s="96"/>
    </row>
    <row r="4378" hidden="1">
      <c r="E4378" s="96"/>
    </row>
    <row r="4379" hidden="1">
      <c r="E4379" s="96"/>
    </row>
    <row r="4380" hidden="1">
      <c r="E4380" s="96"/>
    </row>
    <row r="4381" hidden="1">
      <c r="E4381" s="96"/>
    </row>
    <row r="4382" hidden="1">
      <c r="E4382" s="96"/>
    </row>
    <row r="4383" hidden="1">
      <c r="E4383" s="96"/>
    </row>
    <row r="4384" hidden="1">
      <c r="E4384" s="96"/>
    </row>
    <row r="4385" hidden="1">
      <c r="E4385" s="96"/>
    </row>
    <row r="4386" hidden="1">
      <c r="E4386" s="96"/>
    </row>
    <row r="4387" hidden="1">
      <c r="E4387" s="96"/>
    </row>
    <row r="4388" hidden="1">
      <c r="E4388" s="96"/>
    </row>
    <row r="4389" hidden="1">
      <c r="E4389" s="96"/>
    </row>
    <row r="4390" hidden="1">
      <c r="E4390" s="96"/>
    </row>
    <row r="4391" hidden="1">
      <c r="E4391" s="96"/>
    </row>
    <row r="4392" hidden="1">
      <c r="E4392" s="96"/>
    </row>
    <row r="4393" hidden="1">
      <c r="E4393" s="96"/>
    </row>
    <row r="4394" hidden="1">
      <c r="E4394" s="96"/>
    </row>
    <row r="4395" hidden="1">
      <c r="E4395" s="96"/>
    </row>
    <row r="4396" hidden="1">
      <c r="E4396" s="96"/>
    </row>
    <row r="4397" hidden="1">
      <c r="E4397" s="96"/>
    </row>
    <row r="4398" hidden="1">
      <c r="E4398" s="96"/>
    </row>
    <row r="4399" hidden="1">
      <c r="E4399" s="96"/>
    </row>
    <row r="4400" hidden="1">
      <c r="E4400" s="96"/>
    </row>
    <row r="4401" hidden="1">
      <c r="E4401" s="96"/>
    </row>
    <row r="4402" hidden="1">
      <c r="E4402" s="96"/>
    </row>
    <row r="4403" hidden="1">
      <c r="E4403" s="96"/>
    </row>
    <row r="4404" hidden="1">
      <c r="E4404" s="96"/>
    </row>
    <row r="4405" hidden="1">
      <c r="E4405" s="96"/>
    </row>
    <row r="4406" hidden="1">
      <c r="E4406" s="96"/>
    </row>
    <row r="4407" hidden="1">
      <c r="E4407" s="96"/>
    </row>
    <row r="4408" hidden="1">
      <c r="E4408" s="96"/>
    </row>
    <row r="4409" hidden="1">
      <c r="E4409" s="96"/>
    </row>
    <row r="4410" hidden="1">
      <c r="E4410" s="96"/>
    </row>
    <row r="4411" hidden="1">
      <c r="E4411" s="96"/>
    </row>
    <row r="4412" hidden="1">
      <c r="E4412" s="96"/>
    </row>
    <row r="4413" hidden="1">
      <c r="E4413" s="96"/>
    </row>
    <row r="4414" hidden="1">
      <c r="E4414" s="96"/>
    </row>
    <row r="4415" hidden="1">
      <c r="E4415" s="96"/>
    </row>
    <row r="4416" hidden="1">
      <c r="E4416" s="96"/>
    </row>
    <row r="4417" hidden="1">
      <c r="E4417" s="96"/>
    </row>
    <row r="4418" hidden="1">
      <c r="E4418" s="96"/>
    </row>
    <row r="4419" hidden="1">
      <c r="E4419" s="96"/>
    </row>
    <row r="4420" hidden="1">
      <c r="E4420" s="96"/>
    </row>
    <row r="4421" hidden="1">
      <c r="E4421" s="96"/>
    </row>
    <row r="4422" hidden="1">
      <c r="E4422" s="96"/>
    </row>
    <row r="4423" hidden="1">
      <c r="E4423" s="96"/>
    </row>
    <row r="4424" hidden="1">
      <c r="E4424" s="96"/>
    </row>
    <row r="4425" hidden="1">
      <c r="E4425" s="96"/>
    </row>
    <row r="4426" hidden="1">
      <c r="E4426" s="96"/>
    </row>
    <row r="4427" hidden="1">
      <c r="E4427" s="96"/>
    </row>
    <row r="4428" hidden="1">
      <c r="E4428" s="96"/>
    </row>
    <row r="4429" hidden="1">
      <c r="E4429" s="96"/>
    </row>
    <row r="4430" hidden="1">
      <c r="E4430" s="96"/>
    </row>
    <row r="4431" hidden="1">
      <c r="E4431" s="96"/>
    </row>
    <row r="4432" hidden="1">
      <c r="E4432" s="96"/>
    </row>
    <row r="4433" hidden="1">
      <c r="E4433" s="96"/>
    </row>
    <row r="4434" hidden="1">
      <c r="E4434" s="96"/>
    </row>
    <row r="4435" hidden="1">
      <c r="E4435" s="96"/>
    </row>
    <row r="4436" hidden="1">
      <c r="E4436" s="96"/>
    </row>
    <row r="4437" hidden="1">
      <c r="E4437" s="96"/>
    </row>
    <row r="4438" hidden="1">
      <c r="E4438" s="96"/>
    </row>
    <row r="4439" hidden="1">
      <c r="E4439" s="96"/>
    </row>
    <row r="4440" hidden="1">
      <c r="E4440" s="96"/>
    </row>
    <row r="4441" hidden="1">
      <c r="E4441" s="96"/>
    </row>
    <row r="4442" hidden="1">
      <c r="E4442" s="96"/>
    </row>
    <row r="4443" hidden="1">
      <c r="E4443" s="96"/>
    </row>
    <row r="4444" hidden="1">
      <c r="E4444" s="96"/>
    </row>
    <row r="4445" hidden="1">
      <c r="E4445" s="96"/>
    </row>
    <row r="4446" hidden="1">
      <c r="E4446" s="96"/>
    </row>
    <row r="4447" hidden="1">
      <c r="E4447" s="96"/>
    </row>
    <row r="4448" hidden="1">
      <c r="E4448" s="96"/>
    </row>
    <row r="4449" hidden="1">
      <c r="E4449" s="96"/>
    </row>
    <row r="4450" hidden="1">
      <c r="E4450" s="96"/>
    </row>
    <row r="4451" hidden="1">
      <c r="E4451" s="96"/>
    </row>
    <row r="4452" hidden="1">
      <c r="E4452" s="96"/>
    </row>
    <row r="4453" hidden="1">
      <c r="E4453" s="96"/>
    </row>
    <row r="4454" hidden="1">
      <c r="E4454" s="96"/>
    </row>
    <row r="4455" hidden="1">
      <c r="E4455" s="96"/>
    </row>
    <row r="4456" hidden="1">
      <c r="E4456" s="96"/>
    </row>
    <row r="4457" hidden="1">
      <c r="E4457" s="96"/>
    </row>
    <row r="4458" hidden="1">
      <c r="E4458" s="96"/>
    </row>
    <row r="4459" hidden="1">
      <c r="E4459" s="96"/>
    </row>
    <row r="4460" hidden="1">
      <c r="E4460" s="96"/>
    </row>
    <row r="4461" hidden="1">
      <c r="E4461" s="96"/>
    </row>
    <row r="4462" hidden="1">
      <c r="E4462" s="96"/>
    </row>
    <row r="4463" hidden="1">
      <c r="E4463" s="96"/>
    </row>
    <row r="4464" hidden="1">
      <c r="E4464" s="96"/>
    </row>
    <row r="4465" hidden="1">
      <c r="E4465" s="96"/>
    </row>
    <row r="4466" hidden="1">
      <c r="E4466" s="96"/>
    </row>
    <row r="4467" hidden="1">
      <c r="E4467" s="96"/>
    </row>
    <row r="4468" hidden="1">
      <c r="E4468" s="96"/>
    </row>
    <row r="4469" hidden="1">
      <c r="E4469" s="96"/>
    </row>
    <row r="4470" hidden="1">
      <c r="E4470" s="96"/>
    </row>
    <row r="4471" hidden="1">
      <c r="E4471" s="96"/>
    </row>
    <row r="4472" hidden="1">
      <c r="E4472" s="96"/>
    </row>
    <row r="4473" hidden="1">
      <c r="E4473" s="96"/>
    </row>
    <row r="4474" hidden="1">
      <c r="E4474" s="96"/>
    </row>
    <row r="4475" hidden="1">
      <c r="E4475" s="96"/>
    </row>
    <row r="4476" hidden="1">
      <c r="E4476" s="96"/>
    </row>
    <row r="4477" hidden="1">
      <c r="E4477" s="96"/>
    </row>
    <row r="4478" hidden="1">
      <c r="E4478" s="96"/>
    </row>
    <row r="4479" hidden="1">
      <c r="E4479" s="96"/>
    </row>
    <row r="4480" hidden="1">
      <c r="E4480" s="96"/>
    </row>
    <row r="4481" hidden="1">
      <c r="E4481" s="96"/>
    </row>
    <row r="4482" hidden="1">
      <c r="E4482" s="96"/>
    </row>
    <row r="4483" hidden="1">
      <c r="E4483" s="96"/>
    </row>
    <row r="4484" hidden="1">
      <c r="E4484" s="96"/>
    </row>
    <row r="4485" hidden="1">
      <c r="E4485" s="96"/>
    </row>
    <row r="4486" hidden="1">
      <c r="E4486" s="96"/>
    </row>
    <row r="4487" hidden="1">
      <c r="E4487" s="96"/>
    </row>
    <row r="4488" hidden="1">
      <c r="E4488" s="96"/>
    </row>
    <row r="4489" hidden="1">
      <c r="E4489" s="96"/>
    </row>
    <row r="4490" hidden="1">
      <c r="E4490" s="96"/>
    </row>
    <row r="4491" hidden="1">
      <c r="E4491" s="96"/>
    </row>
    <row r="4492" hidden="1">
      <c r="E4492" s="96"/>
    </row>
    <row r="4493" hidden="1">
      <c r="E4493" s="96"/>
    </row>
    <row r="4494" hidden="1">
      <c r="E4494" s="96"/>
    </row>
    <row r="4495" hidden="1">
      <c r="E4495" s="96"/>
    </row>
    <row r="4496" hidden="1">
      <c r="E4496" s="96"/>
    </row>
    <row r="4497" hidden="1">
      <c r="E4497" s="96"/>
    </row>
    <row r="4498" hidden="1">
      <c r="E4498" s="96"/>
    </row>
    <row r="4499" hidden="1">
      <c r="E4499" s="96"/>
    </row>
    <row r="4500" hidden="1">
      <c r="E4500" s="96"/>
    </row>
    <row r="4501" hidden="1">
      <c r="E4501" s="96"/>
    </row>
    <row r="4502" hidden="1">
      <c r="E4502" s="96"/>
    </row>
    <row r="4503" hidden="1">
      <c r="E4503" s="96"/>
    </row>
    <row r="4504" hidden="1">
      <c r="E4504" s="96"/>
    </row>
    <row r="4505" hidden="1">
      <c r="E4505" s="96"/>
    </row>
    <row r="4506" hidden="1">
      <c r="E4506" s="96"/>
    </row>
    <row r="4507" hidden="1">
      <c r="E4507" s="96"/>
    </row>
    <row r="4508" hidden="1">
      <c r="E4508" s="96"/>
    </row>
    <row r="4509" hidden="1">
      <c r="E4509" s="96"/>
    </row>
    <row r="4510" hidden="1">
      <c r="E4510" s="96"/>
    </row>
    <row r="4511" hidden="1">
      <c r="E4511" s="96"/>
    </row>
    <row r="4512" hidden="1">
      <c r="E4512" s="96"/>
    </row>
    <row r="4513" hidden="1">
      <c r="E4513" s="96"/>
    </row>
    <row r="4514" hidden="1">
      <c r="E4514" s="96"/>
    </row>
    <row r="4515" hidden="1">
      <c r="E4515" s="96"/>
    </row>
    <row r="4516" hidden="1">
      <c r="E4516" s="96"/>
    </row>
    <row r="4517" hidden="1">
      <c r="E4517" s="96"/>
    </row>
    <row r="4518" hidden="1">
      <c r="E4518" s="96"/>
    </row>
    <row r="4519" hidden="1">
      <c r="E4519" s="96"/>
    </row>
    <row r="4520" hidden="1">
      <c r="E4520" s="96"/>
    </row>
    <row r="4521" hidden="1">
      <c r="E4521" s="96"/>
    </row>
    <row r="4522" hidden="1">
      <c r="E4522" s="96"/>
    </row>
    <row r="4523" hidden="1">
      <c r="E4523" s="96"/>
    </row>
    <row r="4524" hidden="1">
      <c r="E4524" s="96"/>
    </row>
    <row r="4525" hidden="1">
      <c r="E4525" s="96"/>
    </row>
    <row r="4526" hidden="1">
      <c r="E4526" s="96"/>
    </row>
    <row r="4527" hidden="1">
      <c r="E4527" s="96"/>
    </row>
    <row r="4528" hidden="1">
      <c r="E4528" s="96"/>
    </row>
    <row r="4529" hidden="1">
      <c r="E4529" s="96"/>
    </row>
    <row r="4530" hidden="1">
      <c r="E4530" s="96"/>
    </row>
    <row r="4531" hidden="1">
      <c r="E4531" s="96"/>
    </row>
    <row r="4532" hidden="1">
      <c r="E4532" s="96"/>
    </row>
    <row r="4533" hidden="1">
      <c r="E4533" s="96"/>
    </row>
    <row r="4534" hidden="1">
      <c r="E4534" s="96"/>
    </row>
    <row r="4535" hidden="1">
      <c r="E4535" s="96"/>
    </row>
    <row r="4536" hidden="1">
      <c r="E4536" s="96"/>
    </row>
    <row r="4537" hidden="1">
      <c r="E4537" s="96"/>
    </row>
    <row r="4538" hidden="1">
      <c r="E4538" s="96"/>
    </row>
    <row r="4539" hidden="1">
      <c r="E4539" s="96"/>
    </row>
    <row r="4540" hidden="1">
      <c r="E4540" s="96"/>
    </row>
    <row r="4541" hidden="1">
      <c r="E4541" s="96"/>
    </row>
    <row r="4542" hidden="1">
      <c r="E4542" s="96"/>
    </row>
    <row r="4543" hidden="1">
      <c r="E4543" s="96"/>
    </row>
    <row r="4544" hidden="1">
      <c r="E4544" s="96"/>
    </row>
    <row r="4545" hidden="1">
      <c r="E4545" s="96"/>
    </row>
    <row r="4546" hidden="1">
      <c r="E4546" s="96"/>
    </row>
    <row r="4547" hidden="1">
      <c r="E4547" s="96"/>
    </row>
    <row r="4548" hidden="1">
      <c r="E4548" s="96"/>
    </row>
    <row r="4549" hidden="1">
      <c r="E4549" s="96"/>
    </row>
    <row r="4550" hidden="1">
      <c r="E4550" s="96"/>
    </row>
    <row r="4551" hidden="1">
      <c r="E4551" s="96"/>
    </row>
    <row r="4552" hidden="1">
      <c r="E4552" s="96"/>
    </row>
    <row r="4553" hidden="1">
      <c r="E4553" s="96"/>
    </row>
    <row r="4554" hidden="1">
      <c r="E4554" s="96"/>
    </row>
    <row r="4555" hidden="1">
      <c r="E4555" s="96"/>
    </row>
    <row r="4556" hidden="1">
      <c r="E4556" s="96"/>
    </row>
    <row r="4557" hidden="1">
      <c r="E4557" s="96"/>
    </row>
    <row r="4558" hidden="1">
      <c r="E4558" s="96"/>
    </row>
    <row r="4559" hidden="1">
      <c r="E4559" s="96"/>
    </row>
    <row r="4560" hidden="1">
      <c r="E4560" s="96"/>
    </row>
    <row r="4561" hidden="1">
      <c r="E4561" s="96"/>
    </row>
    <row r="4562" hidden="1">
      <c r="E4562" s="96"/>
    </row>
    <row r="4563" hidden="1">
      <c r="E4563" s="96"/>
    </row>
    <row r="4564" hidden="1">
      <c r="E4564" s="96"/>
    </row>
    <row r="4565" hidden="1">
      <c r="E4565" s="96"/>
    </row>
    <row r="4566" hidden="1">
      <c r="E4566" s="96"/>
    </row>
    <row r="4567" hidden="1">
      <c r="E4567" s="96"/>
    </row>
    <row r="4568" hidden="1">
      <c r="E4568" s="96"/>
    </row>
    <row r="4569" hidden="1">
      <c r="E4569" s="96"/>
    </row>
    <row r="4570" hidden="1">
      <c r="E4570" s="96"/>
    </row>
    <row r="4571" hidden="1">
      <c r="E4571" s="96"/>
    </row>
    <row r="4572" hidden="1">
      <c r="E4572" s="96"/>
    </row>
    <row r="4573" hidden="1">
      <c r="E4573" s="96"/>
    </row>
    <row r="4574" hidden="1">
      <c r="E4574" s="96"/>
    </row>
    <row r="4575" hidden="1">
      <c r="E4575" s="96"/>
    </row>
    <row r="4576" hidden="1">
      <c r="E4576" s="96"/>
    </row>
    <row r="4577" hidden="1">
      <c r="E4577" s="96"/>
    </row>
    <row r="4578" hidden="1">
      <c r="E4578" s="96"/>
    </row>
    <row r="4579" hidden="1">
      <c r="E4579" s="96"/>
    </row>
    <row r="4580" hidden="1">
      <c r="E4580" s="96"/>
    </row>
    <row r="4581" hidden="1">
      <c r="E4581" s="96"/>
    </row>
    <row r="4582" hidden="1">
      <c r="E4582" s="96"/>
    </row>
    <row r="4583" hidden="1">
      <c r="E4583" s="96"/>
    </row>
    <row r="4584" hidden="1">
      <c r="E4584" s="96"/>
    </row>
    <row r="4585" hidden="1">
      <c r="E4585" s="96"/>
    </row>
    <row r="4586" hidden="1">
      <c r="E4586" s="96"/>
    </row>
    <row r="4587" hidden="1">
      <c r="E4587" s="96"/>
    </row>
    <row r="4588" hidden="1">
      <c r="E4588" s="96"/>
    </row>
    <row r="4589" hidden="1">
      <c r="E4589" s="96"/>
    </row>
    <row r="4590" hidden="1">
      <c r="E4590" s="96"/>
    </row>
    <row r="4591" hidden="1">
      <c r="E4591" s="96"/>
    </row>
    <row r="4592" hidden="1">
      <c r="E4592" s="96"/>
    </row>
    <row r="4593" hidden="1">
      <c r="E4593" s="96"/>
    </row>
    <row r="4594" hidden="1">
      <c r="E4594" s="96"/>
    </row>
    <row r="4595" hidden="1">
      <c r="E4595" s="96"/>
    </row>
    <row r="4596" hidden="1">
      <c r="E4596" s="96"/>
    </row>
    <row r="4597" hidden="1">
      <c r="E4597" s="96"/>
    </row>
    <row r="4598" hidden="1">
      <c r="E4598" s="96"/>
    </row>
    <row r="4599" hidden="1">
      <c r="E4599" s="96"/>
    </row>
    <row r="4600" hidden="1">
      <c r="E4600" s="96"/>
    </row>
    <row r="4601" hidden="1">
      <c r="E4601" s="96"/>
    </row>
    <row r="4602" hidden="1">
      <c r="E4602" s="96"/>
    </row>
    <row r="4603" hidden="1">
      <c r="E4603" s="96"/>
    </row>
    <row r="4604" hidden="1">
      <c r="E4604" s="96"/>
    </row>
    <row r="4605" hidden="1">
      <c r="E4605" s="96"/>
    </row>
    <row r="4606" hidden="1">
      <c r="E4606" s="96"/>
    </row>
    <row r="4607" hidden="1">
      <c r="E4607" s="96"/>
    </row>
    <row r="4608" hidden="1">
      <c r="E4608" s="96"/>
    </row>
    <row r="4609" hidden="1">
      <c r="E4609" s="96"/>
    </row>
    <row r="4610" hidden="1">
      <c r="E4610" s="96"/>
    </row>
    <row r="4611" hidden="1">
      <c r="E4611" s="96"/>
    </row>
    <row r="4612" hidden="1">
      <c r="E4612" s="96"/>
    </row>
    <row r="4613" hidden="1">
      <c r="E4613" s="96"/>
    </row>
    <row r="4614" hidden="1">
      <c r="E4614" s="96"/>
    </row>
    <row r="4615" hidden="1">
      <c r="E4615" s="96"/>
    </row>
    <row r="4616" hidden="1">
      <c r="E4616" s="96"/>
    </row>
    <row r="4617" hidden="1">
      <c r="E4617" s="96"/>
    </row>
    <row r="4618" hidden="1">
      <c r="E4618" s="96"/>
    </row>
    <row r="4619" hidden="1">
      <c r="E4619" s="96"/>
    </row>
    <row r="4620" hidden="1">
      <c r="E4620" s="96"/>
    </row>
    <row r="4621" hidden="1">
      <c r="E4621" s="96"/>
    </row>
    <row r="4622" hidden="1">
      <c r="E4622" s="96"/>
    </row>
    <row r="4623" hidden="1">
      <c r="E4623" s="96"/>
    </row>
    <row r="4624" hidden="1">
      <c r="E4624" s="96"/>
    </row>
    <row r="4625" hidden="1">
      <c r="E4625" s="96"/>
    </row>
    <row r="4626" hidden="1">
      <c r="E4626" s="96"/>
    </row>
    <row r="4627" hidden="1">
      <c r="E4627" s="96"/>
    </row>
    <row r="4628" hidden="1">
      <c r="E4628" s="96"/>
    </row>
    <row r="4629" hidden="1">
      <c r="E4629" s="96"/>
    </row>
    <row r="4630" hidden="1">
      <c r="E4630" s="96"/>
    </row>
    <row r="4631" hidden="1">
      <c r="E4631" s="96"/>
    </row>
    <row r="4632" hidden="1">
      <c r="E4632" s="96"/>
    </row>
    <row r="4633" hidden="1">
      <c r="E4633" s="96"/>
    </row>
    <row r="4634" hidden="1">
      <c r="E4634" s="96"/>
    </row>
    <row r="4635" hidden="1">
      <c r="E4635" s="96"/>
    </row>
    <row r="4636" hidden="1">
      <c r="E4636" s="96"/>
    </row>
    <row r="4637" hidden="1">
      <c r="E4637" s="96"/>
    </row>
    <row r="4638" hidden="1">
      <c r="E4638" s="96"/>
    </row>
    <row r="4639" hidden="1">
      <c r="E4639" s="96"/>
    </row>
    <row r="4640" hidden="1">
      <c r="E4640" s="96"/>
    </row>
    <row r="4641" hidden="1">
      <c r="E4641" s="96"/>
    </row>
    <row r="4642" hidden="1">
      <c r="E4642" s="96"/>
    </row>
    <row r="4643" hidden="1">
      <c r="E4643" s="96"/>
    </row>
    <row r="4644" hidden="1">
      <c r="E4644" s="96"/>
    </row>
    <row r="4645" hidden="1">
      <c r="E4645" s="96"/>
    </row>
    <row r="4646" hidden="1">
      <c r="E4646" s="96"/>
    </row>
    <row r="4647" hidden="1">
      <c r="E4647" s="96"/>
    </row>
    <row r="4648" hidden="1">
      <c r="E4648" s="96"/>
    </row>
    <row r="4649" hidden="1">
      <c r="E4649" s="96"/>
    </row>
    <row r="4650" hidden="1">
      <c r="E4650" s="96"/>
    </row>
    <row r="4651" hidden="1">
      <c r="E4651" s="96"/>
    </row>
    <row r="4652" hidden="1">
      <c r="E4652" s="96"/>
    </row>
    <row r="4653" hidden="1">
      <c r="E4653" s="96"/>
    </row>
    <row r="4654" hidden="1">
      <c r="E4654" s="96"/>
    </row>
    <row r="4655" hidden="1">
      <c r="E4655" s="96"/>
    </row>
    <row r="4656" hidden="1">
      <c r="E4656" s="96"/>
    </row>
    <row r="4657" hidden="1">
      <c r="E4657" s="96"/>
    </row>
    <row r="4658" hidden="1">
      <c r="E4658" s="96"/>
    </row>
    <row r="4659" hidden="1">
      <c r="E4659" s="96"/>
    </row>
    <row r="4660" hidden="1">
      <c r="E4660" s="96"/>
    </row>
    <row r="4661" hidden="1">
      <c r="E4661" s="96"/>
    </row>
    <row r="4662" hidden="1">
      <c r="E4662" s="96"/>
    </row>
    <row r="4663" hidden="1">
      <c r="E4663" s="96"/>
    </row>
    <row r="4664" hidden="1">
      <c r="E4664" s="96"/>
    </row>
    <row r="4665" hidden="1">
      <c r="E4665" s="96"/>
    </row>
    <row r="4666" hidden="1">
      <c r="E4666" s="96"/>
    </row>
    <row r="4667" hidden="1">
      <c r="E4667" s="96"/>
    </row>
    <row r="4668" hidden="1">
      <c r="E4668" s="96"/>
    </row>
    <row r="4669" hidden="1">
      <c r="E4669" s="96"/>
    </row>
    <row r="4670" hidden="1">
      <c r="E4670" s="96"/>
    </row>
    <row r="4671" hidden="1">
      <c r="E4671" s="96"/>
    </row>
    <row r="4672" hidden="1">
      <c r="E4672" s="96"/>
    </row>
    <row r="4673" hidden="1">
      <c r="E4673" s="96"/>
    </row>
    <row r="4674" hidden="1">
      <c r="E4674" s="96"/>
    </row>
    <row r="4675" hidden="1">
      <c r="E4675" s="96"/>
    </row>
    <row r="4676" hidden="1">
      <c r="E4676" s="96"/>
    </row>
    <row r="4677" hidden="1">
      <c r="E4677" s="96"/>
    </row>
    <row r="4678" hidden="1">
      <c r="E4678" s="96"/>
    </row>
    <row r="4679" hidden="1">
      <c r="E4679" s="96"/>
    </row>
    <row r="4680" hidden="1">
      <c r="E4680" s="96"/>
    </row>
    <row r="4681" hidden="1">
      <c r="E4681" s="96"/>
    </row>
    <row r="4682" hidden="1">
      <c r="E4682" s="96"/>
    </row>
    <row r="4683" hidden="1">
      <c r="E4683" s="96"/>
    </row>
    <row r="4684" hidden="1">
      <c r="E4684" s="96"/>
    </row>
    <row r="4685" hidden="1">
      <c r="E4685" s="96"/>
    </row>
    <row r="4686" hidden="1">
      <c r="E4686" s="96"/>
    </row>
    <row r="4687" hidden="1">
      <c r="E4687" s="96"/>
    </row>
    <row r="4688" hidden="1">
      <c r="E4688" s="96"/>
    </row>
    <row r="4689" hidden="1">
      <c r="E4689" s="96"/>
    </row>
    <row r="4690" hidden="1">
      <c r="E4690" s="96"/>
    </row>
    <row r="4691" hidden="1">
      <c r="E4691" s="96"/>
    </row>
    <row r="4692" hidden="1">
      <c r="E4692" s="96"/>
    </row>
    <row r="4693" hidden="1">
      <c r="E4693" s="96"/>
    </row>
    <row r="4694" hidden="1">
      <c r="E4694" s="96"/>
    </row>
    <row r="4695" hidden="1">
      <c r="E4695" s="96"/>
    </row>
    <row r="4696" hidden="1">
      <c r="E4696" s="96"/>
    </row>
    <row r="4697" hidden="1">
      <c r="E4697" s="96"/>
    </row>
    <row r="4698" hidden="1">
      <c r="E4698" s="96"/>
    </row>
    <row r="4699" hidden="1">
      <c r="E4699" s="96"/>
    </row>
    <row r="4700" hidden="1">
      <c r="E4700" s="96"/>
    </row>
    <row r="4701" hidden="1">
      <c r="E4701" s="96"/>
    </row>
    <row r="4702" hidden="1">
      <c r="E4702" s="96"/>
    </row>
    <row r="4703" hidden="1">
      <c r="E4703" s="96"/>
    </row>
    <row r="4704" hidden="1">
      <c r="E4704" s="96"/>
    </row>
    <row r="4705" hidden="1">
      <c r="E4705" s="96"/>
    </row>
    <row r="4706" hidden="1">
      <c r="E4706" s="96"/>
    </row>
    <row r="4707" hidden="1">
      <c r="E4707" s="96"/>
    </row>
    <row r="4708" hidden="1">
      <c r="E4708" s="96"/>
    </row>
    <row r="4709" hidden="1">
      <c r="E4709" s="96"/>
    </row>
    <row r="4710" hidden="1">
      <c r="E4710" s="96"/>
    </row>
    <row r="4711" hidden="1">
      <c r="E4711" s="96"/>
    </row>
    <row r="4712" hidden="1">
      <c r="E4712" s="96"/>
    </row>
    <row r="4713" hidden="1">
      <c r="E4713" s="96"/>
    </row>
    <row r="4714" hidden="1">
      <c r="E4714" s="96"/>
    </row>
    <row r="4715" hidden="1">
      <c r="E4715" s="96"/>
    </row>
    <row r="4716" hidden="1">
      <c r="E4716" s="96"/>
    </row>
    <row r="4717" hidden="1">
      <c r="E4717" s="96"/>
    </row>
    <row r="4718" hidden="1">
      <c r="E4718" s="96"/>
    </row>
    <row r="4719" hidden="1">
      <c r="E4719" s="96"/>
    </row>
    <row r="4720" hidden="1">
      <c r="E4720" s="96"/>
    </row>
    <row r="4721" hidden="1">
      <c r="E4721" s="96"/>
    </row>
    <row r="4722" hidden="1">
      <c r="E4722" s="96"/>
    </row>
    <row r="4723" hidden="1">
      <c r="E4723" s="96"/>
    </row>
    <row r="4724" hidden="1">
      <c r="E4724" s="96"/>
    </row>
    <row r="4725" hidden="1">
      <c r="E4725" s="96"/>
    </row>
    <row r="4726" hidden="1">
      <c r="E4726" s="96"/>
    </row>
    <row r="4727" hidden="1">
      <c r="E4727" s="96"/>
    </row>
    <row r="4728" hidden="1">
      <c r="E4728" s="96"/>
    </row>
    <row r="4729" hidden="1">
      <c r="E4729" s="96"/>
    </row>
    <row r="4730" hidden="1">
      <c r="E4730" s="96"/>
    </row>
    <row r="4731" hidden="1">
      <c r="E4731" s="96"/>
    </row>
    <row r="4732" hidden="1">
      <c r="E4732" s="96"/>
    </row>
    <row r="4733" hidden="1">
      <c r="E4733" s="96"/>
    </row>
    <row r="4734" hidden="1">
      <c r="E4734" s="96"/>
    </row>
    <row r="4735" hidden="1">
      <c r="E4735" s="96"/>
    </row>
    <row r="4736" hidden="1">
      <c r="E4736" s="96"/>
    </row>
    <row r="4737" hidden="1">
      <c r="E4737" s="96"/>
    </row>
    <row r="4738" hidden="1">
      <c r="E4738" s="96"/>
    </row>
    <row r="4739" hidden="1">
      <c r="E4739" s="96"/>
    </row>
    <row r="4740" hidden="1">
      <c r="E4740" s="96"/>
    </row>
    <row r="4741" hidden="1">
      <c r="E4741" s="96"/>
    </row>
    <row r="4742" hidden="1">
      <c r="E4742" s="96"/>
    </row>
    <row r="4743" hidden="1">
      <c r="E4743" s="96"/>
    </row>
    <row r="4744" hidden="1">
      <c r="E4744" s="96"/>
    </row>
    <row r="4745" hidden="1">
      <c r="E4745" s="96"/>
    </row>
    <row r="4746" hidden="1">
      <c r="E4746" s="96"/>
    </row>
    <row r="4747" hidden="1">
      <c r="E4747" s="96"/>
    </row>
    <row r="4748" hidden="1">
      <c r="E4748" s="96"/>
    </row>
    <row r="4749" hidden="1">
      <c r="E4749" s="96"/>
    </row>
    <row r="4750" hidden="1">
      <c r="E4750" s="96"/>
    </row>
    <row r="4751" hidden="1">
      <c r="E4751" s="96"/>
    </row>
    <row r="4752" hidden="1">
      <c r="E4752" s="96"/>
    </row>
    <row r="4753" hidden="1">
      <c r="E4753" s="96"/>
    </row>
    <row r="4754" hidden="1">
      <c r="E4754" s="96"/>
    </row>
    <row r="4755" hidden="1">
      <c r="E4755" s="96"/>
    </row>
    <row r="4756" hidden="1">
      <c r="E4756" s="96"/>
    </row>
    <row r="4757" hidden="1">
      <c r="E4757" s="96"/>
    </row>
    <row r="4758" hidden="1">
      <c r="E4758" s="96"/>
    </row>
    <row r="4759" hidden="1">
      <c r="E4759" s="96"/>
    </row>
    <row r="4760" hidden="1">
      <c r="E4760" s="96"/>
    </row>
    <row r="4761" hidden="1">
      <c r="E4761" s="96"/>
    </row>
    <row r="4762" hidden="1">
      <c r="E4762" s="96"/>
    </row>
    <row r="4763" hidden="1">
      <c r="E4763" s="96"/>
    </row>
    <row r="4764" hidden="1">
      <c r="E4764" s="96"/>
    </row>
    <row r="4765" hidden="1">
      <c r="E4765" s="96"/>
    </row>
    <row r="4766" hidden="1">
      <c r="E4766" s="96"/>
    </row>
    <row r="4767" hidden="1">
      <c r="E4767" s="96"/>
    </row>
    <row r="4768" hidden="1">
      <c r="E4768" s="96"/>
    </row>
    <row r="4769" hidden="1">
      <c r="E4769" s="96"/>
    </row>
    <row r="4770" hidden="1">
      <c r="E4770" s="96"/>
    </row>
    <row r="4771" hidden="1">
      <c r="E4771" s="96"/>
    </row>
    <row r="4772" hidden="1">
      <c r="E4772" s="96"/>
    </row>
    <row r="4773" hidden="1">
      <c r="E4773" s="96"/>
    </row>
    <row r="4774" hidden="1">
      <c r="E4774" s="96"/>
    </row>
    <row r="4775" hidden="1">
      <c r="E4775" s="96"/>
    </row>
    <row r="4776" hidden="1">
      <c r="E4776" s="96"/>
    </row>
    <row r="4777" hidden="1">
      <c r="E4777" s="96"/>
    </row>
    <row r="4778" hidden="1">
      <c r="E4778" s="96"/>
    </row>
    <row r="4779" hidden="1">
      <c r="E4779" s="96"/>
    </row>
    <row r="4780" hidden="1">
      <c r="E4780" s="96"/>
    </row>
    <row r="4781" hidden="1">
      <c r="E4781" s="96"/>
    </row>
    <row r="4782" hidden="1">
      <c r="E4782" s="96"/>
    </row>
    <row r="4783" hidden="1">
      <c r="E4783" s="96"/>
    </row>
    <row r="4784" hidden="1">
      <c r="E4784" s="96"/>
    </row>
    <row r="4785" hidden="1">
      <c r="E4785" s="96"/>
    </row>
    <row r="4786" hidden="1">
      <c r="E4786" s="96"/>
    </row>
    <row r="4787" hidden="1">
      <c r="E4787" s="96"/>
    </row>
    <row r="4788" hidden="1">
      <c r="E4788" s="96"/>
    </row>
    <row r="4789" hidden="1">
      <c r="E4789" s="96"/>
    </row>
    <row r="4790" hidden="1">
      <c r="E4790" s="96"/>
    </row>
    <row r="4791" hidden="1">
      <c r="E4791" s="96"/>
    </row>
    <row r="4792" hidden="1">
      <c r="E4792" s="96"/>
    </row>
    <row r="4793" hidden="1">
      <c r="E4793" s="96"/>
    </row>
    <row r="4794" hidden="1">
      <c r="E4794" s="96"/>
    </row>
    <row r="4795" hidden="1">
      <c r="E4795" s="96"/>
    </row>
    <row r="4796" hidden="1">
      <c r="E4796" s="96"/>
    </row>
    <row r="4797" hidden="1">
      <c r="E4797" s="96"/>
    </row>
    <row r="4798" hidden="1">
      <c r="E4798" s="96"/>
    </row>
    <row r="4799" hidden="1">
      <c r="E4799" s="96"/>
    </row>
    <row r="4800" hidden="1">
      <c r="E4800" s="96"/>
    </row>
    <row r="4801" hidden="1">
      <c r="E4801" s="96"/>
    </row>
    <row r="4802" hidden="1">
      <c r="E4802" s="96"/>
    </row>
    <row r="4803" hidden="1">
      <c r="E4803" s="96"/>
    </row>
    <row r="4804" hidden="1">
      <c r="E4804" s="96"/>
    </row>
    <row r="4805" hidden="1">
      <c r="E4805" s="96"/>
    </row>
    <row r="4806" hidden="1">
      <c r="E4806" s="96"/>
    </row>
    <row r="4807" hidden="1">
      <c r="E4807" s="96"/>
    </row>
    <row r="4808" hidden="1">
      <c r="E4808" s="96"/>
    </row>
    <row r="4809" hidden="1">
      <c r="E4809" s="96"/>
    </row>
    <row r="4810" hidden="1">
      <c r="E4810" s="96"/>
    </row>
    <row r="4811" hidden="1">
      <c r="E4811" s="96"/>
    </row>
    <row r="4812" hidden="1">
      <c r="E4812" s="96"/>
    </row>
    <row r="4813" hidden="1">
      <c r="E4813" s="96"/>
    </row>
    <row r="4814" hidden="1">
      <c r="E4814" s="96"/>
    </row>
    <row r="4815" hidden="1">
      <c r="E4815" s="96"/>
    </row>
    <row r="4816" hidden="1">
      <c r="E4816" s="96"/>
    </row>
    <row r="4817" hidden="1">
      <c r="E4817" s="96"/>
    </row>
    <row r="4818" hidden="1">
      <c r="E4818" s="96"/>
    </row>
    <row r="4819" hidden="1">
      <c r="E4819" s="96"/>
    </row>
    <row r="4820" hidden="1">
      <c r="E4820" s="96"/>
    </row>
    <row r="4821" hidden="1">
      <c r="E4821" s="96"/>
    </row>
    <row r="4822" hidden="1">
      <c r="E4822" s="96"/>
    </row>
    <row r="4823" hidden="1">
      <c r="E4823" s="96"/>
    </row>
    <row r="4824" hidden="1">
      <c r="E4824" s="96"/>
    </row>
    <row r="4825" hidden="1">
      <c r="E4825" s="96"/>
    </row>
    <row r="4826" hidden="1">
      <c r="E4826" s="96"/>
    </row>
    <row r="4827" hidden="1">
      <c r="E4827" s="96"/>
    </row>
    <row r="4828" hidden="1">
      <c r="E4828" s="96"/>
    </row>
    <row r="4829" hidden="1">
      <c r="E4829" s="96"/>
    </row>
    <row r="4830" hidden="1">
      <c r="E4830" s="96"/>
    </row>
    <row r="4831" hidden="1">
      <c r="E4831" s="96"/>
    </row>
    <row r="4832" hidden="1">
      <c r="E4832" s="96"/>
    </row>
    <row r="4833" hidden="1">
      <c r="E4833" s="96"/>
    </row>
    <row r="4834" hidden="1">
      <c r="E4834" s="96"/>
    </row>
    <row r="4835" hidden="1">
      <c r="E4835" s="96"/>
    </row>
    <row r="4836" hidden="1">
      <c r="E4836" s="96"/>
    </row>
    <row r="4837" hidden="1">
      <c r="E4837" s="96"/>
    </row>
    <row r="4838" hidden="1">
      <c r="E4838" s="96"/>
    </row>
    <row r="4839" hidden="1">
      <c r="E4839" s="96"/>
    </row>
    <row r="4840" hidden="1">
      <c r="E4840" s="96"/>
    </row>
    <row r="4841" hidden="1">
      <c r="E4841" s="96"/>
    </row>
    <row r="4842" hidden="1">
      <c r="E4842" s="96"/>
    </row>
    <row r="4843" hidden="1">
      <c r="E4843" s="96"/>
    </row>
    <row r="4844" hidden="1">
      <c r="E4844" s="96"/>
    </row>
    <row r="4845" hidden="1">
      <c r="E4845" s="96"/>
    </row>
    <row r="4846" hidden="1">
      <c r="E4846" s="96"/>
    </row>
    <row r="4847" hidden="1">
      <c r="E4847" s="96"/>
    </row>
    <row r="4848" hidden="1">
      <c r="E4848" s="96"/>
    </row>
    <row r="4849" hidden="1">
      <c r="E4849" s="96"/>
    </row>
    <row r="4850" hidden="1">
      <c r="E4850" s="96"/>
    </row>
    <row r="4851" hidden="1">
      <c r="E4851" s="96"/>
    </row>
    <row r="4852" hidden="1">
      <c r="E4852" s="96"/>
    </row>
    <row r="4853" hidden="1">
      <c r="E4853" s="96"/>
    </row>
    <row r="4854" hidden="1">
      <c r="E4854" s="96"/>
    </row>
    <row r="4855" hidden="1">
      <c r="E4855" s="96"/>
    </row>
    <row r="4856" hidden="1">
      <c r="E4856" s="96"/>
    </row>
    <row r="4857" hidden="1">
      <c r="E4857" s="96"/>
    </row>
    <row r="4858" hidden="1">
      <c r="E4858" s="96"/>
    </row>
    <row r="4859" hidden="1">
      <c r="E4859" s="96"/>
    </row>
    <row r="4860" hidden="1">
      <c r="E4860" s="96"/>
    </row>
    <row r="4861" hidden="1">
      <c r="E4861" s="96"/>
    </row>
    <row r="4862" hidden="1">
      <c r="E4862" s="96"/>
    </row>
    <row r="4863" hidden="1">
      <c r="E4863" s="96"/>
    </row>
    <row r="4864" hidden="1">
      <c r="E4864" s="96"/>
    </row>
    <row r="4865" hidden="1">
      <c r="E4865" s="96"/>
    </row>
    <row r="4866" hidden="1">
      <c r="E4866" s="96"/>
    </row>
    <row r="4867" hidden="1">
      <c r="E4867" s="96"/>
    </row>
    <row r="4868" hidden="1">
      <c r="E4868" s="96"/>
    </row>
    <row r="4869" hidden="1">
      <c r="E4869" s="96"/>
    </row>
    <row r="4870" hidden="1">
      <c r="E4870" s="96"/>
    </row>
    <row r="4871" hidden="1">
      <c r="E4871" s="96"/>
    </row>
    <row r="4872" hidden="1">
      <c r="E4872" s="96"/>
    </row>
    <row r="4873" hidden="1">
      <c r="E4873" s="96"/>
    </row>
    <row r="4874" hidden="1">
      <c r="E4874" s="96"/>
    </row>
    <row r="4875" hidden="1">
      <c r="E4875" s="96"/>
    </row>
    <row r="4876" hidden="1">
      <c r="E4876" s="96"/>
    </row>
    <row r="4877" hidden="1">
      <c r="E4877" s="96"/>
    </row>
    <row r="4878" hidden="1">
      <c r="E4878" s="96"/>
    </row>
    <row r="4879" hidden="1">
      <c r="E4879" s="96"/>
    </row>
    <row r="4880" hidden="1">
      <c r="E4880" s="96"/>
    </row>
    <row r="4881" hidden="1">
      <c r="E4881" s="96"/>
    </row>
    <row r="4882" hidden="1">
      <c r="E4882" s="96"/>
    </row>
    <row r="4883" hidden="1">
      <c r="E4883" s="96"/>
    </row>
    <row r="4884" hidden="1">
      <c r="E4884" s="96"/>
    </row>
    <row r="4885" hidden="1">
      <c r="E4885" s="96"/>
    </row>
    <row r="4886" hidden="1">
      <c r="E4886" s="96"/>
    </row>
    <row r="4887" hidden="1">
      <c r="E4887" s="96"/>
    </row>
    <row r="4888" hidden="1">
      <c r="E4888" s="96"/>
    </row>
    <row r="4889" hidden="1">
      <c r="E4889" s="96"/>
    </row>
    <row r="4890" hidden="1">
      <c r="E4890" s="96"/>
    </row>
    <row r="4891" hidden="1">
      <c r="E4891" s="96"/>
    </row>
    <row r="4892" hidden="1">
      <c r="E4892" s="96"/>
    </row>
    <row r="4893" hidden="1">
      <c r="E4893" s="96"/>
    </row>
    <row r="4894" hidden="1">
      <c r="E4894" s="96"/>
    </row>
    <row r="4895" hidden="1">
      <c r="E4895" s="96"/>
    </row>
    <row r="4896" hidden="1">
      <c r="E4896" s="96"/>
    </row>
    <row r="4897" hidden="1">
      <c r="E4897" s="96"/>
    </row>
    <row r="4898" hidden="1">
      <c r="E4898" s="96"/>
    </row>
    <row r="4899" hidden="1">
      <c r="E4899" s="96"/>
    </row>
    <row r="4900" hidden="1">
      <c r="E4900" s="96"/>
    </row>
    <row r="4901" hidden="1">
      <c r="E4901" s="96"/>
    </row>
    <row r="4902" hidden="1">
      <c r="E4902" s="96"/>
    </row>
    <row r="4903" hidden="1">
      <c r="E4903" s="96"/>
    </row>
    <row r="4904" hidden="1">
      <c r="E4904" s="96"/>
    </row>
    <row r="4905" hidden="1">
      <c r="E4905" s="96"/>
    </row>
    <row r="4906" hidden="1">
      <c r="E4906" s="96"/>
    </row>
    <row r="4907" hidden="1">
      <c r="E4907" s="96"/>
    </row>
    <row r="4908" hidden="1">
      <c r="E4908" s="96"/>
    </row>
    <row r="4909" hidden="1">
      <c r="E4909" s="96"/>
    </row>
    <row r="4910" hidden="1">
      <c r="E4910" s="96"/>
    </row>
    <row r="4911" hidden="1">
      <c r="E4911" s="96"/>
    </row>
    <row r="4912" hidden="1">
      <c r="E4912" s="96"/>
    </row>
    <row r="4913" hidden="1">
      <c r="E4913" s="96"/>
    </row>
    <row r="4914" hidden="1">
      <c r="E4914" s="96"/>
    </row>
    <row r="4915" hidden="1">
      <c r="E4915" s="96"/>
    </row>
    <row r="4916" hidden="1">
      <c r="E4916" s="96"/>
    </row>
    <row r="4917" hidden="1">
      <c r="E4917" s="96"/>
    </row>
    <row r="4918" hidden="1">
      <c r="E4918" s="96"/>
    </row>
    <row r="4919" hidden="1">
      <c r="E4919" s="96"/>
    </row>
    <row r="4920" hidden="1">
      <c r="E4920" s="96"/>
    </row>
    <row r="4921" hidden="1">
      <c r="E4921" s="96"/>
    </row>
    <row r="4922" hidden="1">
      <c r="E4922" s="96"/>
    </row>
    <row r="4923" hidden="1">
      <c r="E4923" s="96"/>
    </row>
    <row r="4924" hidden="1">
      <c r="E4924" s="96"/>
    </row>
    <row r="4925" hidden="1">
      <c r="E4925" s="96"/>
    </row>
    <row r="4926" hidden="1">
      <c r="E4926" s="96"/>
    </row>
    <row r="4927" hidden="1">
      <c r="E4927" s="96"/>
    </row>
    <row r="4928" hidden="1">
      <c r="E4928" s="96"/>
    </row>
    <row r="4929" hidden="1">
      <c r="E4929" s="96"/>
    </row>
    <row r="4930" hidden="1">
      <c r="E4930" s="96"/>
    </row>
    <row r="4931" hidden="1">
      <c r="E4931" s="96"/>
    </row>
    <row r="4932" hidden="1">
      <c r="E4932" s="96"/>
    </row>
    <row r="4933" hidden="1">
      <c r="E4933" s="96"/>
    </row>
    <row r="4934" hidden="1">
      <c r="E4934" s="96"/>
    </row>
    <row r="4935" hidden="1">
      <c r="E4935" s="96"/>
    </row>
    <row r="4936" hidden="1">
      <c r="E4936" s="96"/>
    </row>
    <row r="4937" hidden="1">
      <c r="E4937" s="96"/>
    </row>
    <row r="4938" hidden="1">
      <c r="E4938" s="96"/>
    </row>
    <row r="4939" hidden="1">
      <c r="E4939" s="96"/>
    </row>
    <row r="4940" hidden="1">
      <c r="E4940" s="96"/>
    </row>
    <row r="4941" hidden="1">
      <c r="E4941" s="96"/>
    </row>
    <row r="4942" hidden="1">
      <c r="E4942" s="96"/>
    </row>
    <row r="4943" hidden="1">
      <c r="E4943" s="96"/>
    </row>
    <row r="4944" hidden="1">
      <c r="E4944" s="96"/>
    </row>
    <row r="4945" hidden="1">
      <c r="E4945" s="96"/>
    </row>
    <row r="4946" hidden="1">
      <c r="E4946" s="96"/>
    </row>
    <row r="4947" hidden="1">
      <c r="E4947" s="96"/>
    </row>
    <row r="4948" hidden="1">
      <c r="E4948" s="96"/>
    </row>
    <row r="4949" hidden="1">
      <c r="E4949" s="96"/>
    </row>
    <row r="4950" hidden="1">
      <c r="E4950" s="96"/>
    </row>
    <row r="4951" hidden="1">
      <c r="E4951" s="96"/>
    </row>
    <row r="4952" hidden="1">
      <c r="E4952" s="96"/>
    </row>
    <row r="4953" hidden="1">
      <c r="E4953" s="96"/>
    </row>
    <row r="4954" hidden="1">
      <c r="E4954" s="96"/>
    </row>
    <row r="4955" hidden="1">
      <c r="E4955" s="96"/>
    </row>
    <row r="4956" hidden="1">
      <c r="E4956" s="96"/>
    </row>
    <row r="4957" hidden="1">
      <c r="E4957" s="96"/>
    </row>
    <row r="4958" hidden="1">
      <c r="E4958" s="96"/>
    </row>
    <row r="4959" hidden="1">
      <c r="E4959" s="96"/>
    </row>
    <row r="4960" hidden="1">
      <c r="E4960" s="96"/>
    </row>
    <row r="4961" hidden="1">
      <c r="E4961" s="96"/>
    </row>
    <row r="4962" hidden="1">
      <c r="E4962" s="96"/>
    </row>
    <row r="4963" hidden="1">
      <c r="E4963" s="96"/>
    </row>
    <row r="4964" hidden="1">
      <c r="E4964" s="96"/>
    </row>
    <row r="4965" hidden="1">
      <c r="E4965" s="96"/>
    </row>
    <row r="4966" hidden="1">
      <c r="E4966" s="96"/>
    </row>
    <row r="4967" hidden="1">
      <c r="E4967" s="96"/>
    </row>
    <row r="4968" hidden="1">
      <c r="E4968" s="96"/>
    </row>
    <row r="4969" hidden="1">
      <c r="E4969" s="96"/>
    </row>
    <row r="4970" hidden="1">
      <c r="E4970" s="96"/>
    </row>
    <row r="4971" hidden="1">
      <c r="E4971" s="96"/>
    </row>
    <row r="4972" hidden="1">
      <c r="E4972" s="96"/>
    </row>
    <row r="4973" hidden="1">
      <c r="E4973" s="96"/>
    </row>
    <row r="4974" hidden="1">
      <c r="E4974" s="96"/>
    </row>
    <row r="4975" hidden="1">
      <c r="E4975" s="96"/>
    </row>
    <row r="4976" hidden="1">
      <c r="E4976" s="96"/>
    </row>
    <row r="4977" hidden="1">
      <c r="E4977" s="96"/>
    </row>
    <row r="4978" hidden="1">
      <c r="E4978" s="96"/>
    </row>
    <row r="4979" hidden="1">
      <c r="E4979" s="96"/>
    </row>
    <row r="4980" hidden="1">
      <c r="E4980" s="96"/>
    </row>
    <row r="4981" hidden="1">
      <c r="E4981" s="96"/>
    </row>
    <row r="4982" hidden="1">
      <c r="E4982" s="96"/>
    </row>
    <row r="4983" hidden="1">
      <c r="E4983" s="96"/>
    </row>
    <row r="4984" hidden="1">
      <c r="E4984" s="96"/>
    </row>
    <row r="4985" hidden="1">
      <c r="E4985" s="96"/>
    </row>
    <row r="4986" hidden="1">
      <c r="E4986" s="96"/>
    </row>
    <row r="4987" hidden="1">
      <c r="E4987" s="96"/>
    </row>
    <row r="4988" hidden="1">
      <c r="E4988" s="96"/>
    </row>
    <row r="4989" hidden="1">
      <c r="E4989" s="96"/>
    </row>
    <row r="4990" hidden="1">
      <c r="E4990" s="96"/>
    </row>
    <row r="4991" hidden="1">
      <c r="E4991" s="96"/>
    </row>
    <row r="4992" hidden="1">
      <c r="E4992" s="96"/>
    </row>
    <row r="4993" hidden="1">
      <c r="E4993" s="96"/>
    </row>
    <row r="4994" hidden="1">
      <c r="E4994" s="96"/>
    </row>
    <row r="4995" hidden="1">
      <c r="E4995" s="96"/>
    </row>
    <row r="4996" hidden="1">
      <c r="E4996" s="96"/>
    </row>
    <row r="4997" hidden="1">
      <c r="E4997" s="96"/>
    </row>
    <row r="4998" hidden="1">
      <c r="E4998" s="96"/>
    </row>
    <row r="4999" hidden="1">
      <c r="E4999" s="96"/>
    </row>
    <row r="5000" hidden="1">
      <c r="E5000" s="96"/>
    </row>
    <row r="5001" hidden="1">
      <c r="E5001" s="96"/>
    </row>
    <row r="5002" hidden="1">
      <c r="E5002" s="96"/>
    </row>
    <row r="5003" hidden="1">
      <c r="E5003" s="96"/>
    </row>
    <row r="5004" hidden="1">
      <c r="E5004" s="96"/>
    </row>
    <row r="5005" hidden="1">
      <c r="E5005" s="96"/>
    </row>
    <row r="5006" hidden="1">
      <c r="E5006" s="96"/>
    </row>
    <row r="5007" hidden="1">
      <c r="E5007" s="96"/>
    </row>
    <row r="5008" hidden="1">
      <c r="E5008" s="96"/>
    </row>
    <row r="5009" hidden="1">
      <c r="E5009" s="96"/>
    </row>
    <row r="5010" hidden="1">
      <c r="E5010" s="96"/>
    </row>
    <row r="5011" hidden="1">
      <c r="E5011" s="96"/>
    </row>
    <row r="5012" hidden="1">
      <c r="E5012" s="96"/>
    </row>
    <row r="5013" hidden="1">
      <c r="E5013" s="96"/>
    </row>
    <row r="5014" hidden="1">
      <c r="E5014" s="96"/>
    </row>
    <row r="5015" hidden="1">
      <c r="E5015" s="96"/>
    </row>
    <row r="5016" hidden="1">
      <c r="E5016" s="96"/>
    </row>
    <row r="5017" hidden="1">
      <c r="E5017" s="96"/>
    </row>
    <row r="5018" hidden="1">
      <c r="E5018" s="96"/>
    </row>
    <row r="5019" hidden="1">
      <c r="E5019" s="96"/>
    </row>
    <row r="5020" hidden="1">
      <c r="E5020" s="96"/>
    </row>
    <row r="5021" hidden="1">
      <c r="E5021" s="96"/>
    </row>
    <row r="5022" hidden="1">
      <c r="E5022" s="96"/>
    </row>
    <row r="5023" hidden="1">
      <c r="E5023" s="96"/>
    </row>
    <row r="5024" hidden="1">
      <c r="E5024" s="96"/>
    </row>
    <row r="5025" hidden="1">
      <c r="E5025" s="96"/>
    </row>
    <row r="5026" hidden="1">
      <c r="E5026" s="96"/>
    </row>
    <row r="5027" hidden="1">
      <c r="E5027" s="96"/>
    </row>
    <row r="5028" hidden="1">
      <c r="E5028" s="96"/>
    </row>
    <row r="5029" hidden="1">
      <c r="E5029" s="96"/>
    </row>
    <row r="5030" hidden="1">
      <c r="E5030" s="96"/>
    </row>
    <row r="5031" hidden="1">
      <c r="E5031" s="96"/>
    </row>
    <row r="5032" hidden="1">
      <c r="E5032" s="96"/>
    </row>
    <row r="5033" hidden="1">
      <c r="E5033" s="96"/>
    </row>
    <row r="5034" hidden="1">
      <c r="E5034" s="96"/>
    </row>
    <row r="5035" hidden="1">
      <c r="E5035" s="96"/>
    </row>
    <row r="5036" hidden="1">
      <c r="E5036" s="96"/>
    </row>
    <row r="5037" hidden="1">
      <c r="E5037" s="96"/>
    </row>
    <row r="5038" hidden="1">
      <c r="E5038" s="96"/>
    </row>
    <row r="5039" hidden="1">
      <c r="E5039" s="96"/>
    </row>
    <row r="5040" hidden="1">
      <c r="E5040" s="96"/>
    </row>
    <row r="5041" hidden="1">
      <c r="E5041" s="96"/>
    </row>
    <row r="5042" hidden="1">
      <c r="E5042" s="96"/>
    </row>
    <row r="5043" hidden="1">
      <c r="E5043" s="96"/>
    </row>
    <row r="5044" hidden="1">
      <c r="E5044" s="96"/>
    </row>
    <row r="5045" hidden="1">
      <c r="E5045" s="96"/>
    </row>
    <row r="5046" hidden="1">
      <c r="E5046" s="96"/>
    </row>
    <row r="5047" hidden="1">
      <c r="E5047" s="96"/>
    </row>
    <row r="5048" hidden="1">
      <c r="E5048" s="96"/>
    </row>
    <row r="5049" hidden="1">
      <c r="E5049" s="96"/>
    </row>
    <row r="5050" hidden="1">
      <c r="E5050" s="96"/>
    </row>
    <row r="5051" hidden="1">
      <c r="E5051" s="96"/>
    </row>
    <row r="5052" hidden="1">
      <c r="E5052" s="96"/>
    </row>
    <row r="5053" hidden="1">
      <c r="E5053" s="96"/>
    </row>
    <row r="5054" hidden="1">
      <c r="E5054" s="96"/>
    </row>
    <row r="5055" hidden="1">
      <c r="E5055" s="96"/>
    </row>
    <row r="5056" hidden="1">
      <c r="E5056" s="96"/>
    </row>
    <row r="5057" hidden="1">
      <c r="E5057" s="96"/>
    </row>
    <row r="5058" hidden="1">
      <c r="E5058" s="96"/>
    </row>
    <row r="5059" hidden="1">
      <c r="E5059" s="96"/>
    </row>
    <row r="5060" hidden="1">
      <c r="E5060" s="96"/>
    </row>
    <row r="5061" hidden="1">
      <c r="E5061" s="96"/>
    </row>
    <row r="5062" hidden="1">
      <c r="E5062" s="96"/>
    </row>
    <row r="5063" hidden="1">
      <c r="E5063" s="96"/>
    </row>
    <row r="5064" hidden="1">
      <c r="E5064" s="96"/>
    </row>
    <row r="5065" hidden="1">
      <c r="E5065" s="96"/>
    </row>
    <row r="5066" hidden="1">
      <c r="E5066" s="96"/>
    </row>
    <row r="5067" hidden="1">
      <c r="E5067" s="96"/>
    </row>
    <row r="5068" hidden="1">
      <c r="E5068" s="96"/>
    </row>
    <row r="5069" hidden="1">
      <c r="E5069" s="96"/>
    </row>
    <row r="5070" hidden="1">
      <c r="E5070" s="96"/>
    </row>
    <row r="5071" hidden="1">
      <c r="E5071" s="96"/>
    </row>
    <row r="5072" hidden="1">
      <c r="E5072" s="96"/>
    </row>
    <row r="5073" hidden="1">
      <c r="E5073" s="96"/>
    </row>
    <row r="5074" hidden="1">
      <c r="E5074" s="96"/>
    </row>
    <row r="5075" hidden="1">
      <c r="E5075" s="96"/>
    </row>
    <row r="5076" hidden="1">
      <c r="E5076" s="96"/>
    </row>
    <row r="5077" hidden="1">
      <c r="E5077" s="96"/>
    </row>
    <row r="5078" hidden="1">
      <c r="E5078" s="96"/>
    </row>
    <row r="5079" hidden="1">
      <c r="E5079" s="96"/>
    </row>
    <row r="5080" hidden="1">
      <c r="E5080" s="96"/>
    </row>
    <row r="5081" hidden="1">
      <c r="E5081" s="96"/>
    </row>
    <row r="5082" hidden="1">
      <c r="E5082" s="96"/>
    </row>
    <row r="5083" hidden="1">
      <c r="E5083" s="96"/>
    </row>
    <row r="5084" hidden="1">
      <c r="E5084" s="96"/>
    </row>
    <row r="5085" hidden="1">
      <c r="E5085" s="96"/>
    </row>
    <row r="5086" hidden="1">
      <c r="E5086" s="96"/>
    </row>
    <row r="5087" hidden="1">
      <c r="E5087" s="96"/>
    </row>
    <row r="5088" hidden="1">
      <c r="E5088" s="96"/>
    </row>
    <row r="5089" hidden="1">
      <c r="E5089" s="96"/>
    </row>
    <row r="5090" hidden="1">
      <c r="E5090" s="96"/>
    </row>
    <row r="5091" hidden="1">
      <c r="E5091" s="96"/>
    </row>
    <row r="5092" hidden="1">
      <c r="E5092" s="96"/>
    </row>
    <row r="5093" hidden="1">
      <c r="E5093" s="96"/>
    </row>
    <row r="5094" hidden="1">
      <c r="E5094" s="96"/>
    </row>
    <row r="5095" hidden="1">
      <c r="E5095" s="96"/>
    </row>
    <row r="5096" hidden="1">
      <c r="E5096" s="96"/>
    </row>
    <row r="5097" hidden="1">
      <c r="E5097" s="96"/>
    </row>
    <row r="5098" hidden="1">
      <c r="E5098" s="96"/>
    </row>
    <row r="5099" hidden="1">
      <c r="E5099" s="96"/>
    </row>
    <row r="5100" hidden="1">
      <c r="E5100" s="96"/>
    </row>
    <row r="5101" hidden="1">
      <c r="E5101" s="96"/>
    </row>
    <row r="5102" hidden="1">
      <c r="E5102" s="96"/>
    </row>
    <row r="5103" hidden="1">
      <c r="E5103" s="96"/>
    </row>
    <row r="5104" hidden="1">
      <c r="E5104" s="96"/>
    </row>
    <row r="5105" hidden="1">
      <c r="E5105" s="96"/>
    </row>
    <row r="5106" hidden="1">
      <c r="E5106" s="96"/>
    </row>
    <row r="5107" hidden="1">
      <c r="E5107" s="96"/>
    </row>
    <row r="5108" hidden="1">
      <c r="E5108" s="96"/>
    </row>
    <row r="5109" hidden="1">
      <c r="E5109" s="96"/>
    </row>
    <row r="5110" hidden="1">
      <c r="E5110" s="96"/>
    </row>
    <row r="5111" hidden="1">
      <c r="E5111" s="96"/>
    </row>
    <row r="5112" hidden="1">
      <c r="E5112" s="96"/>
    </row>
    <row r="5113" hidden="1">
      <c r="E5113" s="96"/>
    </row>
    <row r="5114" hidden="1">
      <c r="E5114" s="96"/>
    </row>
    <row r="5115" hidden="1">
      <c r="E5115" s="96"/>
    </row>
    <row r="5116" hidden="1">
      <c r="E5116" s="96"/>
    </row>
    <row r="5117" hidden="1">
      <c r="E5117" s="96"/>
    </row>
    <row r="5118" hidden="1">
      <c r="E5118" s="96"/>
    </row>
    <row r="5119" hidden="1">
      <c r="E5119" s="96"/>
    </row>
    <row r="5120" hidden="1">
      <c r="E5120" s="96"/>
    </row>
    <row r="5121" hidden="1">
      <c r="E5121" s="96"/>
    </row>
    <row r="5122" hidden="1">
      <c r="E5122" s="96"/>
    </row>
    <row r="5123" hidden="1">
      <c r="E5123" s="96"/>
    </row>
    <row r="5124" hidden="1">
      <c r="E5124" s="96"/>
    </row>
    <row r="5125" hidden="1">
      <c r="E5125" s="96"/>
    </row>
    <row r="5126" hidden="1">
      <c r="E5126" s="96"/>
    </row>
    <row r="5127" hidden="1">
      <c r="E5127" s="96"/>
    </row>
    <row r="5128" hidden="1">
      <c r="E5128" s="96"/>
    </row>
    <row r="5129" hidden="1">
      <c r="E5129" s="96"/>
    </row>
    <row r="5130" hidden="1">
      <c r="E5130" s="96"/>
    </row>
    <row r="5131" hidden="1">
      <c r="E5131" s="96"/>
    </row>
    <row r="5132" hidden="1">
      <c r="E5132" s="96"/>
    </row>
    <row r="5133" hidden="1">
      <c r="E5133" s="96"/>
    </row>
    <row r="5134" hidden="1">
      <c r="E5134" s="96"/>
    </row>
    <row r="5135" hidden="1">
      <c r="E5135" s="96"/>
    </row>
    <row r="5136" hidden="1">
      <c r="E5136" s="96"/>
    </row>
    <row r="5137" hidden="1">
      <c r="E5137" s="96"/>
    </row>
    <row r="5138" hidden="1">
      <c r="E5138" s="96"/>
    </row>
    <row r="5139" hidden="1">
      <c r="E5139" s="96"/>
    </row>
    <row r="5140" hidden="1">
      <c r="E5140" s="96"/>
    </row>
    <row r="5141" hidden="1">
      <c r="E5141" s="96"/>
    </row>
    <row r="5142" hidden="1">
      <c r="E5142" s="96"/>
    </row>
    <row r="5143" hidden="1">
      <c r="E5143" s="96"/>
    </row>
    <row r="5144" hidden="1">
      <c r="E5144" s="96"/>
    </row>
    <row r="5145" hidden="1">
      <c r="E5145" s="96"/>
    </row>
    <row r="5146" hidden="1">
      <c r="E5146" s="96"/>
    </row>
    <row r="5147" hidden="1">
      <c r="E5147" s="96"/>
    </row>
    <row r="5148" hidden="1">
      <c r="E5148" s="96"/>
    </row>
    <row r="5149" hidden="1">
      <c r="E5149" s="96"/>
    </row>
    <row r="5150" hidden="1">
      <c r="E5150" s="96"/>
    </row>
    <row r="5151" hidden="1">
      <c r="E5151" s="96"/>
    </row>
    <row r="5152" hidden="1">
      <c r="E5152" s="96"/>
    </row>
    <row r="5153" hidden="1">
      <c r="E5153" s="96"/>
    </row>
    <row r="5154" hidden="1">
      <c r="E5154" s="96"/>
    </row>
    <row r="5155" hidden="1">
      <c r="E5155" s="96"/>
    </row>
    <row r="5156" hidden="1">
      <c r="E5156" s="96"/>
    </row>
    <row r="5157" hidden="1">
      <c r="E5157" s="96"/>
    </row>
    <row r="5158" hidden="1">
      <c r="E5158" s="96"/>
    </row>
    <row r="5159" hidden="1">
      <c r="E5159" s="96"/>
    </row>
    <row r="5160" hidden="1">
      <c r="E5160" s="96"/>
    </row>
    <row r="5161" hidden="1">
      <c r="E5161" s="96"/>
    </row>
    <row r="5162" hidden="1">
      <c r="E5162" s="96"/>
    </row>
    <row r="5163" hidden="1">
      <c r="E5163" s="96"/>
    </row>
    <row r="5164" hidden="1">
      <c r="E5164" s="96"/>
    </row>
    <row r="5165" hidden="1">
      <c r="E5165" s="96"/>
    </row>
    <row r="5166" hidden="1">
      <c r="E5166" s="96"/>
    </row>
    <row r="5167" hidden="1">
      <c r="E5167" s="96"/>
    </row>
    <row r="5168" hidden="1">
      <c r="E5168" s="96"/>
    </row>
    <row r="5169" hidden="1">
      <c r="E5169" s="96"/>
    </row>
    <row r="5170" hidden="1">
      <c r="E5170" s="96"/>
    </row>
    <row r="5171" hidden="1">
      <c r="E5171" s="96"/>
    </row>
    <row r="5172" hidden="1">
      <c r="E5172" s="96"/>
    </row>
    <row r="5173" hidden="1">
      <c r="E5173" s="96"/>
    </row>
    <row r="5174" hidden="1">
      <c r="E5174" s="96"/>
    </row>
    <row r="5175" hidden="1">
      <c r="E5175" s="96"/>
    </row>
    <row r="5176" hidden="1">
      <c r="E5176" s="96"/>
    </row>
    <row r="5177" hidden="1">
      <c r="E5177" s="96"/>
    </row>
    <row r="5178" hidden="1">
      <c r="E5178" s="96"/>
    </row>
    <row r="5179" hidden="1">
      <c r="E5179" s="96"/>
    </row>
    <row r="5180" hidden="1">
      <c r="E5180" s="96"/>
    </row>
    <row r="5181" hidden="1">
      <c r="E5181" s="96"/>
    </row>
    <row r="5182" hidden="1">
      <c r="E5182" s="96"/>
    </row>
    <row r="5183" hidden="1">
      <c r="E5183" s="96"/>
    </row>
    <row r="5184" hidden="1">
      <c r="E5184" s="96"/>
    </row>
    <row r="5185" hidden="1">
      <c r="E5185" s="96"/>
    </row>
    <row r="5186" hidden="1">
      <c r="E5186" s="96"/>
    </row>
    <row r="5187" hidden="1">
      <c r="E5187" s="96"/>
    </row>
    <row r="5188" hidden="1">
      <c r="E5188" s="96"/>
    </row>
    <row r="5189" hidden="1">
      <c r="E5189" s="96"/>
    </row>
    <row r="5190" hidden="1">
      <c r="E5190" s="96"/>
    </row>
    <row r="5191" hidden="1">
      <c r="E5191" s="96"/>
    </row>
    <row r="5192" hidden="1">
      <c r="E5192" s="96"/>
    </row>
    <row r="5193" hidden="1">
      <c r="E5193" s="96"/>
    </row>
    <row r="5194" hidden="1">
      <c r="E5194" s="96"/>
    </row>
    <row r="5195" hidden="1">
      <c r="E5195" s="96"/>
    </row>
    <row r="5196" hidden="1">
      <c r="E5196" s="96"/>
    </row>
    <row r="5197" hidden="1">
      <c r="E5197" s="96"/>
    </row>
    <row r="5198" hidden="1">
      <c r="E5198" s="96"/>
    </row>
    <row r="5199" hidden="1">
      <c r="E5199" s="96"/>
    </row>
    <row r="5200" hidden="1">
      <c r="E5200" s="96"/>
    </row>
    <row r="5201" hidden="1">
      <c r="E5201" s="96"/>
    </row>
    <row r="5202" hidden="1">
      <c r="E5202" s="96"/>
    </row>
    <row r="5203" hidden="1">
      <c r="E5203" s="96"/>
    </row>
    <row r="5204" hidden="1">
      <c r="E5204" s="96"/>
    </row>
    <row r="5205" hidden="1">
      <c r="E5205" s="96"/>
    </row>
    <row r="5206" hidden="1">
      <c r="E5206" s="96"/>
    </row>
    <row r="5207" hidden="1">
      <c r="E5207" s="96"/>
    </row>
    <row r="5208" hidden="1">
      <c r="E5208" s="96"/>
    </row>
    <row r="5209" hidden="1">
      <c r="E5209" s="96"/>
    </row>
    <row r="5210" hidden="1">
      <c r="E5210" s="96"/>
    </row>
    <row r="5211" hidden="1">
      <c r="E5211" s="96"/>
    </row>
    <row r="5212" hidden="1">
      <c r="E5212" s="96"/>
    </row>
    <row r="5213" hidden="1">
      <c r="E5213" s="96"/>
    </row>
    <row r="5214" hidden="1">
      <c r="E5214" s="96"/>
    </row>
    <row r="5215" hidden="1">
      <c r="E5215" s="96"/>
    </row>
    <row r="5216" hidden="1">
      <c r="E5216" s="96"/>
    </row>
    <row r="5217" hidden="1">
      <c r="E5217" s="96"/>
    </row>
    <row r="5218" hidden="1">
      <c r="E5218" s="96"/>
    </row>
    <row r="5219" hidden="1">
      <c r="E5219" s="96"/>
    </row>
    <row r="5220" hidden="1">
      <c r="E5220" s="96"/>
    </row>
    <row r="5221" hidden="1">
      <c r="E5221" s="96"/>
    </row>
    <row r="5222" hidden="1">
      <c r="E5222" s="96"/>
    </row>
    <row r="5223" hidden="1">
      <c r="E5223" s="96"/>
    </row>
    <row r="5224" hidden="1">
      <c r="E5224" s="96"/>
    </row>
    <row r="5225" hidden="1">
      <c r="E5225" s="96"/>
    </row>
    <row r="5226" hidden="1">
      <c r="E5226" s="96"/>
    </row>
    <row r="5227" hidden="1">
      <c r="E5227" s="96"/>
    </row>
    <row r="5228" hidden="1">
      <c r="E5228" s="96"/>
    </row>
    <row r="5229" hidden="1">
      <c r="E5229" s="96"/>
    </row>
    <row r="5230" hidden="1">
      <c r="E5230" s="96"/>
    </row>
    <row r="5231" hidden="1">
      <c r="E5231" s="96"/>
    </row>
    <row r="5232" hidden="1">
      <c r="E5232" s="96"/>
    </row>
    <row r="5233" hidden="1">
      <c r="E5233" s="96"/>
    </row>
    <row r="5234" hidden="1">
      <c r="E5234" s="96"/>
    </row>
    <row r="5235" hidden="1">
      <c r="E5235" s="96"/>
    </row>
    <row r="5236" hidden="1">
      <c r="E5236" s="96"/>
    </row>
    <row r="5237" hidden="1">
      <c r="E5237" s="96"/>
    </row>
    <row r="5238" hidden="1">
      <c r="E5238" s="96"/>
    </row>
    <row r="5239" hidden="1">
      <c r="E5239" s="96"/>
    </row>
    <row r="5240" hidden="1">
      <c r="E5240" s="96"/>
    </row>
    <row r="5241" hidden="1">
      <c r="E5241" s="96"/>
    </row>
    <row r="5242" hidden="1">
      <c r="E5242" s="96"/>
    </row>
    <row r="5243" hidden="1">
      <c r="E5243" s="96"/>
    </row>
    <row r="5244" hidden="1">
      <c r="E5244" s="96"/>
    </row>
    <row r="5245" hidden="1">
      <c r="E5245" s="96"/>
    </row>
    <row r="5246" hidden="1">
      <c r="E5246" s="96"/>
    </row>
    <row r="5247" hidden="1">
      <c r="E5247" s="96"/>
    </row>
    <row r="5248" hidden="1">
      <c r="E5248" s="96"/>
    </row>
    <row r="5249" hidden="1">
      <c r="E5249" s="96"/>
    </row>
    <row r="5250" hidden="1">
      <c r="E5250" s="96"/>
    </row>
    <row r="5251" hidden="1">
      <c r="E5251" s="96"/>
    </row>
    <row r="5252" hidden="1">
      <c r="E5252" s="96"/>
    </row>
    <row r="5253" hidden="1">
      <c r="E5253" s="96"/>
    </row>
    <row r="5254" hidden="1">
      <c r="E5254" s="96"/>
    </row>
    <row r="5255" hidden="1">
      <c r="E5255" s="96"/>
    </row>
    <row r="5256" hidden="1">
      <c r="E5256" s="96"/>
    </row>
    <row r="5257" hidden="1">
      <c r="E5257" s="96"/>
    </row>
    <row r="5258" hidden="1">
      <c r="E5258" s="96"/>
    </row>
    <row r="5259" hidden="1">
      <c r="E5259" s="96"/>
    </row>
    <row r="5260" hidden="1">
      <c r="E5260" s="96"/>
    </row>
    <row r="5261" hidden="1">
      <c r="E5261" s="96"/>
    </row>
    <row r="5262" hidden="1">
      <c r="E5262" s="96"/>
    </row>
    <row r="5263" hidden="1">
      <c r="E5263" s="96"/>
    </row>
    <row r="5264" hidden="1">
      <c r="E5264" s="96"/>
    </row>
    <row r="5265" hidden="1">
      <c r="E5265" s="96"/>
    </row>
    <row r="5266" hidden="1">
      <c r="E5266" s="96"/>
    </row>
    <row r="5267" hidden="1">
      <c r="E5267" s="96"/>
    </row>
    <row r="5268" hidden="1">
      <c r="E5268" s="96"/>
    </row>
    <row r="5269" hidden="1">
      <c r="E5269" s="96"/>
    </row>
    <row r="5270" hidden="1">
      <c r="E5270" s="96"/>
    </row>
    <row r="5271" hidden="1">
      <c r="E5271" s="96"/>
    </row>
    <row r="5272" hidden="1">
      <c r="E5272" s="96"/>
    </row>
    <row r="5273" hidden="1">
      <c r="E5273" s="96"/>
    </row>
    <row r="5274" hidden="1">
      <c r="E5274" s="96"/>
    </row>
    <row r="5275" hidden="1">
      <c r="E5275" s="96"/>
    </row>
    <row r="5276" hidden="1">
      <c r="E5276" s="96"/>
    </row>
    <row r="5277" hidden="1">
      <c r="E5277" s="96"/>
    </row>
    <row r="5278" hidden="1">
      <c r="E5278" s="96"/>
    </row>
    <row r="5279" hidden="1">
      <c r="E5279" s="96"/>
    </row>
    <row r="5280" hidden="1">
      <c r="E5280" s="96"/>
    </row>
    <row r="5281" hidden="1">
      <c r="E5281" s="96"/>
    </row>
    <row r="5282" hidden="1">
      <c r="E5282" s="96"/>
    </row>
    <row r="5283" hidden="1">
      <c r="E5283" s="96"/>
    </row>
    <row r="5284" hidden="1">
      <c r="E5284" s="96"/>
    </row>
    <row r="5285" hidden="1">
      <c r="E5285" s="96"/>
    </row>
    <row r="5286" hidden="1">
      <c r="E5286" s="96"/>
    </row>
    <row r="5287" hidden="1">
      <c r="E5287" s="96"/>
    </row>
    <row r="5288" hidden="1">
      <c r="E5288" s="96"/>
    </row>
    <row r="5289" hidden="1">
      <c r="E5289" s="96"/>
    </row>
    <row r="5290" hidden="1">
      <c r="E5290" s="96"/>
    </row>
    <row r="5291" hidden="1">
      <c r="E5291" s="96"/>
    </row>
    <row r="5292" hidden="1">
      <c r="E5292" s="96"/>
    </row>
    <row r="5293" hidden="1">
      <c r="E5293" s="96"/>
    </row>
    <row r="5294" hidden="1">
      <c r="E5294" s="96"/>
    </row>
    <row r="5295" hidden="1">
      <c r="E5295" s="96"/>
    </row>
    <row r="5296" hidden="1">
      <c r="E5296" s="96"/>
    </row>
    <row r="5297" hidden="1">
      <c r="E5297" s="96"/>
    </row>
    <row r="5298" hidden="1">
      <c r="E5298" s="96"/>
    </row>
    <row r="5299" hidden="1">
      <c r="E5299" s="96"/>
    </row>
    <row r="5300" hidden="1">
      <c r="E5300" s="96"/>
    </row>
    <row r="5301" hidden="1">
      <c r="E5301" s="96"/>
    </row>
    <row r="5302" hidden="1">
      <c r="E5302" s="96"/>
    </row>
    <row r="5303" hidden="1">
      <c r="E5303" s="96"/>
    </row>
    <row r="5304" hidden="1">
      <c r="E5304" s="96"/>
    </row>
    <row r="5305" hidden="1">
      <c r="E5305" s="96"/>
    </row>
    <row r="5306" hidden="1">
      <c r="E5306" s="96"/>
    </row>
    <row r="5307" hidden="1">
      <c r="E5307" s="96"/>
    </row>
    <row r="5308" hidden="1">
      <c r="E5308" s="96"/>
    </row>
    <row r="5309" hidden="1">
      <c r="E5309" s="96"/>
    </row>
    <row r="5310" hidden="1">
      <c r="E5310" s="96"/>
    </row>
    <row r="5311" hidden="1">
      <c r="E5311" s="96"/>
    </row>
    <row r="5312" hidden="1">
      <c r="E5312" s="96"/>
    </row>
    <row r="5313" hidden="1">
      <c r="E5313" s="96"/>
    </row>
    <row r="5314" hidden="1">
      <c r="E5314" s="96"/>
    </row>
    <row r="5315" hidden="1">
      <c r="E5315" s="96"/>
    </row>
    <row r="5316" hidden="1">
      <c r="E5316" s="96"/>
    </row>
    <row r="5317" hidden="1">
      <c r="E5317" s="96"/>
    </row>
    <row r="5318" hidden="1">
      <c r="E5318" s="96"/>
    </row>
    <row r="5319" hidden="1">
      <c r="E5319" s="96"/>
    </row>
    <row r="5320" hidden="1">
      <c r="E5320" s="96"/>
    </row>
    <row r="5321" hidden="1">
      <c r="E5321" s="96"/>
    </row>
    <row r="5322" hidden="1">
      <c r="E5322" s="96"/>
    </row>
    <row r="5323" hidden="1">
      <c r="E5323" s="96"/>
    </row>
    <row r="5324" hidden="1">
      <c r="E5324" s="96"/>
    </row>
    <row r="5325" hidden="1">
      <c r="E5325" s="96"/>
    </row>
    <row r="5326" hidden="1">
      <c r="E5326" s="96"/>
    </row>
    <row r="5327" hidden="1">
      <c r="E5327" s="96"/>
    </row>
    <row r="5328" hidden="1">
      <c r="E5328" s="96"/>
    </row>
    <row r="5329" hidden="1">
      <c r="E5329" s="96"/>
    </row>
    <row r="5330" hidden="1">
      <c r="E5330" s="96"/>
    </row>
    <row r="5331" hidden="1">
      <c r="E5331" s="96"/>
    </row>
    <row r="5332" hidden="1">
      <c r="E5332" s="96"/>
    </row>
    <row r="5333" hidden="1">
      <c r="E5333" s="96"/>
    </row>
    <row r="5334" hidden="1">
      <c r="E5334" s="96"/>
    </row>
    <row r="5335" hidden="1">
      <c r="E5335" s="96"/>
    </row>
    <row r="5336" hidden="1">
      <c r="E5336" s="96"/>
    </row>
    <row r="5337" hidden="1">
      <c r="E5337" s="96"/>
    </row>
    <row r="5338" hidden="1">
      <c r="E5338" s="96"/>
    </row>
    <row r="5339" hidden="1">
      <c r="E5339" s="96"/>
    </row>
    <row r="5340" hidden="1">
      <c r="E5340" s="96"/>
    </row>
    <row r="5341" hidden="1">
      <c r="E5341" s="96"/>
    </row>
    <row r="5342" hidden="1">
      <c r="E5342" s="96"/>
    </row>
    <row r="5343" hidden="1">
      <c r="E5343" s="96"/>
    </row>
    <row r="5344" hidden="1">
      <c r="E5344" s="96"/>
    </row>
    <row r="5345" hidden="1">
      <c r="E5345" s="96"/>
    </row>
    <row r="5346" hidden="1">
      <c r="E5346" s="96"/>
    </row>
    <row r="5347" hidden="1">
      <c r="E5347" s="96"/>
    </row>
    <row r="5348" hidden="1">
      <c r="E5348" s="96"/>
    </row>
    <row r="5349" hidden="1">
      <c r="E5349" s="96"/>
    </row>
    <row r="5350" hidden="1">
      <c r="E5350" s="96"/>
    </row>
    <row r="5351" hidden="1">
      <c r="E5351" s="96"/>
    </row>
    <row r="5352" hidden="1">
      <c r="E5352" s="96"/>
    </row>
    <row r="5353" hidden="1">
      <c r="E5353" s="96"/>
    </row>
    <row r="5354" hidden="1">
      <c r="E5354" s="96"/>
    </row>
    <row r="5355" hidden="1">
      <c r="E5355" s="96"/>
    </row>
    <row r="5356" hidden="1">
      <c r="E5356" s="96"/>
    </row>
    <row r="5357" hidden="1">
      <c r="E5357" s="96"/>
    </row>
    <row r="5358" hidden="1">
      <c r="E5358" s="96"/>
    </row>
    <row r="5359" hidden="1">
      <c r="E5359" s="96"/>
    </row>
    <row r="5360" hidden="1">
      <c r="E5360" s="96"/>
    </row>
    <row r="5361" hidden="1">
      <c r="E5361" s="96"/>
    </row>
    <row r="5362" hidden="1">
      <c r="E5362" s="96"/>
    </row>
    <row r="5363" hidden="1">
      <c r="E5363" s="96"/>
    </row>
    <row r="5364" hidden="1">
      <c r="E5364" s="96"/>
    </row>
    <row r="5365" hidden="1">
      <c r="E5365" s="96"/>
    </row>
    <row r="5366" hidden="1">
      <c r="E5366" s="96"/>
    </row>
    <row r="5367" hidden="1">
      <c r="E5367" s="96"/>
    </row>
    <row r="5368" hidden="1">
      <c r="E5368" s="96"/>
    </row>
    <row r="5369" hidden="1">
      <c r="E5369" s="96"/>
    </row>
    <row r="5370" hidden="1">
      <c r="E5370" s="96"/>
    </row>
    <row r="5371" hidden="1">
      <c r="E5371" s="96"/>
    </row>
    <row r="5372" hidden="1">
      <c r="E5372" s="96"/>
    </row>
    <row r="5373" hidden="1">
      <c r="E5373" s="96"/>
    </row>
    <row r="5374" hidden="1">
      <c r="E5374" s="96"/>
    </row>
    <row r="5375" hidden="1">
      <c r="E5375" s="96"/>
    </row>
    <row r="5376" hidden="1">
      <c r="E5376" s="96"/>
    </row>
    <row r="5377" hidden="1">
      <c r="E5377" s="96"/>
    </row>
    <row r="5378" hidden="1">
      <c r="E5378" s="96"/>
    </row>
    <row r="5379" hidden="1">
      <c r="E5379" s="96"/>
    </row>
    <row r="5380" hidden="1">
      <c r="E5380" s="96"/>
    </row>
    <row r="5381" hidden="1">
      <c r="E5381" s="96"/>
    </row>
    <row r="5382" hidden="1">
      <c r="E5382" s="96"/>
    </row>
    <row r="5383" hidden="1">
      <c r="E5383" s="96"/>
    </row>
    <row r="5384" hidden="1">
      <c r="E5384" s="96"/>
    </row>
    <row r="5385" hidden="1">
      <c r="E5385" s="96"/>
    </row>
    <row r="5386" hidden="1">
      <c r="E5386" s="96"/>
    </row>
    <row r="5387" hidden="1">
      <c r="E5387" s="96"/>
    </row>
    <row r="5388" hidden="1">
      <c r="E5388" s="96"/>
    </row>
    <row r="5389" hidden="1">
      <c r="E5389" s="96"/>
    </row>
    <row r="5390" hidden="1">
      <c r="E5390" s="96"/>
    </row>
    <row r="5391" hidden="1">
      <c r="E5391" s="96"/>
    </row>
    <row r="5392" hidden="1">
      <c r="E5392" s="96"/>
    </row>
    <row r="5393" hidden="1">
      <c r="E5393" s="96"/>
    </row>
    <row r="5394" hidden="1">
      <c r="E5394" s="96"/>
    </row>
    <row r="5395" hidden="1">
      <c r="E5395" s="96"/>
    </row>
    <row r="5396" hidden="1">
      <c r="E5396" s="96"/>
    </row>
    <row r="5397" hidden="1">
      <c r="E5397" s="96"/>
    </row>
    <row r="5398" hidden="1">
      <c r="E5398" s="96"/>
    </row>
    <row r="5399" hidden="1">
      <c r="E5399" s="96"/>
    </row>
    <row r="5400" hidden="1">
      <c r="E5400" s="96"/>
    </row>
    <row r="5401" hidden="1">
      <c r="E5401" s="96"/>
    </row>
    <row r="5402" hidden="1">
      <c r="E5402" s="96"/>
    </row>
    <row r="5403" hidden="1">
      <c r="E5403" s="96"/>
    </row>
    <row r="5404" hidden="1">
      <c r="E5404" s="96"/>
    </row>
    <row r="5405" hidden="1">
      <c r="E5405" s="96"/>
    </row>
    <row r="5406" hidden="1">
      <c r="E5406" s="96"/>
    </row>
    <row r="5407" hidden="1">
      <c r="E5407" s="96"/>
    </row>
    <row r="5408" hidden="1">
      <c r="E5408" s="96"/>
    </row>
    <row r="5409" hidden="1">
      <c r="E5409" s="96"/>
    </row>
    <row r="5410" hidden="1">
      <c r="E5410" s="96"/>
    </row>
    <row r="5411" hidden="1">
      <c r="E5411" s="96"/>
    </row>
    <row r="5412" hidden="1">
      <c r="E5412" s="96"/>
    </row>
    <row r="5413" hidden="1">
      <c r="E5413" s="96"/>
    </row>
    <row r="5414" hidden="1">
      <c r="E5414" s="96"/>
    </row>
    <row r="5415" hidden="1">
      <c r="E5415" s="96"/>
    </row>
    <row r="5416" hidden="1">
      <c r="E5416" s="96"/>
    </row>
    <row r="5417" hidden="1">
      <c r="E5417" s="96"/>
    </row>
    <row r="5418" hidden="1">
      <c r="E5418" s="96"/>
    </row>
    <row r="5419" hidden="1">
      <c r="E5419" s="96"/>
    </row>
    <row r="5420" hidden="1">
      <c r="E5420" s="96"/>
    </row>
    <row r="5421" hidden="1">
      <c r="E5421" s="96"/>
    </row>
    <row r="5422" hidden="1">
      <c r="E5422" s="96"/>
    </row>
    <row r="5423" hidden="1">
      <c r="E5423" s="96"/>
    </row>
    <row r="5424" hidden="1">
      <c r="E5424" s="96"/>
    </row>
    <row r="5425" hidden="1">
      <c r="E5425" s="96"/>
    </row>
    <row r="5426" hidden="1">
      <c r="E5426" s="96"/>
    </row>
    <row r="5427" hidden="1">
      <c r="E5427" s="96"/>
    </row>
    <row r="5428" hidden="1">
      <c r="E5428" s="96"/>
    </row>
    <row r="5429" hidden="1">
      <c r="E5429" s="96"/>
    </row>
    <row r="5430" hidden="1">
      <c r="E5430" s="96"/>
    </row>
    <row r="5431" hidden="1">
      <c r="E5431" s="96"/>
    </row>
    <row r="5432" hidden="1">
      <c r="E5432" s="96"/>
    </row>
    <row r="5433" hidden="1">
      <c r="E5433" s="96"/>
    </row>
    <row r="5434" hidden="1">
      <c r="E5434" s="96"/>
    </row>
    <row r="5435" hidden="1">
      <c r="E5435" s="96"/>
    </row>
    <row r="5436" hidden="1">
      <c r="E5436" s="96"/>
    </row>
    <row r="5437" hidden="1">
      <c r="E5437" s="96"/>
    </row>
    <row r="5438" hidden="1">
      <c r="E5438" s="96"/>
    </row>
    <row r="5439" hidden="1">
      <c r="E5439" s="96"/>
    </row>
    <row r="5440" hidden="1">
      <c r="E5440" s="96"/>
    </row>
    <row r="5441" hidden="1">
      <c r="E5441" s="96"/>
    </row>
    <row r="5442" hidden="1">
      <c r="E5442" s="96"/>
    </row>
    <row r="5443" hidden="1">
      <c r="E5443" s="96"/>
    </row>
    <row r="5444" hidden="1">
      <c r="E5444" s="96"/>
    </row>
    <row r="5445" hidden="1">
      <c r="E5445" s="96"/>
    </row>
    <row r="5446" hidden="1">
      <c r="E5446" s="96"/>
    </row>
    <row r="5447" hidden="1">
      <c r="E5447" s="96"/>
    </row>
    <row r="5448" hidden="1">
      <c r="E5448" s="96"/>
    </row>
    <row r="5449" hidden="1">
      <c r="E5449" s="96"/>
    </row>
    <row r="5450" hidden="1">
      <c r="E5450" s="96"/>
    </row>
    <row r="5451" hidden="1">
      <c r="E5451" s="96"/>
    </row>
    <row r="5452" hidden="1">
      <c r="E5452" s="96"/>
    </row>
    <row r="5453" hidden="1">
      <c r="E5453" s="96"/>
    </row>
    <row r="5454" hidden="1">
      <c r="E5454" s="96"/>
    </row>
    <row r="5455" hidden="1">
      <c r="E5455" s="96"/>
    </row>
    <row r="5456" hidden="1">
      <c r="E5456" s="96"/>
    </row>
    <row r="5457" hidden="1">
      <c r="E5457" s="96"/>
    </row>
    <row r="5458" hidden="1">
      <c r="E5458" s="96"/>
    </row>
    <row r="5459" hidden="1">
      <c r="E5459" s="96"/>
    </row>
    <row r="5460" hidden="1">
      <c r="E5460" s="96"/>
    </row>
    <row r="5461" hidden="1">
      <c r="E5461" s="96"/>
    </row>
    <row r="5462" hidden="1">
      <c r="E5462" s="96"/>
    </row>
    <row r="5463" hidden="1">
      <c r="E5463" s="96"/>
    </row>
    <row r="5464" hidden="1">
      <c r="E5464" s="96"/>
    </row>
    <row r="5465" hidden="1">
      <c r="E5465" s="96"/>
    </row>
    <row r="5466" hidden="1">
      <c r="E5466" s="96"/>
    </row>
    <row r="5467" hidden="1">
      <c r="E5467" s="96"/>
    </row>
    <row r="5468" hidden="1">
      <c r="E5468" s="96"/>
    </row>
    <row r="5469" hidden="1">
      <c r="E5469" s="96"/>
    </row>
    <row r="5470" hidden="1">
      <c r="E5470" s="96"/>
    </row>
    <row r="5471" hidden="1">
      <c r="E5471" s="96"/>
    </row>
    <row r="5472" hidden="1">
      <c r="E5472" s="96"/>
    </row>
    <row r="5473" hidden="1">
      <c r="E5473" s="96"/>
    </row>
    <row r="5474" hidden="1">
      <c r="E5474" s="96"/>
    </row>
    <row r="5475" hidden="1">
      <c r="E5475" s="96"/>
    </row>
    <row r="5476" hidden="1">
      <c r="E5476" s="96"/>
    </row>
    <row r="5477" hidden="1">
      <c r="E5477" s="96"/>
    </row>
    <row r="5478" hidden="1">
      <c r="E5478" s="96"/>
    </row>
    <row r="5479" hidden="1">
      <c r="E5479" s="96"/>
    </row>
    <row r="5480" hidden="1">
      <c r="E5480" s="96"/>
    </row>
    <row r="5481" hidden="1">
      <c r="E5481" s="96"/>
    </row>
    <row r="5482" hidden="1">
      <c r="E5482" s="96"/>
    </row>
    <row r="5483" hidden="1">
      <c r="E5483" s="96"/>
    </row>
    <row r="5484" hidden="1">
      <c r="E5484" s="96"/>
    </row>
    <row r="5485" hidden="1">
      <c r="E5485" s="96"/>
    </row>
    <row r="5486" hidden="1">
      <c r="E5486" s="96"/>
    </row>
    <row r="5487" hidden="1">
      <c r="E5487" s="96"/>
    </row>
    <row r="5488" hidden="1">
      <c r="E5488" s="96"/>
    </row>
    <row r="5489" hidden="1">
      <c r="E5489" s="96"/>
    </row>
    <row r="5490" hidden="1">
      <c r="E5490" s="96"/>
    </row>
    <row r="5491" hidden="1">
      <c r="E5491" s="96"/>
    </row>
    <row r="5492" hidden="1">
      <c r="E5492" s="96"/>
    </row>
    <row r="5493" hidden="1">
      <c r="E5493" s="96"/>
    </row>
    <row r="5494" hidden="1">
      <c r="E5494" s="96"/>
    </row>
    <row r="5495" hidden="1">
      <c r="E5495" s="96"/>
    </row>
    <row r="5496" hidden="1">
      <c r="E5496" s="96"/>
    </row>
    <row r="5497" hidden="1">
      <c r="E5497" s="96"/>
    </row>
    <row r="5498" hidden="1">
      <c r="E5498" s="96"/>
    </row>
    <row r="5499" hidden="1">
      <c r="E5499" s="96"/>
    </row>
    <row r="5500" hidden="1">
      <c r="E5500" s="96"/>
    </row>
    <row r="5501" hidden="1">
      <c r="E5501" s="96"/>
    </row>
    <row r="5502" hidden="1">
      <c r="E5502" s="96"/>
    </row>
    <row r="5503" hidden="1">
      <c r="E5503" s="96"/>
    </row>
    <row r="5504" hidden="1">
      <c r="E5504" s="96"/>
    </row>
    <row r="5505" hidden="1">
      <c r="E5505" s="96"/>
    </row>
    <row r="5506" hidden="1">
      <c r="E5506" s="96"/>
    </row>
    <row r="5507" hidden="1">
      <c r="E5507" s="96"/>
    </row>
    <row r="5508" hidden="1">
      <c r="E5508" s="96"/>
    </row>
    <row r="5509" hidden="1">
      <c r="E5509" s="96"/>
    </row>
    <row r="5510" hidden="1">
      <c r="E5510" s="96"/>
    </row>
    <row r="5511" hidden="1">
      <c r="E5511" s="96"/>
    </row>
    <row r="5512" hidden="1">
      <c r="E5512" s="96"/>
    </row>
    <row r="5513" hidden="1">
      <c r="E5513" s="96"/>
    </row>
    <row r="5514" hidden="1">
      <c r="E5514" s="96"/>
    </row>
    <row r="5515" hidden="1">
      <c r="E5515" s="96"/>
    </row>
    <row r="5516" hidden="1">
      <c r="E5516" s="96"/>
    </row>
    <row r="5517" hidden="1">
      <c r="E5517" s="96"/>
    </row>
    <row r="5518" hidden="1">
      <c r="E5518" s="96"/>
    </row>
    <row r="5519" hidden="1">
      <c r="E5519" s="96"/>
    </row>
    <row r="5520" hidden="1">
      <c r="E5520" s="96"/>
    </row>
    <row r="5521" hidden="1">
      <c r="E5521" s="96"/>
    </row>
    <row r="5522" hidden="1">
      <c r="E5522" s="96"/>
    </row>
    <row r="5523" hidden="1">
      <c r="E5523" s="96"/>
    </row>
    <row r="5524" hidden="1">
      <c r="E5524" s="96"/>
    </row>
    <row r="5525" hidden="1">
      <c r="E5525" s="96"/>
    </row>
    <row r="5526" hidden="1">
      <c r="E5526" s="96"/>
    </row>
    <row r="5527" hidden="1">
      <c r="E5527" s="96"/>
    </row>
    <row r="5528" hidden="1">
      <c r="E5528" s="96"/>
    </row>
    <row r="5529" hidden="1">
      <c r="E5529" s="96"/>
    </row>
    <row r="5530" hidden="1">
      <c r="E5530" s="96"/>
    </row>
    <row r="5531" hidden="1">
      <c r="E5531" s="96"/>
    </row>
    <row r="5532" hidden="1">
      <c r="E5532" s="96"/>
    </row>
    <row r="5533" hidden="1">
      <c r="E5533" s="96"/>
    </row>
    <row r="5534" hidden="1">
      <c r="E5534" s="96"/>
    </row>
    <row r="5535" hidden="1">
      <c r="E5535" s="96"/>
    </row>
    <row r="5536" hidden="1">
      <c r="E5536" s="96"/>
    </row>
    <row r="5537" hidden="1">
      <c r="E5537" s="96"/>
    </row>
    <row r="5538" hidden="1">
      <c r="E5538" s="96"/>
    </row>
    <row r="5539" hidden="1">
      <c r="E5539" s="96"/>
    </row>
    <row r="5540" hidden="1">
      <c r="E5540" s="96"/>
    </row>
    <row r="5541" hidden="1">
      <c r="E5541" s="96"/>
    </row>
    <row r="5542" hidden="1">
      <c r="E5542" s="96"/>
    </row>
    <row r="5543" hidden="1">
      <c r="E5543" s="96"/>
    </row>
    <row r="5544" hidden="1">
      <c r="E5544" s="96"/>
    </row>
    <row r="5545" hidden="1">
      <c r="E5545" s="96"/>
    </row>
    <row r="5546" hidden="1">
      <c r="E5546" s="96"/>
    </row>
    <row r="5547" hidden="1">
      <c r="E5547" s="96"/>
    </row>
    <row r="5548" hidden="1">
      <c r="E5548" s="96"/>
    </row>
    <row r="5549" hidden="1">
      <c r="E5549" s="96"/>
    </row>
    <row r="5550" hidden="1">
      <c r="E5550" s="96"/>
    </row>
    <row r="5551" hidden="1">
      <c r="E5551" s="96"/>
    </row>
    <row r="5552" hidden="1">
      <c r="E5552" s="96"/>
    </row>
    <row r="5553" hidden="1">
      <c r="E5553" s="96"/>
    </row>
    <row r="5554" hidden="1">
      <c r="E5554" s="96"/>
    </row>
    <row r="5555" hidden="1">
      <c r="E5555" s="96"/>
    </row>
    <row r="5556" hidden="1">
      <c r="E5556" s="96"/>
    </row>
    <row r="5557" hidden="1">
      <c r="E5557" s="96"/>
    </row>
    <row r="5558" hidden="1">
      <c r="E5558" s="96"/>
    </row>
    <row r="5559" hidden="1">
      <c r="E5559" s="96"/>
    </row>
    <row r="5560" hidden="1">
      <c r="E5560" s="96"/>
    </row>
    <row r="5561" hidden="1">
      <c r="E5561" s="96"/>
    </row>
    <row r="5562" hidden="1">
      <c r="E5562" s="96"/>
    </row>
    <row r="5563" hidden="1">
      <c r="E5563" s="96"/>
    </row>
    <row r="5564" hidden="1">
      <c r="E5564" s="96"/>
    </row>
    <row r="5565" hidden="1">
      <c r="E5565" s="96"/>
    </row>
    <row r="5566" hidden="1">
      <c r="E5566" s="96"/>
    </row>
    <row r="5567" hidden="1">
      <c r="E5567" s="96"/>
    </row>
    <row r="5568" hidden="1">
      <c r="E5568" s="96"/>
    </row>
    <row r="5569" hidden="1">
      <c r="E5569" s="96"/>
    </row>
    <row r="5570" hidden="1">
      <c r="E5570" s="96"/>
    </row>
    <row r="5571" hidden="1">
      <c r="E5571" s="96"/>
    </row>
    <row r="5572" hidden="1">
      <c r="E5572" s="96"/>
    </row>
    <row r="5573" hidden="1">
      <c r="E5573" s="96"/>
    </row>
    <row r="5574" hidden="1">
      <c r="E5574" s="96"/>
    </row>
    <row r="5575" hidden="1">
      <c r="E5575" s="96"/>
    </row>
    <row r="5576" hidden="1">
      <c r="E5576" s="96"/>
    </row>
    <row r="5577" hidden="1">
      <c r="E5577" s="96"/>
    </row>
    <row r="5578" hidden="1">
      <c r="E5578" s="96"/>
    </row>
    <row r="5579" hidden="1">
      <c r="E5579" s="96"/>
    </row>
    <row r="5580" hidden="1">
      <c r="E5580" s="96"/>
    </row>
    <row r="5581" hidden="1">
      <c r="E5581" s="96"/>
    </row>
    <row r="5582" hidden="1">
      <c r="E5582" s="96"/>
    </row>
    <row r="5583" hidden="1">
      <c r="E5583" s="96"/>
    </row>
    <row r="5584" hidden="1">
      <c r="E5584" s="96"/>
    </row>
    <row r="5585" hidden="1">
      <c r="E5585" s="96"/>
    </row>
    <row r="5586" hidden="1">
      <c r="E5586" s="96"/>
    </row>
    <row r="5587" hidden="1">
      <c r="E5587" s="96"/>
    </row>
    <row r="5588" hidden="1">
      <c r="E5588" s="96"/>
    </row>
    <row r="5589" hidden="1">
      <c r="E5589" s="96"/>
    </row>
    <row r="5590" hidden="1">
      <c r="E5590" s="96"/>
    </row>
    <row r="5591" hidden="1">
      <c r="E5591" s="96"/>
    </row>
    <row r="5592" hidden="1">
      <c r="E5592" s="96"/>
    </row>
    <row r="5593" hidden="1">
      <c r="E5593" s="96"/>
    </row>
    <row r="5594" hidden="1">
      <c r="E5594" s="96"/>
    </row>
    <row r="5595" hidden="1">
      <c r="E5595" s="96"/>
    </row>
    <row r="5596" hidden="1">
      <c r="E5596" s="96"/>
    </row>
    <row r="5597" hidden="1">
      <c r="E5597" s="96"/>
    </row>
    <row r="5598" hidden="1">
      <c r="E5598" s="96"/>
    </row>
    <row r="5599" hidden="1">
      <c r="E5599" s="96"/>
    </row>
    <row r="5600" hidden="1">
      <c r="E5600" s="96"/>
    </row>
    <row r="5601" hidden="1">
      <c r="E5601" s="96"/>
    </row>
    <row r="5602" hidden="1">
      <c r="E5602" s="96"/>
    </row>
    <row r="5603" hidden="1">
      <c r="E5603" s="96"/>
    </row>
    <row r="5604" hidden="1">
      <c r="E5604" s="96"/>
    </row>
    <row r="5605" hidden="1">
      <c r="E5605" s="96"/>
    </row>
    <row r="5606" hidden="1">
      <c r="E5606" s="96"/>
    </row>
    <row r="5607" hidden="1">
      <c r="E5607" s="96"/>
    </row>
    <row r="5608" hidden="1">
      <c r="E5608" s="96"/>
    </row>
    <row r="5609" hidden="1">
      <c r="E5609" s="96"/>
    </row>
    <row r="5610" hidden="1">
      <c r="E5610" s="96"/>
    </row>
    <row r="5611" hidden="1">
      <c r="E5611" s="96"/>
    </row>
    <row r="5612" hidden="1">
      <c r="E5612" s="96"/>
    </row>
    <row r="5613" hidden="1">
      <c r="E5613" s="96"/>
    </row>
    <row r="5614" hidden="1">
      <c r="E5614" s="96"/>
    </row>
    <row r="5615" hidden="1">
      <c r="E5615" s="96"/>
    </row>
    <row r="5616" hidden="1">
      <c r="E5616" s="96"/>
    </row>
    <row r="5617" hidden="1">
      <c r="E5617" s="96"/>
    </row>
    <row r="5618" hidden="1">
      <c r="E5618" s="96"/>
    </row>
    <row r="5619" hidden="1">
      <c r="E5619" s="96"/>
    </row>
    <row r="5620" hidden="1">
      <c r="E5620" s="96"/>
    </row>
    <row r="5621" hidden="1">
      <c r="E5621" s="96"/>
    </row>
    <row r="5622" hidden="1">
      <c r="E5622" s="96"/>
    </row>
    <row r="5623" hidden="1">
      <c r="E5623" s="96"/>
    </row>
    <row r="5624" hidden="1">
      <c r="E5624" s="96"/>
    </row>
    <row r="5625" hidden="1">
      <c r="E5625" s="96"/>
    </row>
    <row r="5626" hidden="1">
      <c r="E5626" s="96"/>
    </row>
    <row r="5627" hidden="1">
      <c r="E5627" s="96"/>
    </row>
    <row r="5628" hidden="1">
      <c r="E5628" s="96"/>
    </row>
    <row r="5629" hidden="1">
      <c r="E5629" s="96"/>
    </row>
    <row r="5630" hidden="1">
      <c r="E5630" s="96"/>
    </row>
    <row r="5631" hidden="1">
      <c r="E5631" s="96"/>
    </row>
    <row r="5632" hidden="1">
      <c r="E5632" s="96"/>
    </row>
    <row r="5633" hidden="1">
      <c r="E5633" s="96"/>
    </row>
    <row r="5634" hidden="1">
      <c r="E5634" s="96"/>
    </row>
    <row r="5635" hidden="1">
      <c r="E5635" s="96"/>
    </row>
    <row r="5636" hidden="1">
      <c r="E5636" s="96"/>
    </row>
    <row r="5637" hidden="1">
      <c r="E5637" s="96"/>
    </row>
    <row r="5638" hidden="1">
      <c r="E5638" s="96"/>
    </row>
    <row r="5639" hidden="1">
      <c r="E5639" s="96"/>
    </row>
    <row r="5640" hidden="1">
      <c r="E5640" s="96"/>
    </row>
    <row r="5641" hidden="1">
      <c r="E5641" s="96"/>
    </row>
    <row r="5642" hidden="1">
      <c r="E5642" s="96"/>
    </row>
    <row r="5643" hidden="1">
      <c r="E5643" s="96"/>
    </row>
    <row r="5644" hidden="1">
      <c r="E5644" s="96"/>
    </row>
    <row r="5645" hidden="1">
      <c r="E5645" s="96"/>
    </row>
    <row r="5646" hidden="1">
      <c r="E5646" s="96"/>
    </row>
    <row r="5647" hidden="1">
      <c r="E5647" s="96"/>
    </row>
    <row r="5648" hidden="1">
      <c r="E5648" s="96"/>
    </row>
    <row r="5649" hidden="1">
      <c r="E5649" s="96"/>
    </row>
    <row r="5650" hidden="1">
      <c r="E5650" s="96"/>
    </row>
    <row r="5651" hidden="1">
      <c r="E5651" s="96"/>
    </row>
    <row r="5652" hidden="1">
      <c r="E5652" s="96"/>
    </row>
    <row r="5653" hidden="1">
      <c r="E5653" s="96"/>
    </row>
    <row r="5654" hidden="1">
      <c r="E5654" s="96"/>
    </row>
    <row r="5655" hidden="1">
      <c r="E5655" s="96"/>
    </row>
    <row r="5656" hidden="1">
      <c r="E5656" s="96"/>
    </row>
    <row r="5657" hidden="1">
      <c r="E5657" s="96"/>
    </row>
    <row r="5658" hidden="1">
      <c r="E5658" s="96"/>
    </row>
    <row r="5659" hidden="1">
      <c r="E5659" s="96"/>
    </row>
    <row r="5660" hidden="1">
      <c r="E5660" s="96"/>
    </row>
    <row r="5661" hidden="1">
      <c r="E5661" s="96"/>
    </row>
    <row r="5662" hidden="1">
      <c r="E5662" s="96"/>
    </row>
    <row r="5663" hidden="1">
      <c r="E5663" s="96"/>
    </row>
    <row r="5664" hidden="1">
      <c r="E5664" s="96"/>
    </row>
    <row r="5665" hidden="1">
      <c r="E5665" s="96"/>
    </row>
    <row r="5666" hidden="1">
      <c r="E5666" s="96"/>
    </row>
    <row r="5667" hidden="1">
      <c r="E5667" s="96"/>
    </row>
    <row r="5668" hidden="1">
      <c r="E5668" s="96"/>
    </row>
    <row r="5669" hidden="1">
      <c r="E5669" s="96"/>
    </row>
    <row r="5670" hidden="1">
      <c r="E5670" s="96"/>
    </row>
    <row r="5671" hidden="1">
      <c r="E5671" s="96"/>
    </row>
    <row r="5672" hidden="1">
      <c r="E5672" s="96"/>
    </row>
    <row r="5673" hidden="1">
      <c r="E5673" s="96"/>
    </row>
    <row r="5674" hidden="1">
      <c r="E5674" s="96"/>
    </row>
    <row r="5675" hidden="1">
      <c r="E5675" s="96"/>
    </row>
    <row r="5676" hidden="1">
      <c r="E5676" s="96"/>
    </row>
    <row r="5677" hidden="1">
      <c r="E5677" s="96"/>
    </row>
    <row r="5678" hidden="1">
      <c r="E5678" s="96"/>
    </row>
    <row r="5679" hidden="1">
      <c r="E5679" s="96"/>
    </row>
    <row r="5680" hidden="1">
      <c r="E5680" s="96"/>
    </row>
    <row r="5681" hidden="1">
      <c r="E5681" s="96"/>
    </row>
    <row r="5682" hidden="1">
      <c r="E5682" s="96"/>
    </row>
    <row r="5683" hidden="1">
      <c r="E5683" s="96"/>
    </row>
    <row r="5684" hidden="1">
      <c r="E5684" s="96"/>
    </row>
    <row r="5685" hidden="1">
      <c r="E5685" s="96"/>
    </row>
    <row r="5686" hidden="1">
      <c r="E5686" s="96"/>
    </row>
    <row r="5687" hidden="1">
      <c r="E5687" s="96"/>
    </row>
    <row r="5688" hidden="1">
      <c r="E5688" s="96"/>
    </row>
    <row r="5689" hidden="1">
      <c r="E5689" s="96"/>
    </row>
    <row r="5690" hidden="1">
      <c r="E5690" s="96"/>
    </row>
    <row r="5691" hidden="1">
      <c r="E5691" s="96"/>
    </row>
    <row r="5692" hidden="1">
      <c r="E5692" s="96"/>
    </row>
    <row r="5693" hidden="1">
      <c r="E5693" s="96"/>
    </row>
    <row r="5694" hidden="1">
      <c r="E5694" s="96"/>
    </row>
    <row r="5695" hidden="1">
      <c r="E5695" s="96"/>
    </row>
    <row r="5696" hidden="1">
      <c r="E5696" s="96"/>
    </row>
    <row r="5697" hidden="1">
      <c r="E5697" s="96"/>
    </row>
    <row r="5698" hidden="1">
      <c r="E5698" s="96"/>
    </row>
    <row r="5699" hidden="1">
      <c r="E5699" s="96"/>
    </row>
    <row r="5700" hidden="1">
      <c r="E5700" s="96"/>
    </row>
    <row r="5701" hidden="1">
      <c r="E5701" s="96"/>
    </row>
    <row r="5702" hidden="1">
      <c r="E5702" s="96"/>
    </row>
    <row r="5703" hidden="1">
      <c r="E5703" s="96"/>
    </row>
    <row r="5704" hidden="1">
      <c r="E5704" s="96"/>
    </row>
    <row r="5705" hidden="1">
      <c r="E5705" s="96"/>
    </row>
    <row r="5706" hidden="1">
      <c r="E5706" s="96"/>
    </row>
    <row r="5707" hidden="1">
      <c r="E5707" s="96"/>
    </row>
    <row r="5708" hidden="1">
      <c r="E5708" s="96"/>
    </row>
    <row r="5709" hidden="1">
      <c r="E5709" s="96"/>
    </row>
    <row r="5710" hidden="1">
      <c r="E5710" s="96"/>
    </row>
    <row r="5711" hidden="1">
      <c r="E5711" s="96"/>
    </row>
    <row r="5712" hidden="1">
      <c r="E5712" s="96"/>
    </row>
    <row r="5713" hidden="1">
      <c r="E5713" s="96"/>
    </row>
    <row r="5714" hidden="1">
      <c r="E5714" s="96"/>
    </row>
    <row r="5715" hidden="1">
      <c r="E5715" s="96"/>
    </row>
    <row r="5716" hidden="1">
      <c r="E5716" s="96"/>
    </row>
    <row r="5717" hidden="1">
      <c r="E5717" s="96"/>
    </row>
    <row r="5718" hidden="1">
      <c r="E5718" s="96"/>
    </row>
    <row r="5719" hidden="1">
      <c r="E5719" s="96"/>
    </row>
    <row r="5720" hidden="1">
      <c r="E5720" s="96"/>
    </row>
    <row r="5721" hidden="1">
      <c r="E5721" s="96"/>
    </row>
    <row r="5722" hidden="1">
      <c r="E5722" s="96"/>
    </row>
    <row r="5723" hidden="1">
      <c r="E5723" s="96"/>
    </row>
    <row r="5724" hidden="1">
      <c r="E5724" s="96"/>
    </row>
    <row r="5725" hidden="1">
      <c r="E5725" s="96"/>
    </row>
    <row r="5726" hidden="1">
      <c r="E5726" s="96"/>
    </row>
    <row r="5727" hidden="1">
      <c r="E5727" s="96"/>
    </row>
    <row r="5728" hidden="1">
      <c r="E5728" s="96"/>
    </row>
    <row r="5729" hidden="1">
      <c r="E5729" s="96"/>
    </row>
    <row r="5730" hidden="1">
      <c r="E5730" s="96"/>
    </row>
    <row r="5731" hidden="1">
      <c r="E5731" s="96"/>
    </row>
    <row r="5732" hidden="1">
      <c r="E5732" s="96"/>
    </row>
    <row r="5733" hidden="1">
      <c r="E5733" s="96"/>
    </row>
    <row r="5734" hidden="1">
      <c r="E5734" s="96"/>
    </row>
    <row r="5735" hidden="1">
      <c r="E5735" s="96"/>
    </row>
    <row r="5736" hidden="1">
      <c r="E5736" s="96"/>
    </row>
    <row r="5737" hidden="1">
      <c r="E5737" s="96"/>
    </row>
    <row r="5738" hidden="1">
      <c r="E5738" s="96"/>
    </row>
    <row r="5739" hidden="1">
      <c r="E5739" s="96"/>
    </row>
    <row r="5740" hidden="1">
      <c r="E5740" s="96"/>
    </row>
    <row r="5741" hidden="1">
      <c r="E5741" s="96"/>
    </row>
    <row r="5742" hidden="1">
      <c r="E5742" s="96"/>
    </row>
    <row r="5743" hidden="1">
      <c r="E5743" s="96"/>
    </row>
    <row r="5744" hidden="1">
      <c r="E5744" s="96"/>
    </row>
    <row r="5745" hidden="1">
      <c r="E5745" s="96"/>
    </row>
    <row r="5746" hidden="1">
      <c r="E5746" s="96"/>
    </row>
    <row r="5747" hidden="1">
      <c r="E5747" s="96"/>
    </row>
    <row r="5748" hidden="1">
      <c r="E5748" s="96"/>
    </row>
    <row r="5749" hidden="1">
      <c r="E5749" s="96"/>
    </row>
    <row r="5750" hidden="1">
      <c r="E5750" s="96"/>
    </row>
    <row r="5751" hidden="1">
      <c r="E5751" s="96"/>
    </row>
    <row r="5752" hidden="1">
      <c r="E5752" s="96"/>
    </row>
    <row r="5753" hidden="1">
      <c r="E5753" s="96"/>
    </row>
    <row r="5754" hidden="1">
      <c r="E5754" s="96"/>
    </row>
    <row r="5755" hidden="1">
      <c r="E5755" s="96"/>
    </row>
    <row r="5756" hidden="1">
      <c r="E5756" s="96"/>
    </row>
    <row r="5757" hidden="1">
      <c r="E5757" s="96"/>
    </row>
    <row r="5758" hidden="1">
      <c r="E5758" s="96"/>
    </row>
    <row r="5759" hidden="1">
      <c r="E5759" s="96"/>
    </row>
    <row r="5760" hidden="1">
      <c r="E5760" s="96"/>
    </row>
    <row r="5761" hidden="1">
      <c r="E5761" s="96"/>
    </row>
    <row r="5762" hidden="1">
      <c r="E5762" s="96"/>
    </row>
    <row r="5763" hidden="1">
      <c r="E5763" s="96"/>
    </row>
    <row r="5764" hidden="1">
      <c r="E5764" s="96"/>
    </row>
    <row r="5765" hidden="1">
      <c r="E5765" s="96"/>
    </row>
    <row r="5766" hidden="1">
      <c r="E5766" s="96"/>
    </row>
    <row r="5767" hidden="1">
      <c r="E5767" s="96"/>
    </row>
    <row r="5768" hidden="1">
      <c r="E5768" s="96"/>
    </row>
    <row r="5769" hidden="1">
      <c r="E5769" s="96"/>
    </row>
    <row r="5770" hidden="1">
      <c r="E5770" s="96"/>
    </row>
    <row r="5771" hidden="1">
      <c r="E5771" s="96"/>
    </row>
    <row r="5772" hidden="1">
      <c r="E5772" s="96"/>
    </row>
    <row r="5773" hidden="1">
      <c r="E5773" s="96"/>
    </row>
    <row r="5774" hidden="1">
      <c r="E5774" s="96"/>
    </row>
    <row r="5775" hidden="1">
      <c r="E5775" s="96"/>
    </row>
    <row r="5776" hidden="1">
      <c r="E5776" s="96"/>
    </row>
    <row r="5777" hidden="1">
      <c r="E5777" s="96"/>
    </row>
    <row r="5778" hidden="1">
      <c r="E5778" s="96"/>
    </row>
    <row r="5779" hidden="1">
      <c r="E5779" s="96"/>
    </row>
    <row r="5780" hidden="1">
      <c r="E5780" s="96"/>
    </row>
    <row r="5781" hidden="1">
      <c r="E5781" s="96"/>
    </row>
    <row r="5782" hidden="1">
      <c r="E5782" s="96"/>
    </row>
    <row r="5783" hidden="1">
      <c r="E5783" s="96"/>
    </row>
    <row r="5784" hidden="1">
      <c r="E5784" s="96"/>
    </row>
    <row r="5785" hidden="1">
      <c r="E5785" s="96"/>
    </row>
    <row r="5786" hidden="1">
      <c r="E5786" s="96"/>
    </row>
    <row r="5787" hidden="1">
      <c r="E5787" s="96"/>
    </row>
    <row r="5788" hidden="1">
      <c r="E5788" s="96"/>
    </row>
    <row r="5789" hidden="1">
      <c r="E5789" s="96"/>
    </row>
    <row r="5790" hidden="1">
      <c r="E5790" s="96"/>
    </row>
    <row r="5791" hidden="1">
      <c r="E5791" s="96"/>
    </row>
    <row r="5792" hidden="1">
      <c r="E5792" s="96"/>
    </row>
    <row r="5793" hidden="1">
      <c r="E5793" s="96"/>
    </row>
    <row r="5794" hidden="1">
      <c r="E5794" s="96"/>
    </row>
    <row r="5795" hidden="1">
      <c r="E5795" s="96"/>
    </row>
    <row r="5796" hidden="1">
      <c r="E5796" s="96"/>
    </row>
    <row r="5797" hidden="1">
      <c r="E5797" s="96"/>
    </row>
    <row r="5798" hidden="1">
      <c r="E5798" s="96"/>
    </row>
    <row r="5799" hidden="1">
      <c r="E5799" s="96"/>
    </row>
    <row r="5800" hidden="1">
      <c r="E5800" s="96"/>
    </row>
    <row r="5801" hidden="1">
      <c r="E5801" s="96"/>
    </row>
    <row r="5802" hidden="1">
      <c r="E5802" s="96"/>
    </row>
    <row r="5803" hidden="1">
      <c r="E5803" s="96"/>
    </row>
    <row r="5804" hidden="1">
      <c r="E5804" s="96"/>
    </row>
    <row r="5805" hidden="1">
      <c r="E5805" s="96"/>
    </row>
    <row r="5806" hidden="1">
      <c r="E5806" s="96"/>
    </row>
    <row r="5807" hidden="1">
      <c r="E5807" s="96"/>
    </row>
    <row r="5808" hidden="1">
      <c r="E5808" s="96"/>
    </row>
    <row r="5809" hidden="1">
      <c r="E5809" s="96"/>
    </row>
    <row r="5810" hidden="1">
      <c r="E5810" s="96"/>
    </row>
    <row r="5811" hidden="1">
      <c r="E5811" s="96"/>
    </row>
    <row r="5812" hidden="1">
      <c r="E5812" s="96"/>
    </row>
    <row r="5813" hidden="1">
      <c r="E5813" s="96"/>
    </row>
    <row r="5814" hidden="1">
      <c r="E5814" s="96"/>
    </row>
    <row r="5815" hidden="1">
      <c r="E5815" s="96"/>
    </row>
    <row r="5816" hidden="1">
      <c r="E5816" s="96"/>
    </row>
    <row r="5817" hidden="1">
      <c r="E5817" s="96"/>
    </row>
    <row r="5818" hidden="1">
      <c r="E5818" s="96"/>
    </row>
    <row r="5819" hidden="1">
      <c r="E5819" s="96"/>
    </row>
    <row r="5820" hidden="1">
      <c r="E5820" s="96"/>
    </row>
    <row r="5821" hidden="1">
      <c r="E5821" s="96"/>
    </row>
    <row r="5822" hidden="1">
      <c r="E5822" s="96"/>
    </row>
    <row r="5823" hidden="1">
      <c r="E5823" s="96"/>
    </row>
    <row r="5824" hidden="1">
      <c r="E5824" s="96"/>
    </row>
    <row r="5825" hidden="1">
      <c r="E5825" s="96"/>
    </row>
    <row r="5826" hidden="1">
      <c r="E5826" s="96"/>
    </row>
    <row r="5827" hidden="1">
      <c r="E5827" s="96"/>
    </row>
    <row r="5828" hidden="1">
      <c r="E5828" s="96"/>
    </row>
    <row r="5829" hidden="1">
      <c r="E5829" s="96"/>
    </row>
    <row r="5830" hidden="1">
      <c r="E5830" s="96"/>
    </row>
    <row r="5831" hidden="1">
      <c r="E5831" s="96"/>
    </row>
    <row r="5832" hidden="1">
      <c r="E5832" s="96"/>
    </row>
    <row r="5833" hidden="1">
      <c r="E5833" s="96"/>
    </row>
    <row r="5834" hidden="1">
      <c r="E5834" s="96"/>
    </row>
    <row r="5835" hidden="1">
      <c r="E5835" s="96"/>
    </row>
    <row r="5836" hidden="1">
      <c r="E5836" s="96"/>
    </row>
    <row r="5837" hidden="1">
      <c r="E5837" s="96"/>
    </row>
    <row r="5838" hidden="1">
      <c r="E5838" s="96"/>
    </row>
    <row r="5839" hidden="1">
      <c r="E5839" s="96"/>
    </row>
    <row r="5840" hidden="1">
      <c r="E5840" s="96"/>
    </row>
    <row r="5841" hidden="1">
      <c r="E5841" s="96"/>
    </row>
    <row r="5842" hidden="1">
      <c r="E5842" s="96"/>
    </row>
    <row r="5843" hidden="1">
      <c r="E5843" s="96"/>
    </row>
    <row r="5844" hidden="1">
      <c r="E5844" s="96"/>
    </row>
    <row r="5845" hidden="1">
      <c r="E5845" s="96"/>
    </row>
    <row r="5846" hidden="1">
      <c r="E5846" s="96"/>
    </row>
    <row r="5847" hidden="1">
      <c r="E5847" s="96"/>
    </row>
    <row r="5848" hidden="1">
      <c r="E5848" s="96"/>
    </row>
    <row r="5849" hidden="1">
      <c r="E5849" s="96"/>
    </row>
    <row r="5850" hidden="1">
      <c r="E5850" s="96"/>
    </row>
    <row r="5851" hidden="1">
      <c r="E5851" s="96"/>
    </row>
    <row r="5852" hidden="1">
      <c r="E5852" s="96"/>
    </row>
    <row r="5853" hidden="1">
      <c r="E5853" s="96"/>
    </row>
    <row r="5854" hidden="1">
      <c r="E5854" s="96"/>
    </row>
    <row r="5855" hidden="1">
      <c r="E5855" s="96"/>
    </row>
    <row r="5856" hidden="1">
      <c r="E5856" s="96"/>
    </row>
    <row r="5857" hidden="1">
      <c r="E5857" s="96"/>
    </row>
    <row r="5858" hidden="1">
      <c r="E5858" s="96"/>
    </row>
    <row r="5859" hidden="1">
      <c r="E5859" s="96"/>
    </row>
    <row r="5860" hidden="1">
      <c r="E5860" s="96"/>
    </row>
    <row r="5861" hidden="1">
      <c r="E5861" s="96"/>
    </row>
    <row r="5862" hidden="1">
      <c r="E5862" s="96"/>
    </row>
    <row r="5863" hidden="1">
      <c r="E5863" s="96"/>
    </row>
    <row r="5864" hidden="1">
      <c r="E5864" s="96"/>
    </row>
    <row r="5865" hidden="1">
      <c r="E5865" s="96"/>
    </row>
    <row r="5866" hidden="1">
      <c r="E5866" s="96"/>
    </row>
    <row r="5867" hidden="1">
      <c r="E5867" s="96"/>
    </row>
    <row r="5868" hidden="1">
      <c r="E5868" s="96"/>
    </row>
    <row r="5869" hidden="1">
      <c r="E5869" s="96"/>
    </row>
    <row r="5870" hidden="1">
      <c r="E5870" s="96"/>
    </row>
    <row r="5871" hidden="1">
      <c r="E5871" s="96"/>
    </row>
    <row r="5872" hidden="1">
      <c r="E5872" s="96"/>
    </row>
    <row r="5873" hidden="1">
      <c r="E5873" s="96"/>
    </row>
    <row r="5874" hidden="1">
      <c r="E5874" s="96"/>
    </row>
    <row r="5875" hidden="1">
      <c r="E5875" s="96"/>
    </row>
    <row r="5876" hidden="1">
      <c r="E5876" s="96"/>
    </row>
    <row r="5877" hidden="1">
      <c r="E5877" s="96"/>
    </row>
    <row r="5878" hidden="1">
      <c r="E5878" s="96"/>
    </row>
    <row r="5879" hidden="1">
      <c r="E5879" s="96"/>
    </row>
    <row r="5880" hidden="1">
      <c r="E5880" s="96"/>
    </row>
    <row r="5881" hidden="1">
      <c r="E5881" s="96"/>
    </row>
    <row r="5882" hidden="1">
      <c r="E5882" s="96"/>
    </row>
    <row r="5883" hidden="1">
      <c r="E5883" s="96"/>
    </row>
    <row r="5884" hidden="1">
      <c r="E5884" s="96"/>
    </row>
    <row r="5885" hidden="1">
      <c r="E5885" s="96"/>
    </row>
    <row r="5886" hidden="1">
      <c r="E5886" s="96"/>
    </row>
    <row r="5887" hidden="1">
      <c r="E5887" s="96"/>
    </row>
    <row r="5888" hidden="1">
      <c r="E5888" s="96"/>
    </row>
    <row r="5889" hidden="1">
      <c r="E5889" s="96"/>
    </row>
    <row r="5890" hidden="1">
      <c r="E5890" s="96"/>
    </row>
    <row r="5891" hidden="1">
      <c r="E5891" s="96"/>
    </row>
    <row r="5892" hidden="1">
      <c r="E5892" s="96"/>
    </row>
    <row r="5893" hidden="1">
      <c r="E5893" s="96"/>
    </row>
    <row r="5894" hidden="1">
      <c r="E5894" s="96"/>
    </row>
    <row r="5895" hidden="1">
      <c r="E5895" s="96"/>
    </row>
    <row r="5896" hidden="1">
      <c r="E5896" s="96"/>
    </row>
    <row r="5897" hidden="1">
      <c r="E5897" s="96"/>
    </row>
    <row r="5898" hidden="1">
      <c r="E5898" s="96"/>
    </row>
    <row r="5899" hidden="1">
      <c r="E5899" s="96"/>
    </row>
    <row r="5900" hidden="1">
      <c r="E5900" s="96"/>
    </row>
    <row r="5901" hidden="1">
      <c r="E5901" s="96"/>
    </row>
    <row r="5902" hidden="1">
      <c r="E5902" s="96"/>
    </row>
    <row r="5903" hidden="1">
      <c r="E5903" s="96"/>
    </row>
    <row r="5904" hidden="1">
      <c r="E5904" s="96"/>
    </row>
    <row r="5905" hidden="1">
      <c r="E5905" s="96"/>
    </row>
    <row r="5906" hidden="1">
      <c r="E5906" s="96"/>
    </row>
    <row r="5907" hidden="1">
      <c r="E5907" s="96"/>
    </row>
    <row r="5908" hidden="1">
      <c r="E5908" s="96"/>
    </row>
    <row r="5909" hidden="1">
      <c r="E5909" s="96"/>
    </row>
    <row r="5910" hidden="1">
      <c r="E5910" s="96"/>
    </row>
    <row r="5911" hidden="1">
      <c r="E5911" s="96"/>
    </row>
    <row r="5912" hidden="1">
      <c r="E5912" s="96"/>
    </row>
    <row r="5913" hidden="1">
      <c r="E5913" s="96"/>
    </row>
    <row r="5914" hidden="1">
      <c r="E5914" s="96"/>
    </row>
    <row r="5915" hidden="1">
      <c r="E5915" s="96"/>
    </row>
    <row r="5916" hidden="1">
      <c r="E5916" s="96"/>
    </row>
    <row r="5917" hidden="1">
      <c r="E5917" s="96"/>
    </row>
    <row r="5918" hidden="1">
      <c r="E5918" s="96"/>
    </row>
    <row r="5919" hidden="1">
      <c r="E5919" s="96"/>
    </row>
    <row r="5920" hidden="1">
      <c r="E5920" s="96"/>
    </row>
    <row r="5921" hidden="1">
      <c r="E5921" s="96"/>
    </row>
    <row r="5922" hidden="1">
      <c r="E5922" s="96"/>
    </row>
    <row r="5923" hidden="1">
      <c r="E5923" s="96"/>
    </row>
    <row r="5924" hidden="1">
      <c r="E5924" s="96"/>
    </row>
    <row r="5925" hidden="1">
      <c r="E5925" s="96"/>
    </row>
    <row r="5926" hidden="1">
      <c r="E5926" s="96"/>
    </row>
    <row r="5927" hidden="1">
      <c r="E5927" s="96"/>
    </row>
    <row r="5928" hidden="1">
      <c r="E5928" s="96"/>
    </row>
    <row r="5929" hidden="1">
      <c r="E5929" s="96"/>
    </row>
    <row r="5930" hidden="1">
      <c r="E5930" s="96"/>
    </row>
    <row r="5931" hidden="1">
      <c r="E5931" s="96"/>
    </row>
    <row r="5932" hidden="1">
      <c r="E5932" s="96"/>
    </row>
    <row r="5933" hidden="1">
      <c r="E5933" s="96"/>
    </row>
    <row r="5934" hidden="1">
      <c r="E5934" s="96"/>
    </row>
    <row r="5935" hidden="1">
      <c r="E5935" s="96"/>
    </row>
    <row r="5936" hidden="1">
      <c r="E5936" s="96"/>
    </row>
    <row r="5937" hidden="1">
      <c r="E5937" s="96"/>
    </row>
    <row r="5938" hidden="1">
      <c r="E5938" s="96"/>
    </row>
    <row r="5939" hidden="1">
      <c r="E5939" s="96"/>
    </row>
    <row r="5940" hidden="1">
      <c r="E5940" s="96"/>
    </row>
    <row r="5941" hidden="1">
      <c r="E5941" s="96"/>
    </row>
    <row r="5942" hidden="1">
      <c r="E5942" s="96"/>
    </row>
    <row r="5943" hidden="1">
      <c r="E5943" s="96"/>
    </row>
    <row r="5944" hidden="1">
      <c r="E5944" s="96"/>
    </row>
    <row r="5945" hidden="1">
      <c r="E5945" s="96"/>
    </row>
    <row r="5946" hidden="1">
      <c r="E5946" s="96"/>
    </row>
    <row r="5947" hidden="1">
      <c r="E5947" s="96"/>
    </row>
    <row r="5948" hidden="1">
      <c r="E5948" s="96"/>
    </row>
    <row r="5949" hidden="1">
      <c r="E5949" s="96"/>
    </row>
    <row r="5950" hidden="1">
      <c r="E5950" s="96"/>
    </row>
    <row r="5951" hidden="1">
      <c r="E5951" s="96"/>
    </row>
    <row r="5952" hidden="1">
      <c r="E5952" s="96"/>
    </row>
    <row r="5953" hidden="1">
      <c r="E5953" s="96"/>
    </row>
    <row r="5954" hidden="1">
      <c r="E5954" s="96"/>
    </row>
    <row r="5955" hidden="1">
      <c r="E5955" s="96"/>
    </row>
    <row r="5956" hidden="1">
      <c r="E5956" s="96"/>
    </row>
    <row r="5957" hidden="1">
      <c r="E5957" s="96"/>
    </row>
    <row r="5958" hidden="1">
      <c r="E5958" s="96"/>
    </row>
    <row r="5959" hidden="1">
      <c r="E5959" s="96"/>
    </row>
    <row r="5960" hidden="1">
      <c r="E5960" s="96"/>
    </row>
    <row r="5961" hidden="1">
      <c r="E5961" s="96"/>
    </row>
    <row r="5962" hidden="1">
      <c r="E5962" s="96"/>
    </row>
    <row r="5963" hidden="1">
      <c r="E5963" s="96"/>
    </row>
    <row r="5964" hidden="1">
      <c r="E5964" s="96"/>
    </row>
    <row r="5965" hidden="1">
      <c r="E5965" s="96"/>
    </row>
    <row r="5966" hidden="1">
      <c r="E5966" s="96"/>
    </row>
    <row r="5967" hidden="1">
      <c r="E5967" s="96"/>
    </row>
    <row r="5968" hidden="1">
      <c r="E5968" s="96"/>
    </row>
    <row r="5969" hidden="1">
      <c r="E5969" s="96"/>
    </row>
    <row r="5970" hidden="1">
      <c r="E5970" s="96"/>
    </row>
    <row r="5971" hidden="1">
      <c r="E5971" s="96"/>
    </row>
    <row r="5972" hidden="1">
      <c r="E5972" s="96"/>
    </row>
    <row r="5973" hidden="1">
      <c r="E5973" s="96"/>
    </row>
    <row r="5974" hidden="1">
      <c r="E5974" s="96"/>
    </row>
    <row r="5975" hidden="1">
      <c r="E5975" s="96"/>
    </row>
    <row r="5976" hidden="1">
      <c r="E5976" s="96"/>
    </row>
    <row r="5977" hidden="1">
      <c r="E5977" s="96"/>
    </row>
    <row r="5978" hidden="1">
      <c r="E5978" s="96"/>
    </row>
    <row r="5979" hidden="1">
      <c r="E5979" s="96"/>
    </row>
    <row r="5980" hidden="1">
      <c r="E5980" s="96"/>
    </row>
    <row r="5981" hidden="1">
      <c r="E5981" s="96"/>
    </row>
    <row r="5982" hidden="1">
      <c r="E5982" s="96"/>
    </row>
    <row r="5983" hidden="1">
      <c r="E5983" s="96"/>
    </row>
    <row r="5984" hidden="1">
      <c r="E5984" s="96"/>
    </row>
    <row r="5985" hidden="1">
      <c r="E5985" s="96"/>
    </row>
    <row r="5986" hidden="1">
      <c r="E5986" s="96"/>
    </row>
    <row r="5987" hidden="1">
      <c r="E5987" s="96"/>
    </row>
    <row r="5988" hidden="1">
      <c r="E5988" s="96"/>
    </row>
    <row r="5989" hidden="1">
      <c r="E5989" s="96"/>
    </row>
    <row r="5990" hidden="1">
      <c r="E5990" s="96"/>
    </row>
    <row r="5991" hidden="1">
      <c r="E5991" s="96"/>
    </row>
    <row r="5992" hidden="1">
      <c r="E5992" s="96"/>
    </row>
    <row r="5993" hidden="1">
      <c r="E5993" s="96"/>
    </row>
    <row r="5994" hidden="1">
      <c r="E5994" s="96"/>
    </row>
    <row r="5995" hidden="1">
      <c r="E5995" s="96"/>
    </row>
    <row r="5996" hidden="1">
      <c r="E5996" s="96"/>
    </row>
    <row r="5997" hidden="1">
      <c r="E5997" s="96"/>
    </row>
    <row r="5998" hidden="1">
      <c r="E5998" s="96"/>
    </row>
    <row r="5999" hidden="1">
      <c r="E5999" s="96"/>
    </row>
    <row r="6000" hidden="1">
      <c r="E6000" s="96"/>
    </row>
    <row r="6001" hidden="1">
      <c r="E6001" s="96"/>
    </row>
    <row r="6002" hidden="1">
      <c r="E6002" s="96"/>
    </row>
    <row r="6003" hidden="1">
      <c r="E6003" s="96"/>
    </row>
    <row r="6004" hidden="1">
      <c r="E6004" s="96"/>
    </row>
    <row r="6005" hidden="1">
      <c r="E6005" s="96"/>
    </row>
    <row r="6006" hidden="1">
      <c r="E6006" s="96"/>
    </row>
    <row r="6007" hidden="1">
      <c r="E6007" s="96"/>
    </row>
    <row r="6008" hidden="1">
      <c r="E6008" s="96"/>
    </row>
    <row r="6009" hidden="1">
      <c r="E6009" s="96"/>
    </row>
    <row r="6010" hidden="1">
      <c r="E6010" s="96"/>
    </row>
    <row r="6011" hidden="1">
      <c r="E6011" s="96"/>
    </row>
    <row r="6012" hidden="1">
      <c r="E6012" s="96"/>
    </row>
    <row r="6013" hidden="1">
      <c r="E6013" s="96"/>
    </row>
    <row r="6014" hidden="1">
      <c r="E6014" s="96"/>
    </row>
    <row r="6015" hidden="1">
      <c r="E6015" s="96"/>
    </row>
    <row r="6016" hidden="1">
      <c r="E6016" s="96"/>
    </row>
    <row r="6017" hidden="1">
      <c r="E6017" s="96"/>
    </row>
    <row r="6018" hidden="1">
      <c r="E6018" s="96"/>
    </row>
    <row r="6019" hidden="1">
      <c r="E6019" s="96"/>
    </row>
    <row r="6020" hidden="1">
      <c r="E6020" s="96"/>
    </row>
    <row r="6021" hidden="1">
      <c r="E6021" s="96"/>
    </row>
    <row r="6022" hidden="1">
      <c r="E6022" s="96"/>
    </row>
    <row r="6023" hidden="1">
      <c r="E6023" s="96"/>
    </row>
    <row r="6024" hidden="1">
      <c r="E6024" s="96"/>
    </row>
    <row r="6025" hidden="1">
      <c r="E6025" s="96"/>
    </row>
    <row r="6026" hidden="1">
      <c r="E6026" s="96"/>
    </row>
    <row r="6027" hidden="1">
      <c r="E6027" s="96"/>
    </row>
    <row r="6028" hidden="1">
      <c r="E6028" s="96"/>
    </row>
    <row r="6029" hidden="1">
      <c r="E6029" s="96"/>
    </row>
    <row r="6030" hidden="1">
      <c r="E6030" s="96"/>
    </row>
    <row r="6031" hidden="1">
      <c r="E6031" s="96"/>
    </row>
    <row r="6032" hidden="1">
      <c r="E6032" s="96"/>
    </row>
    <row r="6033" hidden="1">
      <c r="E6033" s="96"/>
    </row>
    <row r="6034" hidden="1">
      <c r="E6034" s="96"/>
    </row>
    <row r="6035" hidden="1">
      <c r="E6035" s="96"/>
    </row>
    <row r="6036" hidden="1">
      <c r="E6036" s="96"/>
    </row>
    <row r="6037" hidden="1">
      <c r="E6037" s="96"/>
    </row>
    <row r="6038" hidden="1">
      <c r="E6038" s="96"/>
    </row>
    <row r="6039" hidden="1">
      <c r="E6039" s="96"/>
    </row>
    <row r="6040" hidden="1">
      <c r="E6040" s="96"/>
    </row>
    <row r="6041" hidden="1">
      <c r="E6041" s="96"/>
    </row>
    <row r="6042" hidden="1">
      <c r="E6042" s="96"/>
    </row>
    <row r="6043" hidden="1">
      <c r="E6043" s="96"/>
    </row>
    <row r="6044" hidden="1">
      <c r="E6044" s="96"/>
    </row>
    <row r="6045" hidden="1">
      <c r="E6045" s="96"/>
    </row>
    <row r="6046" hidden="1">
      <c r="E6046" s="96"/>
    </row>
    <row r="6047" hidden="1">
      <c r="E6047" s="96"/>
    </row>
    <row r="6048" hidden="1">
      <c r="E6048" s="96"/>
    </row>
    <row r="6049" hidden="1">
      <c r="E6049" s="96"/>
    </row>
    <row r="6050" hidden="1">
      <c r="E6050" s="96"/>
    </row>
    <row r="6051" hidden="1">
      <c r="E6051" s="96"/>
    </row>
    <row r="6052" hidden="1">
      <c r="E6052" s="96"/>
    </row>
    <row r="6053" hidden="1">
      <c r="E6053" s="96"/>
    </row>
    <row r="6054" hidden="1">
      <c r="E6054" s="96"/>
    </row>
    <row r="6055" hidden="1">
      <c r="E6055" s="96"/>
    </row>
    <row r="6056" hidden="1">
      <c r="E6056" s="96"/>
    </row>
    <row r="6057" hidden="1">
      <c r="E6057" s="96"/>
    </row>
    <row r="6058" hidden="1">
      <c r="E6058" s="96"/>
    </row>
    <row r="6059" hidden="1">
      <c r="E6059" s="96"/>
    </row>
    <row r="6060" hidden="1">
      <c r="E6060" s="96"/>
    </row>
    <row r="6061" hidden="1">
      <c r="E6061" s="96"/>
    </row>
    <row r="6062" hidden="1">
      <c r="E6062" s="96"/>
    </row>
    <row r="6063" hidden="1">
      <c r="E6063" s="96"/>
    </row>
    <row r="6064" hidden="1">
      <c r="E6064" s="96"/>
    </row>
    <row r="6065" hidden="1">
      <c r="E6065" s="96"/>
    </row>
    <row r="6066" hidden="1">
      <c r="E6066" s="96"/>
    </row>
    <row r="6067" hidden="1">
      <c r="E6067" s="96"/>
    </row>
    <row r="6068" hidden="1">
      <c r="E6068" s="96"/>
    </row>
    <row r="6069" hidden="1">
      <c r="E6069" s="96"/>
    </row>
    <row r="6070" hidden="1">
      <c r="E6070" s="96"/>
    </row>
    <row r="6071" hidden="1">
      <c r="E6071" s="96"/>
    </row>
    <row r="6072" hidden="1">
      <c r="E6072" s="96"/>
    </row>
    <row r="6073" hidden="1">
      <c r="E6073" s="96"/>
    </row>
    <row r="6074" hidden="1">
      <c r="E6074" s="96"/>
    </row>
    <row r="6075" hidden="1">
      <c r="E6075" s="96"/>
    </row>
    <row r="6076" hidden="1">
      <c r="E6076" s="96"/>
    </row>
    <row r="6077" hidden="1">
      <c r="E6077" s="96"/>
    </row>
    <row r="6078" hidden="1">
      <c r="E6078" s="96"/>
    </row>
    <row r="6079" hidden="1">
      <c r="E6079" s="96"/>
    </row>
    <row r="6080" hidden="1">
      <c r="E6080" s="96"/>
    </row>
    <row r="6081" hidden="1">
      <c r="E6081" s="96"/>
    </row>
    <row r="6082" hidden="1">
      <c r="E6082" s="96"/>
    </row>
    <row r="6083" hidden="1">
      <c r="E6083" s="96"/>
    </row>
    <row r="6084" hidden="1">
      <c r="E6084" s="96"/>
    </row>
    <row r="6085" hidden="1">
      <c r="E6085" s="96"/>
    </row>
    <row r="6086" hidden="1">
      <c r="E6086" s="96"/>
    </row>
    <row r="6087" hidden="1">
      <c r="E6087" s="96"/>
    </row>
    <row r="6088" hidden="1">
      <c r="E6088" s="96"/>
    </row>
    <row r="6089" hidden="1">
      <c r="E6089" s="96"/>
    </row>
    <row r="6090" hidden="1">
      <c r="E6090" s="96"/>
    </row>
    <row r="6091" hidden="1">
      <c r="E6091" s="96"/>
    </row>
    <row r="6092" hidden="1">
      <c r="E6092" s="96"/>
    </row>
    <row r="6093" hidden="1">
      <c r="E6093" s="96"/>
    </row>
    <row r="6094" hidden="1">
      <c r="E6094" s="96"/>
    </row>
    <row r="6095" hidden="1">
      <c r="E6095" s="96"/>
    </row>
    <row r="6096" hidden="1">
      <c r="E6096" s="96"/>
    </row>
    <row r="6097" hidden="1">
      <c r="E6097" s="96"/>
    </row>
    <row r="6098" hidden="1">
      <c r="E6098" s="96"/>
    </row>
    <row r="6099" hidden="1">
      <c r="E6099" s="96"/>
    </row>
    <row r="6100" hidden="1">
      <c r="E6100" s="96"/>
    </row>
    <row r="6101" hidden="1">
      <c r="E6101" s="96"/>
    </row>
    <row r="6102" hidden="1">
      <c r="E6102" s="96"/>
    </row>
    <row r="6103" hidden="1">
      <c r="E6103" s="96"/>
    </row>
    <row r="6104" hidden="1">
      <c r="E6104" s="96"/>
    </row>
    <row r="6105" hidden="1">
      <c r="E6105" s="96"/>
    </row>
    <row r="6106" hidden="1">
      <c r="E6106" s="96"/>
    </row>
    <row r="6107" hidden="1">
      <c r="E6107" s="96"/>
    </row>
    <row r="6108" hidden="1">
      <c r="E6108" s="96"/>
    </row>
    <row r="6109" hidden="1">
      <c r="E6109" s="96"/>
    </row>
    <row r="6110" hidden="1">
      <c r="E6110" s="96"/>
    </row>
    <row r="6111" hidden="1">
      <c r="E6111" s="96"/>
    </row>
    <row r="6112" hidden="1">
      <c r="E6112" s="96"/>
    </row>
    <row r="6113" hidden="1">
      <c r="E6113" s="96"/>
    </row>
    <row r="6114" hidden="1">
      <c r="E6114" s="96"/>
    </row>
    <row r="6115" hidden="1">
      <c r="E6115" s="96"/>
    </row>
    <row r="6116" hidden="1">
      <c r="E6116" s="96"/>
    </row>
    <row r="6117" hidden="1">
      <c r="E6117" s="96"/>
    </row>
    <row r="6118" hidden="1">
      <c r="E6118" s="96"/>
    </row>
    <row r="6119" hidden="1">
      <c r="E6119" s="96"/>
    </row>
    <row r="6120" hidden="1">
      <c r="E6120" s="96"/>
    </row>
    <row r="6121" hidden="1">
      <c r="E6121" s="96"/>
    </row>
    <row r="6122" hidden="1">
      <c r="E6122" s="96"/>
    </row>
    <row r="6123" hidden="1">
      <c r="E6123" s="96"/>
    </row>
    <row r="6124" hidden="1">
      <c r="E6124" s="96"/>
    </row>
    <row r="6125" hidden="1">
      <c r="E6125" s="96"/>
    </row>
    <row r="6126" hidden="1">
      <c r="E6126" s="96"/>
    </row>
    <row r="6127" hidden="1">
      <c r="E6127" s="96"/>
    </row>
    <row r="6128" hidden="1">
      <c r="E6128" s="96"/>
    </row>
    <row r="6129" hidden="1">
      <c r="E6129" s="96"/>
    </row>
    <row r="6130" hidden="1">
      <c r="E6130" s="96"/>
    </row>
    <row r="6131" hidden="1">
      <c r="E6131" s="96"/>
    </row>
    <row r="6132" hidden="1">
      <c r="E6132" s="96"/>
    </row>
    <row r="6133" hidden="1">
      <c r="E6133" s="96"/>
    </row>
    <row r="6134" hidden="1">
      <c r="E6134" s="96"/>
    </row>
    <row r="6135" hidden="1">
      <c r="E6135" s="96"/>
    </row>
    <row r="6136" hidden="1">
      <c r="E6136" s="96"/>
    </row>
    <row r="6137" hidden="1">
      <c r="E6137" s="96"/>
    </row>
    <row r="6138" hidden="1">
      <c r="E6138" s="96"/>
    </row>
    <row r="6139" hidden="1">
      <c r="E6139" s="96"/>
    </row>
    <row r="6140" hidden="1">
      <c r="E6140" s="96"/>
    </row>
    <row r="6141" hidden="1">
      <c r="E6141" s="96"/>
    </row>
    <row r="6142" hidden="1">
      <c r="E6142" s="96"/>
    </row>
    <row r="6143" hidden="1">
      <c r="E6143" s="96"/>
    </row>
    <row r="6144" hidden="1">
      <c r="E6144" s="96"/>
    </row>
    <row r="6145" hidden="1">
      <c r="E6145" s="96"/>
    </row>
    <row r="6146" hidden="1">
      <c r="E6146" s="96"/>
    </row>
    <row r="6147" hidden="1">
      <c r="E6147" s="96"/>
    </row>
    <row r="6148" hidden="1">
      <c r="E6148" s="96"/>
    </row>
    <row r="6149" hidden="1">
      <c r="E6149" s="96"/>
    </row>
    <row r="6150" hidden="1">
      <c r="E6150" s="96"/>
    </row>
    <row r="6151" hidden="1">
      <c r="E6151" s="96"/>
    </row>
    <row r="6152" hidden="1">
      <c r="E6152" s="96"/>
    </row>
    <row r="6153" hidden="1">
      <c r="E6153" s="96"/>
    </row>
    <row r="6154" hidden="1">
      <c r="E6154" s="96"/>
    </row>
    <row r="6155" hidden="1">
      <c r="E6155" s="96"/>
    </row>
    <row r="6156" hidden="1">
      <c r="E6156" s="96"/>
    </row>
    <row r="6157" hidden="1">
      <c r="E6157" s="96"/>
    </row>
    <row r="6158" hidden="1">
      <c r="E6158" s="96"/>
    </row>
    <row r="6159" hidden="1">
      <c r="E6159" s="96"/>
    </row>
    <row r="6160" hidden="1">
      <c r="E6160" s="96"/>
    </row>
    <row r="6161" hidden="1">
      <c r="E6161" s="96"/>
    </row>
    <row r="6162" hidden="1">
      <c r="E6162" s="96"/>
    </row>
    <row r="6163" hidden="1">
      <c r="E6163" s="96"/>
    </row>
    <row r="6164" hidden="1">
      <c r="E6164" s="96"/>
    </row>
    <row r="6165" hidden="1">
      <c r="E6165" s="96"/>
    </row>
    <row r="6166" hidden="1">
      <c r="E6166" s="96"/>
    </row>
    <row r="6167" hidden="1">
      <c r="E6167" s="96"/>
    </row>
    <row r="6168" hidden="1">
      <c r="E6168" s="96"/>
    </row>
    <row r="6169" hidden="1">
      <c r="E6169" s="96"/>
    </row>
    <row r="6170" hidden="1">
      <c r="E6170" s="96"/>
    </row>
    <row r="6171" hidden="1">
      <c r="E6171" s="96"/>
    </row>
    <row r="6172" hidden="1">
      <c r="E6172" s="96"/>
    </row>
    <row r="6173" hidden="1">
      <c r="E6173" s="96"/>
    </row>
    <row r="6174" hidden="1">
      <c r="E6174" s="96"/>
    </row>
    <row r="6175" hidden="1">
      <c r="E6175" s="96"/>
    </row>
    <row r="6176" hidden="1">
      <c r="E6176" s="96"/>
    </row>
    <row r="6177" hidden="1">
      <c r="E6177" s="96"/>
    </row>
    <row r="6178" hidden="1">
      <c r="E6178" s="96"/>
    </row>
    <row r="6179" hidden="1">
      <c r="E6179" s="96"/>
    </row>
    <row r="6180" hidden="1">
      <c r="E6180" s="96"/>
    </row>
    <row r="6181" hidden="1">
      <c r="E6181" s="96"/>
    </row>
    <row r="6182" hidden="1">
      <c r="E6182" s="96"/>
    </row>
    <row r="6183" hidden="1">
      <c r="E6183" s="96"/>
    </row>
    <row r="6184" hidden="1">
      <c r="E6184" s="96"/>
    </row>
    <row r="6185" hidden="1">
      <c r="E6185" s="96"/>
    </row>
    <row r="6186" hidden="1">
      <c r="E6186" s="96"/>
    </row>
    <row r="6187" hidden="1">
      <c r="E6187" s="96"/>
    </row>
    <row r="6188" hidden="1">
      <c r="E6188" s="96"/>
    </row>
    <row r="6189" hidden="1">
      <c r="E6189" s="96"/>
    </row>
    <row r="6190" hidden="1">
      <c r="E6190" s="96"/>
    </row>
    <row r="6191" hidden="1">
      <c r="E6191" s="96"/>
    </row>
    <row r="6192" hidden="1">
      <c r="E6192" s="96"/>
    </row>
    <row r="6193" hidden="1">
      <c r="E6193" s="96"/>
    </row>
    <row r="6194" hidden="1">
      <c r="E6194" s="96"/>
    </row>
    <row r="6195" hidden="1">
      <c r="E6195" s="96"/>
    </row>
    <row r="6196" hidden="1">
      <c r="E6196" s="96"/>
    </row>
    <row r="6197" hidden="1">
      <c r="E6197" s="96"/>
    </row>
    <row r="6198" hidden="1">
      <c r="E6198" s="96"/>
    </row>
    <row r="6199" hidden="1">
      <c r="E6199" s="96"/>
    </row>
    <row r="6200" hidden="1">
      <c r="E6200" s="96"/>
    </row>
    <row r="6201" hidden="1">
      <c r="E6201" s="96"/>
    </row>
    <row r="6202" hidden="1">
      <c r="E6202" s="96"/>
    </row>
    <row r="6203" hidden="1">
      <c r="E6203" s="96"/>
    </row>
    <row r="6204" hidden="1">
      <c r="E6204" s="96"/>
    </row>
    <row r="6205" hidden="1">
      <c r="E6205" s="96"/>
    </row>
    <row r="6206" hidden="1">
      <c r="E6206" s="96"/>
    </row>
    <row r="6207" hidden="1">
      <c r="E6207" s="96"/>
    </row>
    <row r="6208" hidden="1">
      <c r="E6208" s="96"/>
    </row>
    <row r="6209" hidden="1">
      <c r="E6209" s="96"/>
    </row>
    <row r="6210" hidden="1">
      <c r="E6210" s="96"/>
    </row>
    <row r="6211" hidden="1">
      <c r="E6211" s="96"/>
    </row>
    <row r="6212" hidden="1">
      <c r="E6212" s="96"/>
    </row>
    <row r="6213" hidden="1">
      <c r="E6213" s="96"/>
    </row>
    <row r="6214" hidden="1">
      <c r="E6214" s="96"/>
    </row>
    <row r="6215" hidden="1">
      <c r="E6215" s="96"/>
    </row>
    <row r="6216" hidden="1">
      <c r="E6216" s="96"/>
    </row>
    <row r="6217" hidden="1">
      <c r="E6217" s="96"/>
    </row>
    <row r="6218" hidden="1">
      <c r="E6218" s="96"/>
    </row>
    <row r="6219" hidden="1">
      <c r="E6219" s="96"/>
    </row>
    <row r="6220" hidden="1">
      <c r="E6220" s="96"/>
    </row>
    <row r="6221" hidden="1">
      <c r="E6221" s="96"/>
    </row>
    <row r="6222" hidden="1">
      <c r="E6222" s="96"/>
    </row>
    <row r="6223" hidden="1">
      <c r="E6223" s="96"/>
    </row>
    <row r="6224" hidden="1">
      <c r="E6224" s="96"/>
    </row>
    <row r="6225" hidden="1">
      <c r="E6225" s="96"/>
    </row>
    <row r="6226" hidden="1">
      <c r="E6226" s="96"/>
    </row>
    <row r="6227" hidden="1">
      <c r="E6227" s="96"/>
    </row>
    <row r="6228" hidden="1">
      <c r="E6228" s="96"/>
    </row>
    <row r="6229" hidden="1">
      <c r="E6229" s="96"/>
    </row>
    <row r="6230" hidden="1">
      <c r="E6230" s="96"/>
    </row>
    <row r="6231" hidden="1">
      <c r="E6231" s="96"/>
    </row>
    <row r="6232" hidden="1">
      <c r="E6232" s="96"/>
    </row>
    <row r="6233" hidden="1">
      <c r="E6233" s="96"/>
    </row>
    <row r="6234" hidden="1">
      <c r="E6234" s="96"/>
    </row>
    <row r="6235" hidden="1">
      <c r="E6235" s="96"/>
    </row>
    <row r="6236" hidden="1">
      <c r="E6236" s="96"/>
    </row>
    <row r="6237" hidden="1">
      <c r="E6237" s="96"/>
    </row>
    <row r="6238" hidden="1">
      <c r="E6238" s="96"/>
    </row>
    <row r="6239" hidden="1">
      <c r="E6239" s="96"/>
    </row>
    <row r="6240" hidden="1">
      <c r="E6240" s="96"/>
    </row>
    <row r="6241" hidden="1">
      <c r="E6241" s="96"/>
    </row>
    <row r="6242" hidden="1">
      <c r="E6242" s="96"/>
    </row>
    <row r="6243" hidden="1">
      <c r="E6243" s="96"/>
    </row>
    <row r="6244" hidden="1">
      <c r="E6244" s="96"/>
    </row>
    <row r="6245" hidden="1">
      <c r="E6245" s="96"/>
    </row>
    <row r="6246" hidden="1">
      <c r="E6246" s="96"/>
    </row>
    <row r="6247" hidden="1">
      <c r="E6247" s="96"/>
    </row>
    <row r="6248" hidden="1">
      <c r="E6248" s="96"/>
    </row>
    <row r="6249" hidden="1">
      <c r="E6249" s="96"/>
    </row>
    <row r="6250" hidden="1">
      <c r="E6250" s="96"/>
    </row>
    <row r="6251" hidden="1">
      <c r="E6251" s="96"/>
    </row>
    <row r="6252" hidden="1">
      <c r="E6252" s="96"/>
    </row>
    <row r="6253" hidden="1">
      <c r="E6253" s="96"/>
    </row>
    <row r="6254" hidden="1">
      <c r="E6254" s="96"/>
    </row>
    <row r="6255" hidden="1">
      <c r="E6255" s="96"/>
    </row>
    <row r="6256" hidden="1">
      <c r="E6256" s="96"/>
    </row>
    <row r="6257" hidden="1">
      <c r="E6257" s="96"/>
    </row>
    <row r="6258" hidden="1">
      <c r="E6258" s="96"/>
    </row>
    <row r="6259" hidden="1">
      <c r="E6259" s="96"/>
    </row>
    <row r="6260" hidden="1">
      <c r="E6260" s="96"/>
    </row>
    <row r="6261" hidden="1">
      <c r="E6261" s="96"/>
    </row>
    <row r="6262" hidden="1">
      <c r="E6262" s="96"/>
    </row>
    <row r="6263" hidden="1">
      <c r="E6263" s="96"/>
    </row>
    <row r="6264" hidden="1">
      <c r="E6264" s="96"/>
    </row>
    <row r="6265" hidden="1">
      <c r="E6265" s="96"/>
    </row>
    <row r="6266" hidden="1">
      <c r="E6266" s="96"/>
    </row>
    <row r="6267" hidden="1">
      <c r="E6267" s="96"/>
    </row>
    <row r="6268" hidden="1">
      <c r="E6268" s="96"/>
    </row>
    <row r="6269" hidden="1">
      <c r="E6269" s="96"/>
    </row>
    <row r="6270" hidden="1">
      <c r="E6270" s="96"/>
    </row>
    <row r="6271" hidden="1">
      <c r="E6271" s="96"/>
    </row>
    <row r="6272" hidden="1">
      <c r="E6272" s="96"/>
    </row>
    <row r="6273" hidden="1">
      <c r="E6273" s="96"/>
    </row>
    <row r="6274" hidden="1">
      <c r="E6274" s="96"/>
    </row>
    <row r="6275" hidden="1">
      <c r="E6275" s="96"/>
    </row>
    <row r="6276" hidden="1">
      <c r="E6276" s="96"/>
    </row>
    <row r="6277" hidden="1">
      <c r="E6277" s="96"/>
    </row>
    <row r="6278" hidden="1">
      <c r="E6278" s="96"/>
    </row>
    <row r="6279" hidden="1">
      <c r="E6279" s="96"/>
    </row>
    <row r="6280" hidden="1">
      <c r="E6280" s="96"/>
    </row>
    <row r="6281" hidden="1">
      <c r="E6281" s="96"/>
    </row>
    <row r="6282" hidden="1">
      <c r="E6282" s="96"/>
    </row>
    <row r="6283" hidden="1">
      <c r="E6283" s="96"/>
    </row>
    <row r="6284" hidden="1">
      <c r="E6284" s="96"/>
    </row>
    <row r="6285" hidden="1">
      <c r="E6285" s="96"/>
    </row>
    <row r="6286" hidden="1">
      <c r="E6286" s="96"/>
    </row>
    <row r="6287" hidden="1">
      <c r="E6287" s="96"/>
    </row>
    <row r="6288" hidden="1">
      <c r="E6288" s="96"/>
    </row>
    <row r="6289" hidden="1">
      <c r="E6289" s="96"/>
    </row>
    <row r="6290" hidden="1">
      <c r="E6290" s="96"/>
    </row>
    <row r="6291" hidden="1">
      <c r="E6291" s="96"/>
    </row>
    <row r="6292" hidden="1">
      <c r="E6292" s="96"/>
    </row>
    <row r="6293" hidden="1">
      <c r="E6293" s="96"/>
    </row>
    <row r="6294" hidden="1">
      <c r="E6294" s="96"/>
    </row>
    <row r="6295" hidden="1">
      <c r="E6295" s="96"/>
    </row>
    <row r="6296" hidden="1">
      <c r="E6296" s="96"/>
    </row>
    <row r="6297" hidden="1">
      <c r="E6297" s="96"/>
    </row>
    <row r="6298" hidden="1">
      <c r="E6298" s="96"/>
    </row>
    <row r="6299" hidden="1">
      <c r="E6299" s="96"/>
    </row>
    <row r="6300" hidden="1">
      <c r="E6300" s="96"/>
    </row>
    <row r="6301" hidden="1">
      <c r="E6301" s="96"/>
    </row>
    <row r="6302" hidden="1">
      <c r="E6302" s="96"/>
    </row>
    <row r="6303" hidden="1">
      <c r="E6303" s="96"/>
    </row>
    <row r="6304" hidden="1">
      <c r="E6304" s="96"/>
    </row>
    <row r="6305" hidden="1">
      <c r="E6305" s="96"/>
    </row>
    <row r="6306" hidden="1">
      <c r="E6306" s="96"/>
    </row>
    <row r="6307" hidden="1">
      <c r="E6307" s="96"/>
    </row>
    <row r="6308" hidden="1">
      <c r="E6308" s="96"/>
    </row>
    <row r="6309" hidden="1">
      <c r="E6309" s="96"/>
    </row>
    <row r="6310" hidden="1">
      <c r="E6310" s="96"/>
    </row>
    <row r="6311" hidden="1">
      <c r="E6311" s="96"/>
    </row>
    <row r="6312" hidden="1">
      <c r="E6312" s="96"/>
    </row>
    <row r="6313" hidden="1">
      <c r="E6313" s="96"/>
    </row>
    <row r="6314" hidden="1">
      <c r="E6314" s="96"/>
    </row>
    <row r="6315" hidden="1">
      <c r="E6315" s="96"/>
    </row>
    <row r="6316" hidden="1">
      <c r="E6316" s="96"/>
    </row>
    <row r="6317" hidden="1">
      <c r="E6317" s="96"/>
    </row>
    <row r="6318" hidden="1">
      <c r="E6318" s="96"/>
    </row>
    <row r="6319" hidden="1">
      <c r="E6319" s="96"/>
    </row>
    <row r="6320" hidden="1">
      <c r="E6320" s="96"/>
    </row>
    <row r="6321" hidden="1">
      <c r="E6321" s="96"/>
    </row>
    <row r="6322" hidden="1">
      <c r="E6322" s="96"/>
    </row>
    <row r="6323" hidden="1">
      <c r="E6323" s="96"/>
    </row>
    <row r="6324" hidden="1">
      <c r="E6324" s="96"/>
    </row>
    <row r="6325" hidden="1">
      <c r="E6325" s="96"/>
    </row>
    <row r="6326" hidden="1">
      <c r="E6326" s="96"/>
    </row>
    <row r="6327" hidden="1">
      <c r="E6327" s="96"/>
    </row>
    <row r="6328" hidden="1">
      <c r="E6328" s="96"/>
    </row>
    <row r="6329" hidden="1">
      <c r="E6329" s="96"/>
    </row>
    <row r="6330" hidden="1">
      <c r="E6330" s="96"/>
    </row>
    <row r="6331" hidden="1">
      <c r="E6331" s="96"/>
    </row>
    <row r="6332" hidden="1">
      <c r="E6332" s="96"/>
    </row>
    <row r="6333" hidden="1">
      <c r="E6333" s="96"/>
    </row>
    <row r="6334" hidden="1">
      <c r="E6334" s="96"/>
    </row>
    <row r="6335" hidden="1">
      <c r="E6335" s="96"/>
    </row>
    <row r="6336" hidden="1">
      <c r="E6336" s="96"/>
    </row>
    <row r="6337" hidden="1">
      <c r="E6337" s="96"/>
    </row>
    <row r="6338" hidden="1">
      <c r="E6338" s="96"/>
    </row>
    <row r="6339" hidden="1">
      <c r="E6339" s="96"/>
    </row>
    <row r="6340" hidden="1">
      <c r="E6340" s="96"/>
    </row>
    <row r="6341" hidden="1">
      <c r="E6341" s="96"/>
    </row>
    <row r="6342" hidden="1">
      <c r="E6342" s="96"/>
    </row>
    <row r="6343" hidden="1">
      <c r="E6343" s="96"/>
    </row>
    <row r="6344" hidden="1">
      <c r="E6344" s="96"/>
    </row>
    <row r="6345" hidden="1">
      <c r="E6345" s="96"/>
    </row>
    <row r="6346" hidden="1">
      <c r="E6346" s="96"/>
    </row>
    <row r="6347" hidden="1">
      <c r="E6347" s="96"/>
    </row>
    <row r="6348" hidden="1">
      <c r="E6348" s="96"/>
    </row>
    <row r="6349" hidden="1">
      <c r="E6349" s="96"/>
    </row>
    <row r="6350" hidden="1">
      <c r="E6350" s="96"/>
    </row>
    <row r="6351" hidden="1">
      <c r="E6351" s="96"/>
    </row>
    <row r="6352" hidden="1">
      <c r="E6352" s="96"/>
    </row>
    <row r="6353" hidden="1">
      <c r="E6353" s="96"/>
    </row>
    <row r="6354" hidden="1">
      <c r="E6354" s="96"/>
    </row>
    <row r="6355" hidden="1">
      <c r="E6355" s="96"/>
    </row>
    <row r="6356" hidden="1">
      <c r="E6356" s="96"/>
    </row>
    <row r="6357" hidden="1">
      <c r="E6357" s="96"/>
    </row>
    <row r="6358" hidden="1">
      <c r="E6358" s="96"/>
    </row>
    <row r="6359" hidden="1">
      <c r="E6359" s="96"/>
    </row>
    <row r="6360" hidden="1">
      <c r="E6360" s="96"/>
    </row>
    <row r="6361" hidden="1">
      <c r="E6361" s="96"/>
    </row>
    <row r="6362" hidden="1">
      <c r="E6362" s="96"/>
    </row>
    <row r="6363" hidden="1">
      <c r="E6363" s="96"/>
    </row>
    <row r="6364" hidden="1">
      <c r="E6364" s="96"/>
    </row>
    <row r="6365" hidden="1">
      <c r="E6365" s="96"/>
    </row>
    <row r="6366" hidden="1">
      <c r="E6366" s="96"/>
    </row>
    <row r="6367" hidden="1">
      <c r="E6367" s="96"/>
    </row>
    <row r="6368" hidden="1">
      <c r="E6368" s="96"/>
    </row>
    <row r="6369" hidden="1">
      <c r="E6369" s="96"/>
    </row>
    <row r="6370" hidden="1">
      <c r="E6370" s="96"/>
    </row>
    <row r="6371" hidden="1">
      <c r="E6371" s="96"/>
    </row>
    <row r="6372" hidden="1">
      <c r="E6372" s="96"/>
    </row>
    <row r="6373" hidden="1">
      <c r="E6373" s="96"/>
    </row>
    <row r="6374" hidden="1">
      <c r="E6374" s="96"/>
    </row>
    <row r="6375" hidden="1">
      <c r="E6375" s="96"/>
    </row>
    <row r="6376" hidden="1">
      <c r="E6376" s="96"/>
    </row>
    <row r="6377" hidden="1">
      <c r="E6377" s="96"/>
    </row>
    <row r="6378" hidden="1">
      <c r="E6378" s="96"/>
    </row>
    <row r="6379" hidden="1">
      <c r="E6379" s="96"/>
    </row>
    <row r="6380" hidden="1">
      <c r="E6380" s="96"/>
    </row>
    <row r="6381" hidden="1">
      <c r="E6381" s="96"/>
    </row>
    <row r="6382" hidden="1">
      <c r="E6382" s="96"/>
    </row>
    <row r="6383" hidden="1">
      <c r="E6383" s="96"/>
    </row>
    <row r="6384" hidden="1">
      <c r="E6384" s="96"/>
    </row>
    <row r="6385" hidden="1">
      <c r="E6385" s="96"/>
    </row>
    <row r="6386" hidden="1">
      <c r="E6386" s="96"/>
    </row>
    <row r="6387" hidden="1">
      <c r="E6387" s="96"/>
    </row>
    <row r="6388" hidden="1">
      <c r="E6388" s="96"/>
    </row>
    <row r="6389" hidden="1">
      <c r="E6389" s="96"/>
    </row>
    <row r="6390" hidden="1">
      <c r="E6390" s="96"/>
    </row>
    <row r="6391" hidden="1">
      <c r="E6391" s="96"/>
    </row>
    <row r="6392" hidden="1">
      <c r="E6392" s="96"/>
    </row>
    <row r="6393" hidden="1">
      <c r="E6393" s="96"/>
    </row>
    <row r="6394" hidden="1">
      <c r="E6394" s="96"/>
    </row>
    <row r="6395" hidden="1">
      <c r="E6395" s="96"/>
    </row>
    <row r="6396" hidden="1">
      <c r="E6396" s="96"/>
    </row>
    <row r="6397" hidden="1">
      <c r="E6397" s="96"/>
    </row>
    <row r="6398" hidden="1">
      <c r="E6398" s="96"/>
    </row>
    <row r="6399" hidden="1">
      <c r="E6399" s="96"/>
    </row>
    <row r="6400" hidden="1">
      <c r="E6400" s="96"/>
    </row>
    <row r="6401" hidden="1">
      <c r="E6401" s="96"/>
    </row>
    <row r="6402" hidden="1">
      <c r="E6402" s="96"/>
    </row>
    <row r="6403" hidden="1">
      <c r="E6403" s="96"/>
    </row>
    <row r="6404" hidden="1">
      <c r="E6404" s="96"/>
    </row>
    <row r="6405" hidden="1">
      <c r="E6405" s="96"/>
    </row>
    <row r="6406" hidden="1">
      <c r="E6406" s="96"/>
    </row>
    <row r="6407" hidden="1">
      <c r="E6407" s="96"/>
    </row>
    <row r="6408" hidden="1">
      <c r="E6408" s="96"/>
    </row>
    <row r="6409" hidden="1">
      <c r="E6409" s="96"/>
    </row>
    <row r="6410" hidden="1">
      <c r="E6410" s="96"/>
    </row>
    <row r="6411" hidden="1">
      <c r="E6411" s="96"/>
    </row>
    <row r="6412" hidden="1">
      <c r="E6412" s="96"/>
    </row>
    <row r="6413" hidden="1">
      <c r="E6413" s="96"/>
    </row>
    <row r="6414" hidden="1">
      <c r="E6414" s="96"/>
    </row>
    <row r="6415" hidden="1">
      <c r="E6415" s="96"/>
    </row>
    <row r="6416" hidden="1">
      <c r="E6416" s="96"/>
    </row>
    <row r="6417" hidden="1">
      <c r="E6417" s="96"/>
    </row>
    <row r="6418" hidden="1">
      <c r="E6418" s="96"/>
    </row>
    <row r="6419" hidden="1">
      <c r="E6419" s="96"/>
    </row>
    <row r="6420" hidden="1">
      <c r="E6420" s="96"/>
    </row>
    <row r="6421" hidden="1">
      <c r="E6421" s="96"/>
    </row>
    <row r="6422" hidden="1">
      <c r="E6422" s="96"/>
    </row>
    <row r="6423" hidden="1">
      <c r="E6423" s="96"/>
    </row>
    <row r="6424" hidden="1">
      <c r="E6424" s="96"/>
    </row>
    <row r="6425" hidden="1">
      <c r="E6425" s="96"/>
    </row>
    <row r="6426" hidden="1">
      <c r="E6426" s="96"/>
    </row>
    <row r="6427" hidden="1">
      <c r="E6427" s="96"/>
    </row>
    <row r="6428" hidden="1">
      <c r="E6428" s="96"/>
    </row>
    <row r="6429" hidden="1">
      <c r="E6429" s="96"/>
    </row>
    <row r="6430" hidden="1">
      <c r="E6430" s="96"/>
    </row>
    <row r="6431" hidden="1">
      <c r="E6431" s="96"/>
    </row>
    <row r="6432" hidden="1">
      <c r="E6432" s="96"/>
    </row>
    <row r="6433" hidden="1">
      <c r="E6433" s="96"/>
    </row>
    <row r="6434" hidden="1">
      <c r="E6434" s="96"/>
    </row>
    <row r="6435" hidden="1">
      <c r="E6435" s="96"/>
    </row>
    <row r="6436" hidden="1">
      <c r="E6436" s="96"/>
    </row>
    <row r="6437" hidden="1">
      <c r="E6437" s="96"/>
    </row>
    <row r="6438" hidden="1">
      <c r="E6438" s="96"/>
    </row>
    <row r="6439" hidden="1">
      <c r="E6439" s="96"/>
    </row>
    <row r="6440" hidden="1">
      <c r="E6440" s="96"/>
    </row>
    <row r="6441" hidden="1">
      <c r="E6441" s="96"/>
    </row>
    <row r="6442" hidden="1">
      <c r="E6442" s="96"/>
    </row>
    <row r="6443" hidden="1">
      <c r="E6443" s="96"/>
    </row>
    <row r="6444" hidden="1">
      <c r="E6444" s="96"/>
    </row>
    <row r="6445" hidden="1">
      <c r="E6445" s="96"/>
    </row>
    <row r="6446" hidden="1">
      <c r="E6446" s="96"/>
    </row>
    <row r="6447" hidden="1">
      <c r="E6447" s="96"/>
    </row>
    <row r="6448" hidden="1">
      <c r="E6448" s="96"/>
    </row>
    <row r="6449" hidden="1">
      <c r="E6449" s="96"/>
    </row>
    <row r="6450" hidden="1">
      <c r="E6450" s="96"/>
    </row>
    <row r="6451" hidden="1">
      <c r="E6451" s="96"/>
    </row>
    <row r="6452" hidden="1">
      <c r="E6452" s="96"/>
    </row>
    <row r="6453" hidden="1">
      <c r="E6453" s="96"/>
    </row>
    <row r="6454" hidden="1">
      <c r="E6454" s="96"/>
    </row>
    <row r="6455" hidden="1">
      <c r="E6455" s="96"/>
    </row>
    <row r="6456" hidden="1">
      <c r="E6456" s="96"/>
    </row>
    <row r="6457" hidden="1">
      <c r="E6457" s="96"/>
    </row>
    <row r="6458" hidden="1">
      <c r="E6458" s="96"/>
    </row>
    <row r="6459" hidden="1">
      <c r="E6459" s="96"/>
    </row>
    <row r="6460" hidden="1">
      <c r="E6460" s="96"/>
    </row>
    <row r="6461" hidden="1">
      <c r="E6461" s="96"/>
    </row>
    <row r="6462" hidden="1">
      <c r="E6462" s="96"/>
    </row>
    <row r="6463" hidden="1">
      <c r="E6463" s="96"/>
    </row>
    <row r="6464" hidden="1">
      <c r="E6464" s="96"/>
    </row>
    <row r="6465" hidden="1">
      <c r="E6465" s="96"/>
    </row>
    <row r="6466" hidden="1">
      <c r="E6466" s="96"/>
    </row>
    <row r="6467" hidden="1">
      <c r="E6467" s="96"/>
    </row>
    <row r="6468" hidden="1">
      <c r="E6468" s="96"/>
    </row>
    <row r="6469" hidden="1">
      <c r="E6469" s="96"/>
    </row>
    <row r="6470" hidden="1">
      <c r="E6470" s="96"/>
    </row>
    <row r="6471" hidden="1">
      <c r="E6471" s="96"/>
    </row>
    <row r="6472" hidden="1">
      <c r="E6472" s="96"/>
    </row>
    <row r="6473" hidden="1">
      <c r="E6473" s="96"/>
    </row>
    <row r="6474" hidden="1">
      <c r="E6474" s="96"/>
    </row>
    <row r="6475" hidden="1">
      <c r="E6475" s="96"/>
    </row>
    <row r="6476" hidden="1">
      <c r="E6476" s="96"/>
    </row>
    <row r="6477" hidden="1">
      <c r="E6477" s="96"/>
    </row>
    <row r="6478" hidden="1">
      <c r="E6478" s="96"/>
    </row>
    <row r="6479" hidden="1">
      <c r="E6479" s="96"/>
    </row>
    <row r="6480" hidden="1">
      <c r="E6480" s="96"/>
    </row>
    <row r="6481" hidden="1">
      <c r="E6481" s="96"/>
    </row>
    <row r="6482" hidden="1">
      <c r="E6482" s="96"/>
    </row>
    <row r="6483" hidden="1">
      <c r="E6483" s="96"/>
    </row>
    <row r="6484" hidden="1">
      <c r="E6484" s="96"/>
    </row>
    <row r="6485" hidden="1">
      <c r="E6485" s="96"/>
    </row>
    <row r="6486" hidden="1">
      <c r="E6486" s="96"/>
    </row>
    <row r="6487" hidden="1">
      <c r="E6487" s="96"/>
    </row>
    <row r="6488" hidden="1">
      <c r="E6488" s="96"/>
    </row>
    <row r="6489" hidden="1">
      <c r="E6489" s="96"/>
    </row>
    <row r="6490" hidden="1">
      <c r="E6490" s="96"/>
    </row>
    <row r="6491" hidden="1">
      <c r="E6491" s="96"/>
    </row>
    <row r="6492" hidden="1">
      <c r="E6492" s="96"/>
    </row>
    <row r="6493" hidden="1">
      <c r="E6493" s="96"/>
    </row>
    <row r="6494" hidden="1">
      <c r="E6494" s="96"/>
    </row>
    <row r="6495" hidden="1">
      <c r="E6495" s="96"/>
    </row>
    <row r="6496" hidden="1">
      <c r="E6496" s="96"/>
    </row>
    <row r="6497" hidden="1">
      <c r="E6497" s="96"/>
    </row>
    <row r="6498" hidden="1">
      <c r="E6498" s="96"/>
    </row>
    <row r="6499" hidden="1">
      <c r="E6499" s="96"/>
    </row>
    <row r="6500" hidden="1">
      <c r="E6500" s="96"/>
    </row>
    <row r="6501" hidden="1">
      <c r="E6501" s="96"/>
    </row>
    <row r="6502" hidden="1">
      <c r="E6502" s="96"/>
    </row>
    <row r="6503" hidden="1">
      <c r="E6503" s="96"/>
    </row>
    <row r="6504" hidden="1">
      <c r="E6504" s="96"/>
    </row>
    <row r="6505" hidden="1">
      <c r="E6505" s="96"/>
    </row>
    <row r="6506" hidden="1">
      <c r="E6506" s="96"/>
    </row>
    <row r="6507" hidden="1">
      <c r="E6507" s="96"/>
    </row>
    <row r="6508" hidden="1">
      <c r="E6508" s="96"/>
    </row>
    <row r="6509" hidden="1">
      <c r="E6509" s="96"/>
    </row>
    <row r="6510" hidden="1">
      <c r="E6510" s="96"/>
    </row>
    <row r="6511" hidden="1">
      <c r="E6511" s="96"/>
    </row>
    <row r="6512" hidden="1">
      <c r="E6512" s="96"/>
    </row>
    <row r="6513" hidden="1">
      <c r="E6513" s="96"/>
    </row>
    <row r="6514" hidden="1">
      <c r="E6514" s="96"/>
    </row>
    <row r="6515" hidden="1">
      <c r="E6515" s="96"/>
    </row>
    <row r="6516" hidden="1">
      <c r="E6516" s="96"/>
    </row>
    <row r="6517" hidden="1">
      <c r="E6517" s="96"/>
    </row>
    <row r="6518" hidden="1">
      <c r="E6518" s="96"/>
    </row>
    <row r="6519" hidden="1">
      <c r="E6519" s="96"/>
    </row>
    <row r="6520" hidden="1">
      <c r="E6520" s="96"/>
    </row>
    <row r="6521" hidden="1">
      <c r="E6521" s="96"/>
    </row>
    <row r="6522" hidden="1">
      <c r="E6522" s="96"/>
    </row>
    <row r="6523" hidden="1">
      <c r="E6523" s="96"/>
    </row>
    <row r="6524" hidden="1">
      <c r="E6524" s="96"/>
    </row>
    <row r="6525" hidden="1">
      <c r="E6525" s="96"/>
    </row>
    <row r="6526" hidden="1">
      <c r="E6526" s="96"/>
    </row>
    <row r="6527" hidden="1">
      <c r="E6527" s="96"/>
    </row>
    <row r="6528" hidden="1">
      <c r="E6528" s="96"/>
    </row>
    <row r="6529" hidden="1">
      <c r="E6529" s="96"/>
    </row>
    <row r="6530" hidden="1">
      <c r="E6530" s="96"/>
    </row>
    <row r="6531" hidden="1">
      <c r="E6531" s="96"/>
    </row>
    <row r="6532" hidden="1">
      <c r="E6532" s="96"/>
    </row>
    <row r="6533" hidden="1">
      <c r="E6533" s="96"/>
    </row>
    <row r="6534" hidden="1">
      <c r="E6534" s="96"/>
    </row>
    <row r="6535" hidden="1">
      <c r="E6535" s="96"/>
    </row>
    <row r="6536" hidden="1">
      <c r="E6536" s="96"/>
    </row>
    <row r="6537" hidden="1">
      <c r="E6537" s="96"/>
    </row>
    <row r="6538" hidden="1">
      <c r="E6538" s="96"/>
    </row>
    <row r="6539" hidden="1">
      <c r="E6539" s="96"/>
    </row>
    <row r="6540" hidden="1">
      <c r="E6540" s="96"/>
    </row>
    <row r="6541" hidden="1">
      <c r="E6541" s="96"/>
    </row>
    <row r="6542" hidden="1">
      <c r="E6542" s="96"/>
    </row>
    <row r="6543" hidden="1">
      <c r="E6543" s="96"/>
    </row>
    <row r="6544" hidden="1">
      <c r="E6544" s="96"/>
    </row>
    <row r="6545" hidden="1">
      <c r="E6545" s="96"/>
    </row>
    <row r="6546" hidden="1">
      <c r="E6546" s="96"/>
    </row>
    <row r="6547" hidden="1">
      <c r="E6547" s="96"/>
    </row>
    <row r="6548" hidden="1">
      <c r="E6548" s="96"/>
    </row>
    <row r="6549" hidden="1">
      <c r="E6549" s="96"/>
    </row>
    <row r="6550" hidden="1">
      <c r="E6550" s="96"/>
    </row>
    <row r="6551" hidden="1">
      <c r="E6551" s="96"/>
    </row>
    <row r="6552" hidden="1">
      <c r="E6552" s="96"/>
    </row>
    <row r="6553" hidden="1">
      <c r="E6553" s="96"/>
    </row>
    <row r="6554" hidden="1">
      <c r="E6554" s="96"/>
    </row>
    <row r="6555" hidden="1">
      <c r="E6555" s="96"/>
    </row>
    <row r="6556" hidden="1">
      <c r="E6556" s="96"/>
    </row>
    <row r="6557" hidden="1">
      <c r="E6557" s="96"/>
    </row>
    <row r="6558" hidden="1">
      <c r="E6558" s="96"/>
    </row>
    <row r="6559" hidden="1">
      <c r="E6559" s="96"/>
    </row>
    <row r="6560" hidden="1">
      <c r="E6560" s="96"/>
    </row>
    <row r="6561" hidden="1">
      <c r="E6561" s="96"/>
    </row>
    <row r="6562" hidden="1">
      <c r="E6562" s="96"/>
    </row>
    <row r="6563" hidden="1">
      <c r="E6563" s="96"/>
    </row>
    <row r="6564" hidden="1">
      <c r="E6564" s="96"/>
    </row>
    <row r="6565" hidden="1">
      <c r="E6565" s="96"/>
    </row>
    <row r="6566" hidden="1">
      <c r="E6566" s="96"/>
    </row>
    <row r="6567" hidden="1">
      <c r="E6567" s="96"/>
    </row>
    <row r="6568" hidden="1">
      <c r="E6568" s="96"/>
    </row>
    <row r="6569" hidden="1">
      <c r="E6569" s="96"/>
    </row>
    <row r="6570" hidden="1">
      <c r="E6570" s="96"/>
    </row>
    <row r="6571" hidden="1">
      <c r="E6571" s="96"/>
    </row>
    <row r="6572" hidden="1">
      <c r="E6572" s="96"/>
    </row>
    <row r="6573" hidden="1">
      <c r="E6573" s="96"/>
    </row>
    <row r="6574" hidden="1">
      <c r="E6574" s="96"/>
    </row>
    <row r="6575" hidden="1">
      <c r="E6575" s="96"/>
    </row>
    <row r="6576" hidden="1">
      <c r="E6576" s="96"/>
    </row>
    <row r="6577" hidden="1">
      <c r="E6577" s="96"/>
    </row>
    <row r="6578" hidden="1">
      <c r="E6578" s="96"/>
    </row>
    <row r="6579" hidden="1">
      <c r="E6579" s="96"/>
    </row>
    <row r="6580" hidden="1">
      <c r="E6580" s="96"/>
    </row>
    <row r="6581" hidden="1">
      <c r="E6581" s="96"/>
    </row>
    <row r="6582" hidden="1">
      <c r="E6582" s="96"/>
    </row>
    <row r="6583" hidden="1">
      <c r="E6583" s="96"/>
    </row>
    <row r="6584" hidden="1">
      <c r="E6584" s="96"/>
    </row>
    <row r="6585" hidden="1">
      <c r="E6585" s="96"/>
    </row>
    <row r="6586" hidden="1">
      <c r="E6586" s="96"/>
    </row>
    <row r="6587" hidden="1">
      <c r="E6587" s="96"/>
    </row>
    <row r="6588" hidden="1">
      <c r="E6588" s="96"/>
    </row>
    <row r="6589" hidden="1">
      <c r="E6589" s="96"/>
    </row>
    <row r="6590" hidden="1">
      <c r="E6590" s="96"/>
    </row>
    <row r="6591" hidden="1">
      <c r="E6591" s="96"/>
    </row>
    <row r="6592" hidden="1">
      <c r="E6592" s="96"/>
    </row>
    <row r="6593" hidden="1">
      <c r="E6593" s="96"/>
    </row>
    <row r="6594" hidden="1">
      <c r="E6594" s="96"/>
    </row>
    <row r="6595" hidden="1">
      <c r="E6595" s="96"/>
    </row>
    <row r="6596" hidden="1">
      <c r="E6596" s="96"/>
    </row>
    <row r="6597" hidden="1">
      <c r="E6597" s="96"/>
    </row>
    <row r="6598" hidden="1">
      <c r="E6598" s="96"/>
    </row>
    <row r="6599" hidden="1">
      <c r="E6599" s="96"/>
    </row>
    <row r="6600" hidden="1">
      <c r="E6600" s="96"/>
    </row>
    <row r="6601" hidden="1">
      <c r="E6601" s="96"/>
    </row>
    <row r="6602" hidden="1">
      <c r="E6602" s="96"/>
    </row>
    <row r="6603" hidden="1">
      <c r="E6603" s="96"/>
    </row>
    <row r="6604" hidden="1">
      <c r="E6604" s="96"/>
    </row>
    <row r="6605" hidden="1">
      <c r="E6605" s="96"/>
    </row>
    <row r="6606" hidden="1">
      <c r="E6606" s="96"/>
    </row>
    <row r="6607" hidden="1">
      <c r="E6607" s="96"/>
    </row>
    <row r="6608" hidden="1">
      <c r="E6608" s="96"/>
    </row>
    <row r="6609" hidden="1">
      <c r="E6609" s="96"/>
    </row>
    <row r="6610" hidden="1">
      <c r="E6610" s="96"/>
    </row>
    <row r="6611" hidden="1">
      <c r="E6611" s="96"/>
    </row>
    <row r="6612" hidden="1">
      <c r="E6612" s="96"/>
    </row>
    <row r="6613" hidden="1">
      <c r="E6613" s="96"/>
    </row>
    <row r="6614" hidden="1">
      <c r="E6614" s="96"/>
    </row>
    <row r="6615" hidden="1">
      <c r="E6615" s="96"/>
    </row>
    <row r="6616" hidden="1">
      <c r="E6616" s="96"/>
    </row>
    <row r="6617" hidden="1">
      <c r="E6617" s="96"/>
    </row>
    <row r="6618" hidden="1">
      <c r="E6618" s="96"/>
    </row>
    <row r="6619" hidden="1">
      <c r="E6619" s="96"/>
    </row>
    <row r="6620" hidden="1">
      <c r="E6620" s="96"/>
    </row>
    <row r="6621" hidden="1">
      <c r="E6621" s="96"/>
    </row>
    <row r="6622" hidden="1">
      <c r="E6622" s="96"/>
    </row>
    <row r="6623" hidden="1">
      <c r="E6623" s="96"/>
    </row>
    <row r="6624" hidden="1">
      <c r="E6624" s="96"/>
    </row>
    <row r="6625" hidden="1">
      <c r="E6625" s="96"/>
    </row>
    <row r="6626" hidden="1">
      <c r="E6626" s="96"/>
    </row>
    <row r="6627" hidden="1">
      <c r="E6627" s="96"/>
    </row>
    <row r="6628" hidden="1">
      <c r="E6628" s="96"/>
    </row>
    <row r="6629" hidden="1">
      <c r="E6629" s="96"/>
    </row>
    <row r="6630" hidden="1">
      <c r="E6630" s="96"/>
    </row>
    <row r="6631" hidden="1">
      <c r="E6631" s="96"/>
    </row>
    <row r="6632" hidden="1">
      <c r="E6632" s="96"/>
    </row>
    <row r="6633" hidden="1">
      <c r="E6633" s="96"/>
    </row>
    <row r="6634" hidden="1">
      <c r="E6634" s="96"/>
    </row>
    <row r="6635" hidden="1">
      <c r="E6635" s="96"/>
    </row>
    <row r="6636" hidden="1">
      <c r="E6636" s="96"/>
    </row>
    <row r="6637" hidden="1">
      <c r="E6637" s="96"/>
    </row>
    <row r="6638" hidden="1">
      <c r="E6638" s="96"/>
    </row>
    <row r="6639" hidden="1">
      <c r="E6639" s="96"/>
    </row>
    <row r="6640" hidden="1">
      <c r="E6640" s="96"/>
    </row>
    <row r="6641" hidden="1">
      <c r="E6641" s="96"/>
    </row>
    <row r="6642" hidden="1">
      <c r="E6642" s="96"/>
    </row>
    <row r="6643" hidden="1">
      <c r="E6643" s="96"/>
    </row>
    <row r="6644" hidden="1">
      <c r="E6644" s="96"/>
    </row>
    <row r="6645" hidden="1">
      <c r="E6645" s="96"/>
    </row>
    <row r="6646" hidden="1">
      <c r="E6646" s="96"/>
    </row>
    <row r="6647" hidden="1">
      <c r="E6647" s="96"/>
    </row>
    <row r="6648" hidden="1">
      <c r="E6648" s="96"/>
    </row>
    <row r="6649" hidden="1">
      <c r="E6649" s="96"/>
    </row>
    <row r="6650" hidden="1">
      <c r="E6650" s="96"/>
    </row>
    <row r="6651" hidden="1">
      <c r="E6651" s="96"/>
    </row>
    <row r="6652" hidden="1">
      <c r="E6652" s="96"/>
    </row>
    <row r="6653" hidden="1">
      <c r="E6653" s="96"/>
    </row>
    <row r="6654" hidden="1">
      <c r="E6654" s="96"/>
    </row>
    <row r="6655" hidden="1">
      <c r="E6655" s="96"/>
    </row>
    <row r="6656" hidden="1">
      <c r="E6656" s="96"/>
    </row>
    <row r="6657" hidden="1">
      <c r="E6657" s="96"/>
    </row>
    <row r="6658" hidden="1">
      <c r="E6658" s="96"/>
    </row>
    <row r="6659" hidden="1">
      <c r="E6659" s="96"/>
    </row>
    <row r="6660" hidden="1">
      <c r="E6660" s="96"/>
    </row>
    <row r="6661" hidden="1">
      <c r="E6661" s="96"/>
    </row>
    <row r="6662" hidden="1">
      <c r="E6662" s="96"/>
    </row>
    <row r="6663" hidden="1">
      <c r="E6663" s="96"/>
    </row>
    <row r="6664" hidden="1">
      <c r="E6664" s="96"/>
    </row>
    <row r="6665" hidden="1">
      <c r="E6665" s="96"/>
    </row>
    <row r="6666" hidden="1">
      <c r="E6666" s="96"/>
    </row>
    <row r="6667" hidden="1">
      <c r="E6667" s="96"/>
    </row>
    <row r="6668" hidden="1">
      <c r="E6668" s="96"/>
    </row>
    <row r="6669" hidden="1">
      <c r="E6669" s="96"/>
    </row>
    <row r="6670" hidden="1">
      <c r="E6670" s="96"/>
    </row>
    <row r="6671" hidden="1">
      <c r="E6671" s="96"/>
    </row>
    <row r="6672" hidden="1">
      <c r="E6672" s="96"/>
    </row>
    <row r="6673" hidden="1">
      <c r="E6673" s="96"/>
    </row>
    <row r="6674" hidden="1">
      <c r="E6674" s="96"/>
    </row>
    <row r="6675" hidden="1">
      <c r="E6675" s="96"/>
    </row>
    <row r="6676" hidden="1">
      <c r="E6676" s="96"/>
    </row>
    <row r="6677" hidden="1">
      <c r="E6677" s="96"/>
    </row>
    <row r="6678" hidden="1">
      <c r="E6678" s="96"/>
    </row>
    <row r="6679" hidden="1">
      <c r="E6679" s="96"/>
    </row>
    <row r="6680" hidden="1">
      <c r="E6680" s="96"/>
    </row>
    <row r="6681" hidden="1">
      <c r="E6681" s="96"/>
    </row>
    <row r="6682" hidden="1">
      <c r="E6682" s="96"/>
    </row>
    <row r="6683" hidden="1">
      <c r="E6683" s="96"/>
    </row>
    <row r="6684" hidden="1">
      <c r="E6684" s="96"/>
    </row>
    <row r="6685" hidden="1">
      <c r="E6685" s="96"/>
    </row>
    <row r="6686" hidden="1">
      <c r="E6686" s="96"/>
    </row>
    <row r="6687" hidden="1">
      <c r="E6687" s="96"/>
    </row>
    <row r="6688" hidden="1">
      <c r="E6688" s="96"/>
    </row>
    <row r="6689" hidden="1">
      <c r="E6689" s="96"/>
    </row>
    <row r="6690" hidden="1">
      <c r="E6690" s="96"/>
    </row>
    <row r="6691" hidden="1">
      <c r="E6691" s="96"/>
    </row>
    <row r="6692" hidden="1">
      <c r="E6692" s="96"/>
    </row>
    <row r="6693" hidden="1">
      <c r="E6693" s="96"/>
    </row>
    <row r="6694" hidden="1">
      <c r="E6694" s="96"/>
    </row>
    <row r="6695" hidden="1">
      <c r="E6695" s="96"/>
    </row>
    <row r="6696" hidden="1">
      <c r="E6696" s="96"/>
    </row>
    <row r="6697" hidden="1">
      <c r="E6697" s="96"/>
    </row>
    <row r="6698" hidden="1">
      <c r="E6698" s="96"/>
    </row>
    <row r="6699" hidden="1">
      <c r="E6699" s="96"/>
    </row>
    <row r="6700" hidden="1">
      <c r="E6700" s="96"/>
    </row>
    <row r="6701" hidden="1">
      <c r="E6701" s="96"/>
    </row>
    <row r="6702" hidden="1">
      <c r="E6702" s="96"/>
    </row>
    <row r="6703" hidden="1">
      <c r="E6703" s="96"/>
    </row>
    <row r="6704" hidden="1">
      <c r="E6704" s="96"/>
    </row>
    <row r="6705" hidden="1">
      <c r="E6705" s="96"/>
    </row>
    <row r="6706" hidden="1">
      <c r="E6706" s="96"/>
    </row>
    <row r="6707" hidden="1">
      <c r="E6707" s="96"/>
    </row>
    <row r="6708" hidden="1">
      <c r="E6708" s="96"/>
    </row>
    <row r="6709" hidden="1">
      <c r="E6709" s="96"/>
    </row>
    <row r="6710" hidden="1">
      <c r="E6710" s="96"/>
    </row>
    <row r="6711" hidden="1">
      <c r="E6711" s="96"/>
    </row>
    <row r="6712" hidden="1">
      <c r="E6712" s="96"/>
    </row>
    <row r="6713" hidden="1">
      <c r="E6713" s="96"/>
    </row>
    <row r="6714" hidden="1">
      <c r="E6714" s="96"/>
    </row>
    <row r="6715" hidden="1">
      <c r="E6715" s="96"/>
    </row>
    <row r="6716" hidden="1">
      <c r="E6716" s="96"/>
    </row>
    <row r="6717" hidden="1">
      <c r="E6717" s="96"/>
    </row>
    <row r="6718" hidden="1">
      <c r="E6718" s="96"/>
    </row>
    <row r="6719" hidden="1">
      <c r="E6719" s="96"/>
    </row>
    <row r="6720" hidden="1">
      <c r="E6720" s="96"/>
    </row>
    <row r="6721" hidden="1">
      <c r="E6721" s="96"/>
    </row>
    <row r="6722" hidden="1">
      <c r="E6722" s="96"/>
    </row>
    <row r="6723" hidden="1">
      <c r="E6723" s="96"/>
    </row>
    <row r="6724" hidden="1">
      <c r="E6724" s="96"/>
    </row>
    <row r="6725" hidden="1">
      <c r="E6725" s="96"/>
    </row>
    <row r="6726" hidden="1">
      <c r="E6726" s="96"/>
    </row>
    <row r="6727" hidden="1">
      <c r="E6727" s="96"/>
    </row>
    <row r="6728" hidden="1">
      <c r="E6728" s="96"/>
    </row>
    <row r="6729" hidden="1">
      <c r="E6729" s="96"/>
    </row>
    <row r="6730" hidden="1">
      <c r="E6730" s="96"/>
    </row>
    <row r="6731" hidden="1">
      <c r="E6731" s="96"/>
    </row>
    <row r="6732" hidden="1">
      <c r="E6732" s="96"/>
    </row>
    <row r="6733" hidden="1">
      <c r="E6733" s="96"/>
    </row>
    <row r="6734" hidden="1">
      <c r="E6734" s="96"/>
    </row>
    <row r="6735" hidden="1">
      <c r="E6735" s="96"/>
    </row>
    <row r="6736" hidden="1">
      <c r="E6736" s="96"/>
    </row>
    <row r="6737" hidden="1">
      <c r="E6737" s="96"/>
    </row>
    <row r="6738" hidden="1">
      <c r="E6738" s="96"/>
    </row>
    <row r="6739" hidden="1">
      <c r="E6739" s="96"/>
    </row>
    <row r="6740" hidden="1">
      <c r="E6740" s="96"/>
    </row>
    <row r="6741" hidden="1">
      <c r="E6741" s="96"/>
    </row>
    <row r="6742" hidden="1">
      <c r="E6742" s="96"/>
    </row>
    <row r="6743" hidden="1">
      <c r="E6743" s="96"/>
    </row>
    <row r="6744" hidden="1">
      <c r="E6744" s="96"/>
    </row>
    <row r="6745" hidden="1">
      <c r="E6745" s="96"/>
    </row>
    <row r="6746" hidden="1">
      <c r="E6746" s="96"/>
    </row>
    <row r="6747" hidden="1">
      <c r="E6747" s="96"/>
    </row>
    <row r="6748" hidden="1">
      <c r="E6748" s="96"/>
    </row>
    <row r="6749" hidden="1">
      <c r="E6749" s="96"/>
    </row>
    <row r="6750" hidden="1">
      <c r="E6750" s="96"/>
    </row>
    <row r="6751" hidden="1">
      <c r="E6751" s="96"/>
    </row>
    <row r="6752" hidden="1">
      <c r="E6752" s="96"/>
    </row>
    <row r="6753" hidden="1">
      <c r="E6753" s="96"/>
    </row>
    <row r="6754" hidden="1">
      <c r="E6754" s="96"/>
    </row>
    <row r="6755" hidden="1">
      <c r="E6755" s="96"/>
    </row>
    <row r="6756" hidden="1">
      <c r="E6756" s="96"/>
    </row>
    <row r="6757" hidden="1">
      <c r="E6757" s="96"/>
    </row>
    <row r="6758" hidden="1">
      <c r="E6758" s="96"/>
    </row>
    <row r="6759" hidden="1">
      <c r="E6759" s="96"/>
    </row>
    <row r="6760" hidden="1">
      <c r="E6760" s="96"/>
    </row>
    <row r="6761" hidden="1">
      <c r="E6761" s="96"/>
    </row>
    <row r="6762" hidden="1">
      <c r="E6762" s="96"/>
    </row>
    <row r="6763" hidden="1">
      <c r="E6763" s="96"/>
    </row>
    <row r="6764" hidden="1">
      <c r="E6764" s="96"/>
    </row>
    <row r="6765" hidden="1">
      <c r="E6765" s="96"/>
    </row>
    <row r="6766" hidden="1">
      <c r="E6766" s="96"/>
    </row>
    <row r="6767" hidden="1">
      <c r="E6767" s="96"/>
    </row>
    <row r="6768" hidden="1">
      <c r="E6768" s="96"/>
    </row>
    <row r="6769" hidden="1">
      <c r="E6769" s="96"/>
    </row>
    <row r="6770" hidden="1">
      <c r="E6770" s="96"/>
    </row>
    <row r="6771" hidden="1">
      <c r="E6771" s="96"/>
    </row>
    <row r="6772" hidden="1">
      <c r="E6772" s="96"/>
    </row>
    <row r="6773" hidden="1">
      <c r="E6773" s="96"/>
    </row>
    <row r="6774" hidden="1">
      <c r="E6774" s="96"/>
    </row>
    <row r="6775" hidden="1">
      <c r="E6775" s="96"/>
    </row>
    <row r="6776" hidden="1">
      <c r="E6776" s="96"/>
    </row>
    <row r="6777" hidden="1">
      <c r="E6777" s="96"/>
    </row>
    <row r="6778" hidden="1">
      <c r="E6778" s="96"/>
    </row>
    <row r="6779" hidden="1">
      <c r="E6779" s="96"/>
    </row>
    <row r="6780" hidden="1">
      <c r="E6780" s="96"/>
    </row>
    <row r="6781" hidden="1">
      <c r="E6781" s="96"/>
    </row>
    <row r="6782" hidden="1">
      <c r="E6782" s="96"/>
    </row>
    <row r="6783" hidden="1">
      <c r="E6783" s="96"/>
    </row>
    <row r="6784" hidden="1">
      <c r="E6784" s="96"/>
    </row>
    <row r="6785" hidden="1">
      <c r="E6785" s="96"/>
    </row>
    <row r="6786" hidden="1">
      <c r="E6786" s="96"/>
    </row>
    <row r="6787" hidden="1">
      <c r="E6787" s="96"/>
    </row>
    <row r="6788" hidden="1">
      <c r="E6788" s="96"/>
    </row>
    <row r="6789" hidden="1">
      <c r="E6789" s="96"/>
    </row>
    <row r="6790" hidden="1">
      <c r="E6790" s="96"/>
    </row>
    <row r="6791" hidden="1">
      <c r="E6791" s="96"/>
    </row>
    <row r="6792" hidden="1">
      <c r="E6792" s="96"/>
    </row>
    <row r="6793" hidden="1">
      <c r="E6793" s="96"/>
    </row>
    <row r="6794" hidden="1">
      <c r="E6794" s="96"/>
    </row>
    <row r="6795" hidden="1">
      <c r="E6795" s="96"/>
    </row>
    <row r="6796" hidden="1">
      <c r="E6796" s="96"/>
    </row>
    <row r="6797" hidden="1">
      <c r="E6797" s="96"/>
    </row>
    <row r="6798" hidden="1">
      <c r="E6798" s="96"/>
    </row>
    <row r="6799" hidden="1">
      <c r="E6799" s="96"/>
    </row>
    <row r="6800" hidden="1">
      <c r="E6800" s="96"/>
    </row>
    <row r="6801" hidden="1">
      <c r="E6801" s="96"/>
    </row>
    <row r="6802" hidden="1">
      <c r="E6802" s="96"/>
    </row>
    <row r="6803" hidden="1">
      <c r="E6803" s="96"/>
    </row>
    <row r="6804" hidden="1">
      <c r="E6804" s="96"/>
    </row>
    <row r="6805" hidden="1">
      <c r="E6805" s="96"/>
    </row>
    <row r="6806" hidden="1">
      <c r="E6806" s="96"/>
    </row>
    <row r="6807" hidden="1">
      <c r="E6807" s="96"/>
    </row>
    <row r="6808" hidden="1">
      <c r="E6808" s="96"/>
    </row>
    <row r="6809" hidden="1">
      <c r="E6809" s="96"/>
    </row>
    <row r="6810" hidden="1">
      <c r="E6810" s="96"/>
    </row>
    <row r="6811" hidden="1">
      <c r="E6811" s="96"/>
    </row>
    <row r="6812" hidden="1">
      <c r="E6812" s="96"/>
    </row>
    <row r="6813" hidden="1">
      <c r="E6813" s="96"/>
    </row>
    <row r="6814" hidden="1">
      <c r="E6814" s="96"/>
    </row>
    <row r="6815" hidden="1">
      <c r="E6815" s="96"/>
    </row>
    <row r="6816" hidden="1">
      <c r="E6816" s="96"/>
    </row>
    <row r="6817" hidden="1">
      <c r="E6817" s="96"/>
    </row>
    <row r="6818" hidden="1">
      <c r="E6818" s="96"/>
    </row>
    <row r="6819" hidden="1">
      <c r="E6819" s="96"/>
    </row>
    <row r="6820" hidden="1">
      <c r="E6820" s="96"/>
    </row>
    <row r="6821" hidden="1">
      <c r="E6821" s="96"/>
    </row>
    <row r="6822" hidden="1">
      <c r="E6822" s="96"/>
    </row>
    <row r="6823" hidden="1">
      <c r="E6823" s="96"/>
    </row>
    <row r="6824" hidden="1">
      <c r="E6824" s="96"/>
    </row>
    <row r="6825" hidden="1">
      <c r="E6825" s="96"/>
    </row>
    <row r="6826" hidden="1">
      <c r="E6826" s="96"/>
    </row>
    <row r="6827" hidden="1">
      <c r="E6827" s="96"/>
    </row>
    <row r="6828" hidden="1">
      <c r="E6828" s="96"/>
    </row>
    <row r="6829" hidden="1">
      <c r="E6829" s="96"/>
    </row>
    <row r="6830" hidden="1">
      <c r="E6830" s="96"/>
    </row>
    <row r="6831" hidden="1">
      <c r="E6831" s="96"/>
    </row>
    <row r="6832" hidden="1">
      <c r="E6832" s="96"/>
    </row>
    <row r="6833" hidden="1">
      <c r="E6833" s="96"/>
    </row>
    <row r="6834" hidden="1">
      <c r="E6834" s="96"/>
    </row>
    <row r="6835" hidden="1">
      <c r="E6835" s="96"/>
    </row>
    <row r="6836" hidden="1">
      <c r="E6836" s="96"/>
    </row>
    <row r="6837" hidden="1">
      <c r="E6837" s="96"/>
    </row>
    <row r="6838" hidden="1">
      <c r="E6838" s="96"/>
    </row>
    <row r="6839" hidden="1">
      <c r="E6839" s="96"/>
    </row>
    <row r="6840" hidden="1">
      <c r="E6840" s="96"/>
    </row>
    <row r="6841" hidden="1">
      <c r="E6841" s="96"/>
    </row>
    <row r="6842" hidden="1">
      <c r="E6842" s="96"/>
    </row>
    <row r="6843" hidden="1">
      <c r="E6843" s="96"/>
    </row>
    <row r="6844" hidden="1">
      <c r="E6844" s="96"/>
    </row>
    <row r="6845" hidden="1">
      <c r="E6845" s="96"/>
    </row>
    <row r="6846" hidden="1">
      <c r="E6846" s="96"/>
    </row>
    <row r="6847" hidden="1">
      <c r="E6847" s="96"/>
    </row>
    <row r="6848" hidden="1">
      <c r="E6848" s="96"/>
    </row>
    <row r="6849" hidden="1">
      <c r="E6849" s="96"/>
    </row>
    <row r="6850" hidden="1">
      <c r="E6850" s="96"/>
    </row>
    <row r="6851" hidden="1">
      <c r="E6851" s="96"/>
    </row>
    <row r="6852" hidden="1">
      <c r="E6852" s="96"/>
    </row>
    <row r="6853" hidden="1">
      <c r="E6853" s="96"/>
    </row>
    <row r="6854" hidden="1">
      <c r="E6854" s="96"/>
    </row>
    <row r="6855" hidden="1">
      <c r="E6855" s="96"/>
    </row>
    <row r="6856" hidden="1">
      <c r="E6856" s="96"/>
    </row>
    <row r="6857" hidden="1">
      <c r="E6857" s="96"/>
    </row>
    <row r="6858" hidden="1">
      <c r="E6858" s="96"/>
    </row>
    <row r="6859" hidden="1">
      <c r="E6859" s="96"/>
    </row>
    <row r="6860" hidden="1">
      <c r="E6860" s="96"/>
    </row>
    <row r="6861" hidden="1">
      <c r="E6861" s="96"/>
    </row>
    <row r="6862" hidden="1">
      <c r="E6862" s="96"/>
    </row>
    <row r="6863" hidden="1">
      <c r="E6863" s="96"/>
    </row>
    <row r="6864" hidden="1">
      <c r="E6864" s="96"/>
    </row>
    <row r="6865" hidden="1">
      <c r="E6865" s="96"/>
    </row>
    <row r="6866" hidden="1">
      <c r="E6866" s="96"/>
    </row>
    <row r="6867" hidden="1">
      <c r="E6867" s="96"/>
    </row>
    <row r="6868" hidden="1">
      <c r="E6868" s="96"/>
    </row>
    <row r="6869" hidden="1">
      <c r="E6869" s="96"/>
    </row>
    <row r="6870" hidden="1">
      <c r="E6870" s="96"/>
    </row>
    <row r="6871" hidden="1">
      <c r="E6871" s="96"/>
    </row>
    <row r="6872" hidden="1">
      <c r="E6872" s="96"/>
    </row>
    <row r="6873" hidden="1">
      <c r="E6873" s="96"/>
    </row>
    <row r="6874" hidden="1">
      <c r="E6874" s="96"/>
    </row>
    <row r="6875" hidden="1">
      <c r="E6875" s="96"/>
    </row>
    <row r="6876" hidden="1">
      <c r="E6876" s="96"/>
    </row>
    <row r="6877" hidden="1">
      <c r="E6877" s="96"/>
    </row>
    <row r="6878" hidden="1">
      <c r="E6878" s="96"/>
    </row>
    <row r="6879" hidden="1">
      <c r="E6879" s="96"/>
    </row>
    <row r="6880" hidden="1">
      <c r="E6880" s="96"/>
    </row>
    <row r="6881" hidden="1">
      <c r="E6881" s="96"/>
    </row>
    <row r="6882" hidden="1">
      <c r="E6882" s="96"/>
    </row>
    <row r="6883" hidden="1">
      <c r="E6883" s="96"/>
    </row>
    <row r="6884" hidden="1">
      <c r="E6884" s="96"/>
    </row>
    <row r="6885" hidden="1">
      <c r="E6885" s="96"/>
    </row>
    <row r="6886" hidden="1">
      <c r="E6886" s="96"/>
    </row>
    <row r="6887" hidden="1">
      <c r="E6887" s="96"/>
    </row>
    <row r="6888" hidden="1">
      <c r="E6888" s="96"/>
    </row>
    <row r="6889" hidden="1">
      <c r="E6889" s="96"/>
    </row>
    <row r="6890" hidden="1">
      <c r="E6890" s="96"/>
    </row>
    <row r="6891" hidden="1">
      <c r="E6891" s="96"/>
    </row>
    <row r="6892" hidden="1">
      <c r="E6892" s="96"/>
    </row>
    <row r="6893" hidden="1">
      <c r="E6893" s="96"/>
    </row>
    <row r="6894" hidden="1">
      <c r="E6894" s="96"/>
    </row>
    <row r="6895" hidden="1">
      <c r="E6895" s="96"/>
    </row>
    <row r="6896" hidden="1">
      <c r="E6896" s="96"/>
    </row>
    <row r="6897" hidden="1">
      <c r="E6897" s="96"/>
    </row>
    <row r="6898" hidden="1">
      <c r="E6898" s="96"/>
    </row>
    <row r="6899" hidden="1">
      <c r="E6899" s="96"/>
    </row>
    <row r="6900" hidden="1">
      <c r="E6900" s="96"/>
    </row>
    <row r="6901" hidden="1">
      <c r="E6901" s="96"/>
    </row>
    <row r="6902" hidden="1">
      <c r="E6902" s="96"/>
    </row>
    <row r="6903" hidden="1">
      <c r="E6903" s="96"/>
    </row>
    <row r="6904" hidden="1">
      <c r="E6904" s="96"/>
    </row>
    <row r="6905" hidden="1">
      <c r="E6905" s="96"/>
    </row>
    <row r="6906" hidden="1">
      <c r="E6906" s="96"/>
    </row>
    <row r="6907" hidden="1">
      <c r="E6907" s="96"/>
    </row>
    <row r="6908" hidden="1">
      <c r="E6908" s="96"/>
    </row>
    <row r="6909" hidden="1">
      <c r="E6909" s="96"/>
    </row>
    <row r="6910" hidden="1">
      <c r="E6910" s="96"/>
    </row>
    <row r="6911" hidden="1">
      <c r="E6911" s="96"/>
    </row>
    <row r="6912" hidden="1">
      <c r="E6912" s="96"/>
    </row>
    <row r="6913" hidden="1">
      <c r="E6913" s="96"/>
    </row>
    <row r="6914" hidden="1">
      <c r="E6914" s="96"/>
    </row>
    <row r="6915" hidden="1">
      <c r="E6915" s="96"/>
    </row>
    <row r="6916" hidden="1">
      <c r="E6916" s="96"/>
    </row>
    <row r="6917" hidden="1">
      <c r="E6917" s="96"/>
    </row>
    <row r="6918" hidden="1">
      <c r="E6918" s="96"/>
    </row>
    <row r="6919" hidden="1">
      <c r="E6919" s="96"/>
    </row>
    <row r="6920" hidden="1">
      <c r="E6920" s="96"/>
    </row>
    <row r="6921" hidden="1">
      <c r="E6921" s="96"/>
    </row>
    <row r="6922" hidden="1">
      <c r="E6922" s="96"/>
    </row>
    <row r="6923" hidden="1">
      <c r="E6923" s="96"/>
    </row>
    <row r="6924" hidden="1">
      <c r="E6924" s="96"/>
    </row>
    <row r="6925" hidden="1">
      <c r="E6925" s="96"/>
    </row>
    <row r="6926" hidden="1">
      <c r="E6926" s="96"/>
    </row>
    <row r="6927" hidden="1">
      <c r="E6927" s="96"/>
    </row>
    <row r="6928" hidden="1">
      <c r="E6928" s="96"/>
    </row>
    <row r="6929" hidden="1">
      <c r="E6929" s="96"/>
    </row>
    <row r="6930" hidden="1">
      <c r="E6930" s="96"/>
    </row>
    <row r="6931" hidden="1">
      <c r="E6931" s="96"/>
    </row>
    <row r="6932" hidden="1">
      <c r="E6932" s="96"/>
    </row>
    <row r="6933" hidden="1">
      <c r="E6933" s="96"/>
    </row>
    <row r="6934" hidden="1">
      <c r="E6934" s="96"/>
    </row>
    <row r="6935" hidden="1">
      <c r="E6935" s="96"/>
    </row>
    <row r="6936" hidden="1">
      <c r="E6936" s="96"/>
    </row>
    <row r="6937" hidden="1">
      <c r="E6937" s="96"/>
    </row>
    <row r="6938" hidden="1">
      <c r="E6938" s="96"/>
    </row>
    <row r="6939" hidden="1">
      <c r="E6939" s="96"/>
    </row>
    <row r="6940" hidden="1">
      <c r="E6940" s="96"/>
    </row>
    <row r="6941" hidden="1">
      <c r="E6941" s="96"/>
    </row>
    <row r="6942" hidden="1">
      <c r="E6942" s="96"/>
    </row>
    <row r="6943" hidden="1">
      <c r="E6943" s="96"/>
    </row>
    <row r="6944" hidden="1">
      <c r="E6944" s="96"/>
    </row>
    <row r="6945" hidden="1">
      <c r="E6945" s="96"/>
    </row>
    <row r="6946" hidden="1">
      <c r="E6946" s="96"/>
    </row>
    <row r="6947" hidden="1">
      <c r="E6947" s="96"/>
    </row>
    <row r="6948" hidden="1">
      <c r="E6948" s="96"/>
    </row>
    <row r="6949" hidden="1">
      <c r="E6949" s="96"/>
    </row>
    <row r="6950" hidden="1">
      <c r="E6950" s="96"/>
    </row>
    <row r="6951" hidden="1">
      <c r="E6951" s="96"/>
    </row>
    <row r="6952" hidden="1">
      <c r="E6952" s="96"/>
    </row>
    <row r="6953" hidden="1">
      <c r="E6953" s="96"/>
    </row>
    <row r="6954" hidden="1">
      <c r="E6954" s="96"/>
    </row>
    <row r="6955" hidden="1">
      <c r="E6955" s="96"/>
    </row>
    <row r="6956" hidden="1">
      <c r="E6956" s="96"/>
    </row>
    <row r="6957" hidden="1">
      <c r="E6957" s="96"/>
    </row>
    <row r="6958" hidden="1">
      <c r="E6958" s="96"/>
    </row>
    <row r="6959" hidden="1">
      <c r="E6959" s="96"/>
    </row>
    <row r="6960" hidden="1">
      <c r="E6960" s="96"/>
    </row>
    <row r="6961" hidden="1">
      <c r="E6961" s="96"/>
    </row>
    <row r="6962" hidden="1">
      <c r="E6962" s="96"/>
    </row>
    <row r="6963" hidden="1">
      <c r="E6963" s="96"/>
    </row>
    <row r="6964" hidden="1">
      <c r="E6964" s="96"/>
    </row>
    <row r="6965" hidden="1">
      <c r="E6965" s="96"/>
    </row>
    <row r="6966" hidden="1">
      <c r="E6966" s="96"/>
    </row>
    <row r="6967" hidden="1">
      <c r="E6967" s="96"/>
    </row>
    <row r="6968" hidden="1">
      <c r="E6968" s="96"/>
    </row>
    <row r="6969" hidden="1">
      <c r="E6969" s="96"/>
    </row>
    <row r="6970" hidden="1">
      <c r="E6970" s="96"/>
    </row>
    <row r="6971" hidden="1">
      <c r="E6971" s="96"/>
    </row>
    <row r="6972" hidden="1">
      <c r="E6972" s="96"/>
    </row>
    <row r="6973" hidden="1">
      <c r="E6973" s="96"/>
    </row>
    <row r="6974" hidden="1">
      <c r="E6974" s="96"/>
    </row>
    <row r="6975" hidden="1">
      <c r="E6975" s="96"/>
    </row>
    <row r="6976" hidden="1">
      <c r="E6976" s="96"/>
    </row>
    <row r="6977" hidden="1">
      <c r="E6977" s="96"/>
    </row>
    <row r="6978" hidden="1">
      <c r="E6978" s="96"/>
    </row>
    <row r="6979" hidden="1">
      <c r="E6979" s="96"/>
    </row>
    <row r="6980" hidden="1">
      <c r="E6980" s="96"/>
    </row>
    <row r="6981" hidden="1">
      <c r="E6981" s="96"/>
    </row>
    <row r="6982" hidden="1">
      <c r="E6982" s="96"/>
    </row>
    <row r="6983" hidden="1">
      <c r="E6983" s="96"/>
    </row>
    <row r="6984" hidden="1">
      <c r="E6984" s="96"/>
    </row>
    <row r="6985" hidden="1">
      <c r="E6985" s="96"/>
    </row>
    <row r="6986" hidden="1">
      <c r="E6986" s="96"/>
    </row>
    <row r="6987" hidden="1">
      <c r="E6987" s="96"/>
    </row>
    <row r="6988" hidden="1">
      <c r="E6988" s="96"/>
    </row>
    <row r="6989" hidden="1">
      <c r="E6989" s="96"/>
    </row>
    <row r="6990" hidden="1">
      <c r="E6990" s="96"/>
    </row>
    <row r="6991" hidden="1">
      <c r="E6991" s="96"/>
    </row>
    <row r="6992" hidden="1">
      <c r="E6992" s="96"/>
    </row>
    <row r="6993" hidden="1">
      <c r="E6993" s="96"/>
    </row>
    <row r="6994" hidden="1">
      <c r="E6994" s="96"/>
    </row>
    <row r="6995" hidden="1">
      <c r="E6995" s="96"/>
    </row>
    <row r="6996" hidden="1">
      <c r="E6996" s="96"/>
    </row>
    <row r="6997" hidden="1">
      <c r="E6997" s="96"/>
    </row>
    <row r="6998" hidden="1">
      <c r="E6998" s="96"/>
    </row>
    <row r="6999" hidden="1">
      <c r="E6999" s="96"/>
    </row>
    <row r="7000" hidden="1">
      <c r="E7000" s="96"/>
    </row>
    <row r="7001" hidden="1">
      <c r="E7001" s="96"/>
    </row>
    <row r="7002" hidden="1">
      <c r="E7002" s="96"/>
    </row>
    <row r="7003" hidden="1">
      <c r="E7003" s="96"/>
    </row>
    <row r="7004" hidden="1">
      <c r="E7004" s="96"/>
    </row>
    <row r="7005" hidden="1">
      <c r="E7005" s="96"/>
    </row>
    <row r="7006" hidden="1">
      <c r="E7006" s="96"/>
    </row>
    <row r="7007" hidden="1">
      <c r="E7007" s="96"/>
    </row>
    <row r="7008" hidden="1">
      <c r="E7008" s="96"/>
    </row>
    <row r="7009" hidden="1">
      <c r="E7009" s="96"/>
    </row>
    <row r="7010" hidden="1">
      <c r="E7010" s="96"/>
    </row>
    <row r="7011" hidden="1">
      <c r="E7011" s="96"/>
    </row>
    <row r="7012" hidden="1">
      <c r="E7012" s="96"/>
    </row>
    <row r="7013" hidden="1">
      <c r="E7013" s="96"/>
    </row>
    <row r="7014" hidden="1">
      <c r="E7014" s="96"/>
    </row>
    <row r="7015" hidden="1">
      <c r="E7015" s="96"/>
    </row>
    <row r="7016" hidden="1">
      <c r="E7016" s="96"/>
    </row>
    <row r="7017" hidden="1">
      <c r="E7017" s="96"/>
    </row>
    <row r="7018" hidden="1">
      <c r="E7018" s="96"/>
    </row>
    <row r="7019" hidden="1">
      <c r="E7019" s="96"/>
    </row>
    <row r="7020" hidden="1">
      <c r="E7020" s="96"/>
    </row>
    <row r="7021" hidden="1">
      <c r="E7021" s="96"/>
    </row>
    <row r="7022" hidden="1">
      <c r="E7022" s="96"/>
    </row>
    <row r="7023" hidden="1">
      <c r="E7023" s="96"/>
    </row>
    <row r="7024" hidden="1">
      <c r="E7024" s="96"/>
    </row>
    <row r="7025" hidden="1">
      <c r="E7025" s="96"/>
    </row>
    <row r="7026" hidden="1">
      <c r="E7026" s="96"/>
    </row>
    <row r="7027" hidden="1">
      <c r="E7027" s="96"/>
    </row>
    <row r="7028" hidden="1">
      <c r="E7028" s="96"/>
    </row>
    <row r="7029" hidden="1">
      <c r="E7029" s="96"/>
    </row>
    <row r="7030" hidden="1">
      <c r="E7030" s="96"/>
    </row>
    <row r="7031" hidden="1">
      <c r="E7031" s="96"/>
    </row>
    <row r="7032" hidden="1">
      <c r="E7032" s="96"/>
    </row>
    <row r="7033" hidden="1">
      <c r="E7033" s="96"/>
    </row>
    <row r="7034" hidden="1">
      <c r="E7034" s="96"/>
    </row>
    <row r="7035" hidden="1">
      <c r="E7035" s="96"/>
    </row>
    <row r="7036" hidden="1">
      <c r="E7036" s="96"/>
    </row>
    <row r="7037" hidden="1">
      <c r="E7037" s="96"/>
    </row>
    <row r="7038" hidden="1">
      <c r="E7038" s="96"/>
    </row>
    <row r="7039" hidden="1">
      <c r="E7039" s="96"/>
    </row>
    <row r="7040" hidden="1">
      <c r="E7040" s="96"/>
    </row>
    <row r="7041" hidden="1">
      <c r="E7041" s="96"/>
    </row>
    <row r="7042" hidden="1">
      <c r="E7042" s="96"/>
    </row>
    <row r="7043" hidden="1">
      <c r="E7043" s="96"/>
    </row>
    <row r="7044" hidden="1">
      <c r="E7044" s="96"/>
    </row>
    <row r="7045" hidden="1">
      <c r="E7045" s="96"/>
    </row>
    <row r="7046" hidden="1">
      <c r="E7046" s="96"/>
    </row>
    <row r="7047" hidden="1">
      <c r="E7047" s="96"/>
    </row>
    <row r="7048" hidden="1">
      <c r="E7048" s="96"/>
    </row>
    <row r="7049" hidden="1">
      <c r="E7049" s="96"/>
    </row>
    <row r="7050" hidden="1">
      <c r="E7050" s="96"/>
    </row>
    <row r="7051" hidden="1">
      <c r="E7051" s="96"/>
    </row>
    <row r="7052" hidden="1">
      <c r="E7052" s="96"/>
    </row>
    <row r="7053" hidden="1">
      <c r="E7053" s="96"/>
    </row>
    <row r="7054" hidden="1">
      <c r="E7054" s="96"/>
    </row>
    <row r="7055" hidden="1">
      <c r="E7055" s="96"/>
    </row>
    <row r="7056" hidden="1">
      <c r="E7056" s="96"/>
    </row>
    <row r="7057" hidden="1">
      <c r="E7057" s="96"/>
    </row>
    <row r="7058" hidden="1">
      <c r="E7058" s="96"/>
    </row>
    <row r="7059" hidden="1">
      <c r="E7059" s="96"/>
    </row>
    <row r="7060" hidden="1">
      <c r="E7060" s="96"/>
    </row>
    <row r="7061" hidden="1">
      <c r="E7061" s="96"/>
    </row>
    <row r="7062" hidden="1">
      <c r="E7062" s="96"/>
    </row>
    <row r="7063" hidden="1">
      <c r="E7063" s="96"/>
    </row>
    <row r="7064" hidden="1">
      <c r="E7064" s="96"/>
    </row>
    <row r="7065" hidden="1">
      <c r="E7065" s="96"/>
    </row>
    <row r="7066" hidden="1">
      <c r="E7066" s="96"/>
    </row>
    <row r="7067" hidden="1">
      <c r="E7067" s="96"/>
    </row>
    <row r="7068" hidden="1">
      <c r="E7068" s="96"/>
    </row>
    <row r="7069" hidden="1">
      <c r="E7069" s="96"/>
    </row>
    <row r="7070" hidden="1">
      <c r="E7070" s="96"/>
    </row>
    <row r="7071" hidden="1">
      <c r="E7071" s="96"/>
    </row>
    <row r="7072" hidden="1">
      <c r="E7072" s="96"/>
    </row>
    <row r="7073" hidden="1">
      <c r="E7073" s="96"/>
    </row>
    <row r="7074" hidden="1">
      <c r="E7074" s="96"/>
    </row>
    <row r="7075" hidden="1">
      <c r="E7075" s="96"/>
    </row>
    <row r="7076" hidden="1">
      <c r="E7076" s="96"/>
    </row>
    <row r="7077" hidden="1">
      <c r="E7077" s="96"/>
    </row>
    <row r="7078" hidden="1">
      <c r="E7078" s="96"/>
    </row>
    <row r="7079" hidden="1">
      <c r="E7079" s="96"/>
    </row>
    <row r="7080" hidden="1">
      <c r="E7080" s="96"/>
    </row>
    <row r="7081" hidden="1">
      <c r="E7081" s="96"/>
    </row>
    <row r="7082" hidden="1">
      <c r="E7082" s="96"/>
    </row>
    <row r="7083" hidden="1">
      <c r="E7083" s="96"/>
    </row>
    <row r="7084" hidden="1">
      <c r="E7084" s="96"/>
    </row>
    <row r="7085" hidden="1">
      <c r="E7085" s="96"/>
    </row>
    <row r="7086" hidden="1">
      <c r="E7086" s="96"/>
    </row>
    <row r="7087" hidden="1">
      <c r="E7087" s="96"/>
    </row>
    <row r="7088" hidden="1">
      <c r="E7088" s="96"/>
    </row>
    <row r="7089" hidden="1">
      <c r="E7089" s="96"/>
    </row>
    <row r="7090" hidden="1">
      <c r="E7090" s="96"/>
    </row>
    <row r="7091" hidden="1">
      <c r="E7091" s="96"/>
    </row>
    <row r="7092" hidden="1">
      <c r="E7092" s="96"/>
    </row>
    <row r="7093" hidden="1">
      <c r="E7093" s="96"/>
    </row>
    <row r="7094" hidden="1">
      <c r="E7094" s="96"/>
    </row>
    <row r="7095" hidden="1">
      <c r="E7095" s="96"/>
    </row>
    <row r="7096" hidden="1">
      <c r="E7096" s="96"/>
    </row>
    <row r="7097" hidden="1">
      <c r="E7097" s="96"/>
    </row>
    <row r="7098" hidden="1">
      <c r="E7098" s="96"/>
    </row>
    <row r="7099" hidden="1">
      <c r="E7099" s="96"/>
    </row>
    <row r="7100" hidden="1">
      <c r="E7100" s="96"/>
    </row>
    <row r="7101" hidden="1">
      <c r="E7101" s="96"/>
    </row>
    <row r="7102" hidden="1">
      <c r="E7102" s="96"/>
    </row>
    <row r="7103" hidden="1">
      <c r="E7103" s="96"/>
    </row>
    <row r="7104" hidden="1">
      <c r="E7104" s="96"/>
    </row>
    <row r="7105" hidden="1">
      <c r="E7105" s="96"/>
    </row>
    <row r="7106" hidden="1">
      <c r="E7106" s="96"/>
    </row>
    <row r="7107" hidden="1">
      <c r="E7107" s="96"/>
    </row>
    <row r="7108" hidden="1">
      <c r="E7108" s="96"/>
    </row>
    <row r="7109" hidden="1">
      <c r="E7109" s="96"/>
    </row>
    <row r="7110" hidden="1">
      <c r="E7110" s="96"/>
    </row>
    <row r="7111" hidden="1">
      <c r="E7111" s="96"/>
    </row>
    <row r="7112" hidden="1">
      <c r="E7112" s="96"/>
    </row>
    <row r="7113" hidden="1">
      <c r="E7113" s="96"/>
    </row>
    <row r="7114" hidden="1">
      <c r="E7114" s="96"/>
    </row>
    <row r="7115" hidden="1">
      <c r="E7115" s="96"/>
    </row>
    <row r="7116" hidden="1">
      <c r="E7116" s="96"/>
    </row>
    <row r="7117" hidden="1">
      <c r="E7117" s="96"/>
    </row>
    <row r="7118" hidden="1">
      <c r="E7118" s="96"/>
    </row>
    <row r="7119" hidden="1">
      <c r="E7119" s="96"/>
    </row>
    <row r="7120" hidden="1">
      <c r="E7120" s="96"/>
    </row>
    <row r="7121" hidden="1">
      <c r="E7121" s="96"/>
    </row>
    <row r="7122" hidden="1">
      <c r="E7122" s="96"/>
    </row>
    <row r="7123" hidden="1">
      <c r="E7123" s="96"/>
    </row>
    <row r="7124" hidden="1">
      <c r="E7124" s="96"/>
    </row>
    <row r="7125" hidden="1">
      <c r="E7125" s="96"/>
    </row>
    <row r="7126" hidden="1">
      <c r="E7126" s="96"/>
    </row>
    <row r="7127" hidden="1">
      <c r="E7127" s="96"/>
    </row>
    <row r="7128" hidden="1">
      <c r="E7128" s="96"/>
    </row>
    <row r="7129" hidden="1">
      <c r="E7129" s="96"/>
    </row>
    <row r="7130" hidden="1">
      <c r="E7130" s="96"/>
    </row>
    <row r="7131" hidden="1">
      <c r="E7131" s="96"/>
    </row>
    <row r="7132" hidden="1">
      <c r="E7132" s="96"/>
    </row>
    <row r="7133" hidden="1">
      <c r="E7133" s="96"/>
    </row>
    <row r="7134" hidden="1">
      <c r="E7134" s="96"/>
    </row>
    <row r="7135" hidden="1">
      <c r="E7135" s="96"/>
    </row>
    <row r="7136" hidden="1">
      <c r="E7136" s="96"/>
    </row>
    <row r="7137" hidden="1">
      <c r="E7137" s="96"/>
    </row>
    <row r="7138" hidden="1">
      <c r="E7138" s="96"/>
    </row>
    <row r="7139" hidden="1">
      <c r="E7139" s="96"/>
    </row>
    <row r="7140" hidden="1">
      <c r="E7140" s="96"/>
    </row>
    <row r="7141" hidden="1">
      <c r="E7141" s="96"/>
    </row>
    <row r="7142" hidden="1">
      <c r="E7142" s="96"/>
    </row>
    <row r="7143" hidden="1">
      <c r="E7143" s="96"/>
    </row>
    <row r="7144" hidden="1">
      <c r="E7144" s="96"/>
    </row>
    <row r="7145" hidden="1">
      <c r="E7145" s="96"/>
    </row>
    <row r="7146" hidden="1">
      <c r="E7146" s="96"/>
    </row>
    <row r="7147" hidden="1">
      <c r="E7147" s="96"/>
    </row>
    <row r="7148" hidden="1">
      <c r="E7148" s="96"/>
    </row>
    <row r="7149" hidden="1">
      <c r="E7149" s="96"/>
    </row>
    <row r="7150" hidden="1">
      <c r="E7150" s="96"/>
    </row>
    <row r="7151" hidden="1">
      <c r="E7151" s="96"/>
    </row>
    <row r="7152" hidden="1">
      <c r="E7152" s="96"/>
    </row>
    <row r="7153" hidden="1">
      <c r="E7153" s="96"/>
    </row>
    <row r="7154" hidden="1">
      <c r="E7154" s="96"/>
    </row>
    <row r="7155" hidden="1">
      <c r="E7155" s="96"/>
    </row>
    <row r="7156" hidden="1">
      <c r="E7156" s="96"/>
    </row>
    <row r="7157" hidden="1">
      <c r="E7157" s="96"/>
    </row>
    <row r="7158" hidden="1">
      <c r="E7158" s="96"/>
    </row>
    <row r="7159" hidden="1">
      <c r="E7159" s="96"/>
    </row>
    <row r="7160" hidden="1">
      <c r="E7160" s="96"/>
    </row>
    <row r="7161" hidden="1">
      <c r="E7161" s="96"/>
    </row>
    <row r="7162" hidden="1">
      <c r="E7162" s="96"/>
    </row>
    <row r="7163" hidden="1">
      <c r="E7163" s="96"/>
    </row>
    <row r="7164" hidden="1">
      <c r="E7164" s="96"/>
    </row>
    <row r="7165" hidden="1">
      <c r="E7165" s="96"/>
    </row>
    <row r="7166" hidden="1">
      <c r="E7166" s="96"/>
    </row>
    <row r="7167" hidden="1">
      <c r="E7167" s="96"/>
    </row>
    <row r="7168" hidden="1">
      <c r="E7168" s="96"/>
    </row>
    <row r="7169" hidden="1">
      <c r="E7169" s="96"/>
    </row>
    <row r="7170" hidden="1">
      <c r="E7170" s="96"/>
    </row>
    <row r="7171" hidden="1">
      <c r="E7171" s="96"/>
    </row>
    <row r="7172" hidden="1">
      <c r="E7172" s="96"/>
    </row>
    <row r="7173" hidden="1">
      <c r="E7173" s="96"/>
    </row>
    <row r="7174" hidden="1">
      <c r="E7174" s="96"/>
    </row>
    <row r="7175" hidden="1">
      <c r="E7175" s="96"/>
    </row>
    <row r="7176" hidden="1">
      <c r="E7176" s="96"/>
    </row>
    <row r="7177" hidden="1">
      <c r="E7177" s="96"/>
    </row>
    <row r="7178" hidden="1">
      <c r="E7178" s="96"/>
    </row>
    <row r="7179" hidden="1">
      <c r="E7179" s="96"/>
    </row>
    <row r="7180" hidden="1">
      <c r="E7180" s="96"/>
    </row>
    <row r="7181" hidden="1">
      <c r="E7181" s="96"/>
    </row>
    <row r="7182" hidden="1">
      <c r="E7182" s="96"/>
    </row>
    <row r="7183" hidden="1">
      <c r="E7183" s="96"/>
    </row>
    <row r="7184" hidden="1">
      <c r="E7184" s="96"/>
    </row>
    <row r="7185" hidden="1">
      <c r="E7185" s="96"/>
    </row>
    <row r="7186" hidden="1">
      <c r="E7186" s="96"/>
    </row>
    <row r="7187" hidden="1">
      <c r="E7187" s="96"/>
    </row>
    <row r="7188" hidden="1">
      <c r="E7188" s="96"/>
    </row>
    <row r="7189" hidden="1">
      <c r="E7189" s="96"/>
    </row>
    <row r="7190" hidden="1">
      <c r="E7190" s="96"/>
    </row>
    <row r="7191" hidden="1">
      <c r="E7191" s="96"/>
    </row>
    <row r="7192" hidden="1">
      <c r="E7192" s="96"/>
    </row>
    <row r="7193" hidden="1">
      <c r="E7193" s="96"/>
    </row>
    <row r="7194" hidden="1">
      <c r="E7194" s="96"/>
    </row>
    <row r="7195" hidden="1">
      <c r="E7195" s="96"/>
    </row>
    <row r="7196" hidden="1">
      <c r="E7196" s="96"/>
    </row>
    <row r="7197" hidden="1">
      <c r="E7197" s="96"/>
    </row>
    <row r="7198" hidden="1">
      <c r="E7198" s="96"/>
    </row>
    <row r="7199" hidden="1">
      <c r="E7199" s="96"/>
    </row>
    <row r="7200" hidden="1">
      <c r="E7200" s="96"/>
    </row>
    <row r="7201" hidden="1">
      <c r="E7201" s="96"/>
    </row>
    <row r="7202" hidden="1">
      <c r="E7202" s="96"/>
    </row>
    <row r="7203" hidden="1">
      <c r="E7203" s="96"/>
    </row>
    <row r="7204" hidden="1">
      <c r="E7204" s="96"/>
    </row>
    <row r="7205" hidden="1">
      <c r="E7205" s="96"/>
    </row>
    <row r="7206" hidden="1">
      <c r="E7206" s="96"/>
    </row>
    <row r="7207" hidden="1">
      <c r="E7207" s="96"/>
    </row>
    <row r="7208" hidden="1">
      <c r="E7208" s="96"/>
    </row>
    <row r="7209" hidden="1">
      <c r="E7209" s="96"/>
    </row>
    <row r="7210" hidden="1">
      <c r="E7210" s="96"/>
    </row>
    <row r="7211" hidden="1">
      <c r="E7211" s="96"/>
    </row>
    <row r="7212" hidden="1">
      <c r="E7212" s="96"/>
    </row>
    <row r="7213" hidden="1">
      <c r="E7213" s="96"/>
    </row>
    <row r="7214" hidden="1">
      <c r="E7214" s="96"/>
    </row>
    <row r="7215" hidden="1">
      <c r="E7215" s="96"/>
    </row>
    <row r="7216" hidden="1">
      <c r="E7216" s="96"/>
    </row>
    <row r="7217" hidden="1">
      <c r="E7217" s="96"/>
    </row>
    <row r="7218" hidden="1">
      <c r="E7218" s="96"/>
    </row>
    <row r="7219" hidden="1">
      <c r="E7219" s="96"/>
    </row>
    <row r="7220" hidden="1">
      <c r="E7220" s="96"/>
    </row>
    <row r="7221" hidden="1">
      <c r="E7221" s="96"/>
    </row>
    <row r="7222" hidden="1">
      <c r="E7222" s="96"/>
    </row>
    <row r="7223" hidden="1">
      <c r="E7223" s="96"/>
    </row>
    <row r="7224" hidden="1">
      <c r="E7224" s="96"/>
    </row>
    <row r="7225" hidden="1">
      <c r="E7225" s="96"/>
    </row>
    <row r="7226" hidden="1">
      <c r="E7226" s="96"/>
    </row>
    <row r="7227" hidden="1">
      <c r="E7227" s="96"/>
    </row>
    <row r="7228" hidden="1">
      <c r="E7228" s="96"/>
    </row>
    <row r="7229" hidden="1">
      <c r="E7229" s="96"/>
    </row>
    <row r="7230" hidden="1">
      <c r="E7230" s="96"/>
    </row>
    <row r="7231" hidden="1">
      <c r="E7231" s="96"/>
    </row>
    <row r="7232" hidden="1">
      <c r="E7232" s="96"/>
    </row>
    <row r="7233" hidden="1">
      <c r="E7233" s="96"/>
    </row>
    <row r="7234" hidden="1">
      <c r="E7234" s="96"/>
    </row>
    <row r="7235" hidden="1">
      <c r="E7235" s="96"/>
    </row>
    <row r="7236" hidden="1">
      <c r="E7236" s="96"/>
    </row>
    <row r="7237" hidden="1">
      <c r="E7237" s="96"/>
    </row>
    <row r="7238" hidden="1">
      <c r="E7238" s="96"/>
    </row>
    <row r="7239" hidden="1">
      <c r="E7239" s="96"/>
    </row>
    <row r="7240" hidden="1">
      <c r="E7240" s="96"/>
    </row>
    <row r="7241" hidden="1">
      <c r="E7241" s="96"/>
    </row>
    <row r="7242" hidden="1">
      <c r="E7242" s="96"/>
    </row>
    <row r="7243" hidden="1">
      <c r="E7243" s="96"/>
    </row>
    <row r="7244" hidden="1">
      <c r="E7244" s="96"/>
    </row>
    <row r="7245" hidden="1">
      <c r="E7245" s="96"/>
    </row>
    <row r="7246" hidden="1">
      <c r="E7246" s="96"/>
    </row>
    <row r="7247" hidden="1">
      <c r="E7247" s="96"/>
    </row>
    <row r="7248" hidden="1">
      <c r="E7248" s="96"/>
    </row>
    <row r="7249" hidden="1">
      <c r="E7249" s="96"/>
    </row>
    <row r="7250" hidden="1">
      <c r="E7250" s="96"/>
    </row>
    <row r="7251" hidden="1">
      <c r="E7251" s="96"/>
    </row>
    <row r="7252" hidden="1">
      <c r="E7252" s="96"/>
    </row>
    <row r="7253" hidden="1">
      <c r="E7253" s="96"/>
    </row>
    <row r="7254" hidden="1">
      <c r="E7254" s="96"/>
    </row>
    <row r="7255" hidden="1">
      <c r="E7255" s="96"/>
    </row>
    <row r="7256" hidden="1">
      <c r="E7256" s="96"/>
    </row>
    <row r="7257" hidden="1">
      <c r="E7257" s="96"/>
    </row>
    <row r="7258" hidden="1">
      <c r="E7258" s="96"/>
    </row>
    <row r="7259" hidden="1">
      <c r="E7259" s="96"/>
    </row>
    <row r="7260" hidden="1">
      <c r="E7260" s="96"/>
    </row>
    <row r="7261" hidden="1">
      <c r="E7261" s="96"/>
    </row>
    <row r="7262" hidden="1">
      <c r="E7262" s="96"/>
    </row>
    <row r="7263" hidden="1">
      <c r="E7263" s="96"/>
    </row>
    <row r="7264" hidden="1">
      <c r="E7264" s="96"/>
    </row>
    <row r="7265" hidden="1">
      <c r="E7265" s="96"/>
    </row>
    <row r="7266" hidden="1">
      <c r="E7266" s="96"/>
    </row>
    <row r="7267" hidden="1">
      <c r="E7267" s="96"/>
    </row>
    <row r="7268" hidden="1">
      <c r="E7268" s="96"/>
    </row>
    <row r="7269" hidden="1">
      <c r="E7269" s="96"/>
    </row>
    <row r="7270" hidden="1">
      <c r="E7270" s="96"/>
    </row>
    <row r="7271" hidden="1">
      <c r="E7271" s="96"/>
    </row>
    <row r="7272" hidden="1">
      <c r="E7272" s="96"/>
    </row>
    <row r="7273" hidden="1">
      <c r="E7273" s="96"/>
    </row>
    <row r="7274" hidden="1">
      <c r="E7274" s="96"/>
    </row>
    <row r="7275" hidden="1">
      <c r="E7275" s="96"/>
    </row>
    <row r="7276" hidden="1">
      <c r="E7276" s="96"/>
    </row>
    <row r="7277" hidden="1">
      <c r="E7277" s="96"/>
    </row>
    <row r="7278" hidden="1">
      <c r="E7278" s="96"/>
    </row>
    <row r="7279" hidden="1">
      <c r="E7279" s="96"/>
    </row>
    <row r="7280" hidden="1">
      <c r="E7280" s="96"/>
    </row>
    <row r="7281" hidden="1">
      <c r="E7281" s="96"/>
    </row>
    <row r="7282" hidden="1">
      <c r="E7282" s="96"/>
    </row>
    <row r="7283" hidden="1">
      <c r="E7283" s="96"/>
    </row>
    <row r="7284" hidden="1">
      <c r="E7284" s="96"/>
    </row>
    <row r="7285" hidden="1">
      <c r="E7285" s="96"/>
    </row>
    <row r="7286" hidden="1">
      <c r="E7286" s="96"/>
    </row>
    <row r="7287" hidden="1">
      <c r="E7287" s="96"/>
    </row>
    <row r="7288" hidden="1">
      <c r="E7288" s="96"/>
    </row>
    <row r="7289" hidden="1">
      <c r="E7289" s="96"/>
    </row>
    <row r="7290" hidden="1">
      <c r="E7290" s="96"/>
    </row>
    <row r="7291" hidden="1">
      <c r="E7291" s="96"/>
    </row>
    <row r="7292" hidden="1">
      <c r="E7292" s="96"/>
    </row>
    <row r="7293" hidden="1">
      <c r="E7293" s="96"/>
    </row>
    <row r="7294" hidden="1">
      <c r="E7294" s="96"/>
    </row>
    <row r="7295" hidden="1">
      <c r="E7295" s="96"/>
    </row>
    <row r="7296" hidden="1">
      <c r="E7296" s="96"/>
    </row>
    <row r="7297" hidden="1">
      <c r="E7297" s="96"/>
    </row>
    <row r="7298" hidden="1">
      <c r="E7298" s="96"/>
    </row>
    <row r="7299" hidden="1">
      <c r="E7299" s="96"/>
    </row>
    <row r="7300" hidden="1">
      <c r="E7300" s="96"/>
    </row>
    <row r="7301" hidden="1">
      <c r="E7301" s="96"/>
    </row>
    <row r="7302" hidden="1">
      <c r="E7302" s="96"/>
    </row>
    <row r="7303" hidden="1">
      <c r="E7303" s="96"/>
    </row>
    <row r="7304" hidden="1">
      <c r="E7304" s="96"/>
    </row>
    <row r="7305" hidden="1">
      <c r="E7305" s="96"/>
    </row>
    <row r="7306" hidden="1">
      <c r="E7306" s="96"/>
    </row>
    <row r="7307" hidden="1">
      <c r="E7307" s="96"/>
    </row>
    <row r="7308" hidden="1">
      <c r="E7308" s="96"/>
    </row>
    <row r="7309" hidden="1">
      <c r="E7309" s="96"/>
    </row>
    <row r="7310" hidden="1">
      <c r="E7310" s="96"/>
    </row>
    <row r="7311" hidden="1">
      <c r="E7311" s="96"/>
    </row>
    <row r="7312" hidden="1">
      <c r="E7312" s="96"/>
    </row>
    <row r="7313" hidden="1">
      <c r="E7313" s="96"/>
    </row>
    <row r="7314" hidden="1">
      <c r="E7314" s="96"/>
    </row>
    <row r="7315" hidden="1">
      <c r="E7315" s="96"/>
    </row>
    <row r="7316" hidden="1">
      <c r="E7316" s="96"/>
    </row>
    <row r="7317" hidden="1">
      <c r="E7317" s="96"/>
    </row>
    <row r="7318" hidden="1">
      <c r="E7318" s="96"/>
    </row>
    <row r="7319" hidden="1">
      <c r="E7319" s="96"/>
    </row>
    <row r="7320" hidden="1">
      <c r="E7320" s="96"/>
    </row>
    <row r="7321" hidden="1">
      <c r="E7321" s="96"/>
    </row>
    <row r="7322" hidden="1">
      <c r="E7322" s="96"/>
    </row>
    <row r="7323" hidden="1">
      <c r="E7323" s="96"/>
    </row>
    <row r="7324" hidden="1">
      <c r="E7324" s="96"/>
    </row>
    <row r="7325" hidden="1">
      <c r="E7325" s="96"/>
    </row>
    <row r="7326" hidden="1">
      <c r="E7326" s="96"/>
    </row>
    <row r="7327" hidden="1">
      <c r="E7327" s="96"/>
    </row>
    <row r="7328" hidden="1">
      <c r="E7328" s="96"/>
    </row>
    <row r="7329" hidden="1">
      <c r="E7329" s="96"/>
    </row>
    <row r="7330" hidden="1">
      <c r="E7330" s="96"/>
    </row>
    <row r="7331" hidden="1">
      <c r="E7331" s="96"/>
    </row>
    <row r="7332" hidden="1">
      <c r="E7332" s="96"/>
    </row>
    <row r="7333" hidden="1">
      <c r="E7333" s="96"/>
    </row>
    <row r="7334" hidden="1">
      <c r="E7334" s="96"/>
    </row>
    <row r="7335" hidden="1">
      <c r="E7335" s="96"/>
    </row>
    <row r="7336" hidden="1">
      <c r="E7336" s="96"/>
    </row>
    <row r="7337" hidden="1">
      <c r="E7337" s="96"/>
    </row>
    <row r="7338" hidden="1">
      <c r="E7338" s="96"/>
    </row>
    <row r="7339" hidden="1">
      <c r="E7339" s="96"/>
    </row>
    <row r="7340" hidden="1">
      <c r="E7340" s="96"/>
    </row>
    <row r="7341" hidden="1">
      <c r="E7341" s="96"/>
    </row>
    <row r="7342" hidden="1">
      <c r="E7342" s="96"/>
    </row>
    <row r="7343" hidden="1">
      <c r="E7343" s="96"/>
    </row>
    <row r="7344" hidden="1">
      <c r="E7344" s="96"/>
    </row>
    <row r="7345" hidden="1">
      <c r="E7345" s="96"/>
    </row>
    <row r="7346" hidden="1">
      <c r="E7346" s="96"/>
    </row>
    <row r="7347" hidden="1">
      <c r="E7347" s="96"/>
    </row>
    <row r="7348" hidden="1">
      <c r="E7348" s="96"/>
    </row>
    <row r="7349" hidden="1">
      <c r="E7349" s="96"/>
    </row>
    <row r="7350" hidden="1">
      <c r="E7350" s="96"/>
    </row>
    <row r="7351" hidden="1">
      <c r="E7351" s="96"/>
    </row>
    <row r="7352" hidden="1">
      <c r="E7352" s="96"/>
    </row>
    <row r="7353" hidden="1">
      <c r="E7353" s="96"/>
    </row>
    <row r="7354" hidden="1">
      <c r="E7354" s="96"/>
    </row>
    <row r="7355" hidden="1">
      <c r="E7355" s="96"/>
    </row>
    <row r="7356" hidden="1">
      <c r="E7356" s="96"/>
    </row>
    <row r="7357" hidden="1">
      <c r="E7357" s="96"/>
    </row>
    <row r="7358" hidden="1">
      <c r="E7358" s="96"/>
    </row>
    <row r="7359" hidden="1">
      <c r="E7359" s="96"/>
    </row>
    <row r="7360" hidden="1">
      <c r="E7360" s="96"/>
    </row>
    <row r="7361" hidden="1">
      <c r="E7361" s="96"/>
    </row>
    <row r="7362" hidden="1">
      <c r="E7362" s="96"/>
    </row>
    <row r="7363" hidden="1">
      <c r="E7363" s="96"/>
    </row>
    <row r="7364" hidden="1">
      <c r="E7364" s="96"/>
    </row>
    <row r="7365" hidden="1">
      <c r="E7365" s="96"/>
    </row>
    <row r="7366" hidden="1">
      <c r="E7366" s="96"/>
    </row>
    <row r="7367" hidden="1">
      <c r="E7367" s="96"/>
    </row>
    <row r="7368" hidden="1">
      <c r="E7368" s="96"/>
    </row>
    <row r="7369" hidden="1">
      <c r="E7369" s="96"/>
    </row>
    <row r="7370" hidden="1">
      <c r="E7370" s="96"/>
    </row>
    <row r="7371" hidden="1">
      <c r="E7371" s="96"/>
    </row>
    <row r="7372" hidden="1">
      <c r="E7372" s="96"/>
    </row>
    <row r="7373" hidden="1">
      <c r="E7373" s="96"/>
    </row>
    <row r="7374" hidden="1">
      <c r="E7374" s="96"/>
    </row>
    <row r="7375" hidden="1">
      <c r="E7375" s="96"/>
    </row>
    <row r="7376" hidden="1">
      <c r="E7376" s="96"/>
    </row>
    <row r="7377" hidden="1">
      <c r="E7377" s="96"/>
    </row>
    <row r="7378" hidden="1">
      <c r="E7378" s="96"/>
    </row>
    <row r="7379" hidden="1">
      <c r="E7379" s="96"/>
    </row>
    <row r="7380" hidden="1">
      <c r="E7380" s="96"/>
    </row>
    <row r="7381" hidden="1">
      <c r="E7381" s="96"/>
    </row>
    <row r="7382" hidden="1">
      <c r="E7382" s="96"/>
    </row>
    <row r="7383" hidden="1">
      <c r="E7383" s="96"/>
    </row>
    <row r="7384" hidden="1">
      <c r="E7384" s="96"/>
    </row>
    <row r="7385" hidden="1">
      <c r="E7385" s="96"/>
    </row>
    <row r="7386" hidden="1">
      <c r="E7386" s="96"/>
    </row>
    <row r="7387" hidden="1">
      <c r="E7387" s="96"/>
    </row>
    <row r="7388" hidden="1">
      <c r="E7388" s="96"/>
    </row>
    <row r="7389" hidden="1">
      <c r="E7389" s="96"/>
    </row>
    <row r="7390" hidden="1">
      <c r="E7390" s="96"/>
    </row>
    <row r="7391" hidden="1">
      <c r="E7391" s="96"/>
    </row>
    <row r="7392" hidden="1">
      <c r="E7392" s="96"/>
    </row>
    <row r="7393" hidden="1">
      <c r="E7393" s="96"/>
    </row>
    <row r="7394" hidden="1">
      <c r="E7394" s="96"/>
    </row>
    <row r="7395" hidden="1">
      <c r="E7395" s="96"/>
    </row>
    <row r="7396" hidden="1">
      <c r="E7396" s="96"/>
    </row>
    <row r="7397" hidden="1">
      <c r="E7397" s="96"/>
    </row>
    <row r="7398" hidden="1">
      <c r="E7398" s="96"/>
    </row>
    <row r="7399" hidden="1">
      <c r="E7399" s="96"/>
    </row>
    <row r="7400" hidden="1">
      <c r="E7400" s="96"/>
    </row>
    <row r="7401" hidden="1">
      <c r="E7401" s="96"/>
    </row>
    <row r="7402" hidden="1">
      <c r="E7402" s="96"/>
    </row>
    <row r="7403" hidden="1">
      <c r="E7403" s="96"/>
    </row>
    <row r="7404" hidden="1">
      <c r="E7404" s="96"/>
    </row>
    <row r="7405" hidden="1">
      <c r="E7405" s="96"/>
    </row>
    <row r="7406" hidden="1">
      <c r="E7406" s="96"/>
    </row>
    <row r="7407" hidden="1">
      <c r="E7407" s="96"/>
    </row>
    <row r="7408" hidden="1">
      <c r="E7408" s="96"/>
    </row>
    <row r="7409" hidden="1">
      <c r="E7409" s="96"/>
    </row>
    <row r="7410" hidden="1">
      <c r="E7410" s="96"/>
    </row>
    <row r="7411" hidden="1">
      <c r="E7411" s="96"/>
    </row>
    <row r="7412" hidden="1">
      <c r="E7412" s="96"/>
    </row>
    <row r="7413" hidden="1">
      <c r="E7413" s="96"/>
    </row>
    <row r="7414" hidden="1">
      <c r="E7414" s="96"/>
    </row>
    <row r="7415" hidden="1">
      <c r="E7415" s="96"/>
    </row>
    <row r="7416" hidden="1">
      <c r="E7416" s="96"/>
    </row>
    <row r="7417" hidden="1">
      <c r="E7417" s="96"/>
    </row>
    <row r="7418" hidden="1">
      <c r="E7418" s="96"/>
    </row>
    <row r="7419" hidden="1">
      <c r="E7419" s="96"/>
    </row>
    <row r="7420" hidden="1">
      <c r="E7420" s="96"/>
    </row>
    <row r="7421" hidden="1">
      <c r="E7421" s="96"/>
    </row>
    <row r="7422" hidden="1">
      <c r="E7422" s="96"/>
    </row>
    <row r="7423" hidden="1">
      <c r="E7423" s="96"/>
    </row>
    <row r="7424" hidden="1">
      <c r="E7424" s="96"/>
    </row>
    <row r="7425" hidden="1">
      <c r="E7425" s="96"/>
    </row>
    <row r="7426" hidden="1">
      <c r="E7426" s="96"/>
    </row>
    <row r="7427" hidden="1">
      <c r="E7427" s="96"/>
    </row>
    <row r="7428" hidden="1">
      <c r="E7428" s="96"/>
    </row>
    <row r="7429" hidden="1">
      <c r="E7429" s="96"/>
    </row>
    <row r="7430" hidden="1">
      <c r="E7430" s="96"/>
    </row>
    <row r="7431" hidden="1">
      <c r="E7431" s="96"/>
    </row>
    <row r="7432" hidden="1">
      <c r="E7432" s="96"/>
    </row>
    <row r="7433" hidden="1">
      <c r="E7433" s="96"/>
    </row>
    <row r="7434" hidden="1">
      <c r="E7434" s="96"/>
    </row>
    <row r="7435" hidden="1">
      <c r="E7435" s="96"/>
    </row>
    <row r="7436" hidden="1">
      <c r="E7436" s="96"/>
    </row>
    <row r="7437" hidden="1">
      <c r="E7437" s="96"/>
    </row>
    <row r="7438" hidden="1">
      <c r="E7438" s="96"/>
    </row>
    <row r="7439" hidden="1">
      <c r="E7439" s="96"/>
    </row>
    <row r="7440" hidden="1">
      <c r="E7440" s="96"/>
    </row>
    <row r="7441" hidden="1">
      <c r="E7441" s="96"/>
    </row>
    <row r="7442" hidden="1">
      <c r="E7442" s="96"/>
    </row>
    <row r="7443" hidden="1">
      <c r="E7443" s="96"/>
    </row>
    <row r="7444" hidden="1">
      <c r="E7444" s="96"/>
    </row>
    <row r="7445" hidden="1">
      <c r="E7445" s="96"/>
    </row>
    <row r="7446" hidden="1">
      <c r="E7446" s="96"/>
    </row>
    <row r="7447" hidden="1">
      <c r="E7447" s="96"/>
    </row>
    <row r="7448" hidden="1">
      <c r="E7448" s="96"/>
    </row>
    <row r="7449" hidden="1">
      <c r="E7449" s="96"/>
    </row>
    <row r="7450" hidden="1">
      <c r="E7450" s="96"/>
    </row>
    <row r="7451" hidden="1">
      <c r="E7451" s="96"/>
    </row>
    <row r="7452" hidden="1">
      <c r="E7452" s="96"/>
    </row>
    <row r="7453" hidden="1">
      <c r="E7453" s="96"/>
    </row>
    <row r="7454" hidden="1">
      <c r="E7454" s="96"/>
    </row>
    <row r="7455" hidden="1">
      <c r="E7455" s="96"/>
    </row>
    <row r="7456" hidden="1">
      <c r="E7456" s="96"/>
    </row>
    <row r="7457" hidden="1">
      <c r="E7457" s="96"/>
    </row>
    <row r="7458" hidden="1">
      <c r="E7458" s="96"/>
    </row>
    <row r="7459" hidden="1">
      <c r="E7459" s="96"/>
    </row>
    <row r="7460" hidden="1">
      <c r="E7460" s="96"/>
    </row>
    <row r="7461" hidden="1">
      <c r="E7461" s="96"/>
    </row>
    <row r="7462" hidden="1">
      <c r="E7462" s="96"/>
    </row>
    <row r="7463" hidden="1">
      <c r="E7463" s="96"/>
    </row>
    <row r="7464" hidden="1">
      <c r="E7464" s="96"/>
    </row>
    <row r="7465" hidden="1">
      <c r="E7465" s="96"/>
    </row>
    <row r="7466" hidden="1">
      <c r="E7466" s="96"/>
    </row>
    <row r="7467" hidden="1">
      <c r="E7467" s="96"/>
    </row>
    <row r="7468" hidden="1">
      <c r="E7468" s="96"/>
    </row>
    <row r="7469" hidden="1">
      <c r="E7469" s="96"/>
    </row>
    <row r="7470" hidden="1">
      <c r="E7470" s="96"/>
    </row>
    <row r="7471" hidden="1">
      <c r="E7471" s="96"/>
    </row>
    <row r="7472" hidden="1">
      <c r="E7472" s="96"/>
    </row>
    <row r="7473" hidden="1">
      <c r="E7473" s="96"/>
    </row>
    <row r="7474" hidden="1">
      <c r="E7474" s="96"/>
    </row>
    <row r="7475" hidden="1">
      <c r="E7475" s="96"/>
    </row>
    <row r="7476" hidden="1">
      <c r="E7476" s="96"/>
    </row>
    <row r="7477" hidden="1">
      <c r="E7477" s="96"/>
    </row>
    <row r="7478" hidden="1">
      <c r="E7478" s="96"/>
    </row>
    <row r="7479" hidden="1">
      <c r="E7479" s="96"/>
    </row>
    <row r="7480" hidden="1">
      <c r="E7480" s="96"/>
    </row>
    <row r="7481" hidden="1">
      <c r="E7481" s="96"/>
    </row>
    <row r="7482" hidden="1">
      <c r="E7482" s="96"/>
    </row>
    <row r="7483" hidden="1">
      <c r="E7483" s="96"/>
    </row>
    <row r="7484" hidden="1">
      <c r="E7484" s="96"/>
    </row>
    <row r="7485" hidden="1">
      <c r="E7485" s="96"/>
    </row>
    <row r="7486" hidden="1">
      <c r="E7486" s="96"/>
    </row>
    <row r="7487" hidden="1">
      <c r="E7487" s="96"/>
    </row>
    <row r="7488" hidden="1">
      <c r="E7488" s="96"/>
    </row>
    <row r="7489" hidden="1">
      <c r="E7489" s="96"/>
    </row>
    <row r="7490" hidden="1">
      <c r="E7490" s="96"/>
    </row>
    <row r="7491" hidden="1">
      <c r="E7491" s="96"/>
    </row>
    <row r="7492" hidden="1">
      <c r="E7492" s="96"/>
    </row>
    <row r="7493" hidden="1">
      <c r="E7493" s="96"/>
    </row>
    <row r="7494" hidden="1">
      <c r="E7494" s="96"/>
    </row>
    <row r="7495" hidden="1">
      <c r="E7495" s="96"/>
    </row>
    <row r="7496" hidden="1">
      <c r="E7496" s="96"/>
    </row>
    <row r="7497" hidden="1">
      <c r="E7497" s="96"/>
    </row>
    <row r="7498" hidden="1">
      <c r="E7498" s="96"/>
    </row>
    <row r="7499" hidden="1">
      <c r="E7499" s="96"/>
    </row>
    <row r="7500" hidden="1">
      <c r="E7500" s="96"/>
    </row>
    <row r="7501" hidden="1">
      <c r="E7501" s="96"/>
    </row>
    <row r="7502" hidden="1">
      <c r="E7502" s="96"/>
    </row>
    <row r="7503" hidden="1">
      <c r="E7503" s="96"/>
    </row>
    <row r="7504" hidden="1">
      <c r="E7504" s="96"/>
    </row>
    <row r="7505" hidden="1">
      <c r="E7505" s="96"/>
    </row>
    <row r="7506" hidden="1">
      <c r="E7506" s="96"/>
    </row>
    <row r="7507" hidden="1">
      <c r="E7507" s="96"/>
    </row>
    <row r="7508" hidden="1">
      <c r="E7508" s="96"/>
    </row>
    <row r="7509" hidden="1">
      <c r="E7509" s="96"/>
    </row>
    <row r="7510" hidden="1">
      <c r="E7510" s="96"/>
    </row>
    <row r="7511" hidden="1">
      <c r="E7511" s="96"/>
    </row>
    <row r="7512" hidden="1">
      <c r="E7512" s="96"/>
    </row>
    <row r="7513" hidden="1">
      <c r="E7513" s="96"/>
    </row>
    <row r="7514" hidden="1">
      <c r="E7514" s="96"/>
    </row>
    <row r="7515" hidden="1">
      <c r="E7515" s="96"/>
    </row>
    <row r="7516" hidden="1">
      <c r="E7516" s="96"/>
    </row>
    <row r="7517" hidden="1">
      <c r="E7517" s="96"/>
    </row>
    <row r="7518" hidden="1">
      <c r="E7518" s="96"/>
    </row>
    <row r="7519" hidden="1">
      <c r="E7519" s="96"/>
    </row>
    <row r="7520" hidden="1">
      <c r="E7520" s="96"/>
    </row>
    <row r="7521" hidden="1">
      <c r="E7521" s="96"/>
    </row>
    <row r="7522" hidden="1">
      <c r="E7522" s="96"/>
    </row>
    <row r="7523" hidden="1">
      <c r="E7523" s="96"/>
    </row>
    <row r="7524" hidden="1">
      <c r="E7524" s="96"/>
    </row>
    <row r="7525" hidden="1">
      <c r="E7525" s="96"/>
    </row>
    <row r="7526" hidden="1">
      <c r="E7526" s="96"/>
    </row>
    <row r="7527" hidden="1">
      <c r="E7527" s="96"/>
    </row>
    <row r="7528" hidden="1">
      <c r="E7528" s="96"/>
    </row>
    <row r="7529" hidden="1">
      <c r="E7529" s="96"/>
    </row>
    <row r="7530" hidden="1">
      <c r="E7530" s="96"/>
    </row>
    <row r="7531" hidden="1">
      <c r="E7531" s="96"/>
    </row>
    <row r="7532" hidden="1">
      <c r="E7532" s="96"/>
    </row>
    <row r="7533" hidden="1">
      <c r="E7533" s="96"/>
    </row>
    <row r="7534" hidden="1">
      <c r="E7534" s="96"/>
    </row>
    <row r="7535" hidden="1">
      <c r="E7535" s="96"/>
    </row>
    <row r="7536" hidden="1">
      <c r="E7536" s="96"/>
    </row>
    <row r="7537" hidden="1">
      <c r="E7537" s="96"/>
    </row>
    <row r="7538" hidden="1">
      <c r="E7538" s="96"/>
    </row>
    <row r="7539" hidden="1">
      <c r="E7539" s="96"/>
    </row>
    <row r="7540" hidden="1">
      <c r="E7540" s="96"/>
    </row>
    <row r="7541" hidden="1">
      <c r="E7541" s="96"/>
    </row>
    <row r="7542" hidden="1">
      <c r="E7542" s="96"/>
    </row>
    <row r="7543" hidden="1">
      <c r="E7543" s="96"/>
    </row>
    <row r="7544" hidden="1">
      <c r="E7544" s="96"/>
    </row>
    <row r="7545" hidden="1">
      <c r="E7545" s="96"/>
    </row>
    <row r="7546" hidden="1">
      <c r="E7546" s="96"/>
    </row>
    <row r="7547" hidden="1">
      <c r="E7547" s="96"/>
    </row>
    <row r="7548" hidden="1">
      <c r="E7548" s="96"/>
    </row>
    <row r="7549" hidden="1">
      <c r="E7549" s="96"/>
    </row>
    <row r="7550" hidden="1">
      <c r="E7550" s="96"/>
    </row>
    <row r="7551" hidden="1">
      <c r="E7551" s="96"/>
    </row>
    <row r="7552" hidden="1">
      <c r="E7552" s="96"/>
    </row>
    <row r="7553" hidden="1">
      <c r="E7553" s="96"/>
    </row>
    <row r="7554" hidden="1">
      <c r="E7554" s="96"/>
    </row>
    <row r="7555" hidden="1">
      <c r="E7555" s="96"/>
    </row>
    <row r="7556" hidden="1">
      <c r="E7556" s="96"/>
    </row>
    <row r="7557" hidden="1">
      <c r="E7557" s="96"/>
    </row>
    <row r="7558" hidden="1">
      <c r="E7558" s="96"/>
    </row>
    <row r="7559" hidden="1">
      <c r="E7559" s="96"/>
    </row>
    <row r="7560" hidden="1">
      <c r="E7560" s="96"/>
    </row>
    <row r="7561" hidden="1">
      <c r="E7561" s="96"/>
    </row>
    <row r="7562" hidden="1">
      <c r="E7562" s="96"/>
    </row>
    <row r="7563" hidden="1">
      <c r="E7563" s="96"/>
    </row>
    <row r="7564" hidden="1">
      <c r="E7564" s="96"/>
    </row>
    <row r="7565" hidden="1">
      <c r="E7565" s="96"/>
    </row>
    <row r="7566" hidden="1">
      <c r="E7566" s="96"/>
    </row>
    <row r="7567" hidden="1">
      <c r="E7567" s="96"/>
    </row>
    <row r="7568" hidden="1">
      <c r="E7568" s="96"/>
    </row>
    <row r="7569" hidden="1">
      <c r="E7569" s="96"/>
    </row>
    <row r="7570" hidden="1">
      <c r="E7570" s="96"/>
    </row>
    <row r="7571" hidden="1">
      <c r="E7571" s="96"/>
    </row>
    <row r="7572" hidden="1">
      <c r="E7572" s="96"/>
    </row>
    <row r="7573" hidden="1">
      <c r="E7573" s="96"/>
    </row>
    <row r="7574" hidden="1">
      <c r="E7574" s="96"/>
    </row>
    <row r="7575" hidden="1">
      <c r="E7575" s="96"/>
    </row>
    <row r="7576" hidden="1">
      <c r="E7576" s="96"/>
    </row>
    <row r="7577" hidden="1">
      <c r="E7577" s="96"/>
    </row>
    <row r="7578" hidden="1">
      <c r="E7578" s="96"/>
    </row>
    <row r="7579" hidden="1">
      <c r="E7579" s="96"/>
    </row>
    <row r="7580" hidden="1">
      <c r="E7580" s="96"/>
    </row>
    <row r="7581" hidden="1">
      <c r="E7581" s="96"/>
    </row>
    <row r="7582" hidden="1">
      <c r="E7582" s="96"/>
    </row>
    <row r="7583" hidden="1">
      <c r="E7583" s="96"/>
    </row>
    <row r="7584" hidden="1">
      <c r="E7584" s="96"/>
    </row>
    <row r="7585" hidden="1">
      <c r="E7585" s="96"/>
    </row>
    <row r="7586" hidden="1">
      <c r="E7586" s="96"/>
    </row>
    <row r="7587" hidden="1">
      <c r="E7587" s="96"/>
    </row>
    <row r="7588" hidden="1">
      <c r="E7588" s="96"/>
    </row>
    <row r="7589" hidden="1">
      <c r="E7589" s="96"/>
    </row>
    <row r="7590" hidden="1">
      <c r="E7590" s="96"/>
    </row>
    <row r="7591" hidden="1">
      <c r="E7591" s="96"/>
    </row>
    <row r="7592" hidden="1">
      <c r="E7592" s="96"/>
    </row>
    <row r="7593" hidden="1">
      <c r="E7593" s="96"/>
    </row>
    <row r="7594" hidden="1">
      <c r="E7594" s="96"/>
    </row>
    <row r="7595" hidden="1">
      <c r="E7595" s="96"/>
    </row>
    <row r="7596" hidden="1">
      <c r="E7596" s="96"/>
    </row>
    <row r="7597" hidden="1">
      <c r="E7597" s="96"/>
    </row>
    <row r="7598" hidden="1">
      <c r="E7598" s="96"/>
    </row>
    <row r="7599" hidden="1">
      <c r="E7599" s="96"/>
    </row>
    <row r="7600" hidden="1">
      <c r="E7600" s="96"/>
    </row>
    <row r="7601" hidden="1">
      <c r="E7601" s="96"/>
    </row>
    <row r="7602" hidden="1">
      <c r="E7602" s="96"/>
    </row>
    <row r="7603" hidden="1">
      <c r="E7603" s="96"/>
    </row>
    <row r="7604" hidden="1">
      <c r="E7604" s="96"/>
    </row>
    <row r="7605" hidden="1">
      <c r="E7605" s="96"/>
    </row>
    <row r="7606" hidden="1">
      <c r="E7606" s="96"/>
    </row>
    <row r="7607" hidden="1">
      <c r="E7607" s="96"/>
    </row>
    <row r="7608" hidden="1">
      <c r="E7608" s="96"/>
    </row>
    <row r="7609" hidden="1">
      <c r="E7609" s="96"/>
    </row>
    <row r="7610" hidden="1">
      <c r="E7610" s="96"/>
    </row>
    <row r="7611" hidden="1">
      <c r="E7611" s="96"/>
    </row>
    <row r="7612" hidden="1">
      <c r="E7612" s="96"/>
    </row>
    <row r="7613" hidden="1">
      <c r="E7613" s="96"/>
    </row>
    <row r="7614" hidden="1">
      <c r="E7614" s="96"/>
    </row>
    <row r="7615" hidden="1">
      <c r="E7615" s="96"/>
    </row>
    <row r="7616" hidden="1">
      <c r="E7616" s="96"/>
    </row>
    <row r="7617" hidden="1">
      <c r="E7617" s="96"/>
    </row>
    <row r="7618" hidden="1">
      <c r="E7618" s="96"/>
    </row>
    <row r="7619" hidden="1">
      <c r="E7619" s="96"/>
    </row>
    <row r="7620" hidden="1">
      <c r="E7620" s="96"/>
    </row>
    <row r="7621" hidden="1">
      <c r="E7621" s="96"/>
    </row>
    <row r="7622" hidden="1">
      <c r="E7622" s="96"/>
    </row>
    <row r="7623" hidden="1">
      <c r="E7623" s="96"/>
    </row>
    <row r="7624" hidden="1">
      <c r="E7624" s="96"/>
    </row>
    <row r="7625" hidden="1">
      <c r="E7625" s="96"/>
    </row>
    <row r="7626" hidden="1">
      <c r="E7626" s="96"/>
    </row>
    <row r="7627" hidden="1">
      <c r="E7627" s="96"/>
    </row>
    <row r="7628" hidden="1">
      <c r="E7628" s="96"/>
    </row>
    <row r="7629" hidden="1">
      <c r="E7629" s="96"/>
    </row>
    <row r="7630" hidden="1">
      <c r="E7630" s="96"/>
    </row>
    <row r="7631" hidden="1">
      <c r="E7631" s="96"/>
    </row>
    <row r="7632" hidden="1">
      <c r="E7632" s="96"/>
    </row>
    <row r="7633" hidden="1">
      <c r="E7633" s="96"/>
    </row>
    <row r="7634" hidden="1">
      <c r="E7634" s="96"/>
    </row>
    <row r="7635" hidden="1">
      <c r="E7635" s="96"/>
    </row>
    <row r="7636" hidden="1">
      <c r="E7636" s="96"/>
    </row>
    <row r="7637" hidden="1">
      <c r="E7637" s="96"/>
    </row>
    <row r="7638" hidden="1">
      <c r="E7638" s="96"/>
    </row>
    <row r="7639" hidden="1">
      <c r="E7639" s="96"/>
    </row>
    <row r="7640" hidden="1">
      <c r="E7640" s="96"/>
    </row>
    <row r="7641" hidden="1">
      <c r="E7641" s="96"/>
    </row>
    <row r="7642" hidden="1">
      <c r="E7642" s="96"/>
    </row>
    <row r="7643" hidden="1">
      <c r="E7643" s="96"/>
    </row>
    <row r="7644" hidden="1">
      <c r="E7644" s="96"/>
    </row>
    <row r="7645" hidden="1">
      <c r="E7645" s="96"/>
    </row>
    <row r="7646" hidden="1">
      <c r="E7646" s="96"/>
    </row>
    <row r="7647" hidden="1">
      <c r="E7647" s="96"/>
    </row>
    <row r="7648" hidden="1">
      <c r="E7648" s="96"/>
    </row>
    <row r="7649" hidden="1">
      <c r="E7649" s="96"/>
    </row>
    <row r="7650" hidden="1">
      <c r="E7650" s="96"/>
    </row>
    <row r="7651" hidden="1">
      <c r="E7651" s="96"/>
    </row>
    <row r="7652" hidden="1">
      <c r="E7652" s="96"/>
    </row>
    <row r="7653" hidden="1">
      <c r="E7653" s="96"/>
    </row>
    <row r="7654" hidden="1">
      <c r="E7654" s="96"/>
    </row>
    <row r="7655" hidden="1">
      <c r="E7655" s="96"/>
    </row>
    <row r="7656" hidden="1">
      <c r="E7656" s="96"/>
    </row>
    <row r="7657" hidden="1">
      <c r="E7657" s="96"/>
    </row>
    <row r="7658" hidden="1">
      <c r="E7658" s="96"/>
    </row>
    <row r="7659" hidden="1">
      <c r="E7659" s="96"/>
    </row>
    <row r="7660" hidden="1">
      <c r="E7660" s="96"/>
    </row>
    <row r="7661" hidden="1">
      <c r="E7661" s="96"/>
    </row>
    <row r="7662" hidden="1">
      <c r="E7662" s="96"/>
    </row>
    <row r="7663" hidden="1">
      <c r="E7663" s="96"/>
    </row>
    <row r="7664" hidden="1">
      <c r="E7664" s="96"/>
    </row>
    <row r="7665" hidden="1">
      <c r="E7665" s="96"/>
    </row>
    <row r="7666" hidden="1">
      <c r="E7666" s="96"/>
    </row>
    <row r="7667" hidden="1">
      <c r="E7667" s="96"/>
    </row>
    <row r="7668" hidden="1">
      <c r="E7668" s="96"/>
    </row>
    <row r="7669" hidden="1">
      <c r="E7669" s="96"/>
    </row>
    <row r="7670" hidden="1">
      <c r="E7670" s="96"/>
    </row>
    <row r="7671" hidden="1">
      <c r="E7671" s="96"/>
    </row>
    <row r="7672" hidden="1">
      <c r="E7672" s="96"/>
    </row>
    <row r="7673" hidden="1">
      <c r="E7673" s="96"/>
    </row>
    <row r="7674" hidden="1">
      <c r="E7674" s="96"/>
    </row>
    <row r="7675" hidden="1">
      <c r="E7675" s="96"/>
    </row>
    <row r="7676" hidden="1">
      <c r="E7676" s="96"/>
    </row>
    <row r="7677" hidden="1">
      <c r="E7677" s="96"/>
    </row>
    <row r="7678" hidden="1">
      <c r="E7678" s="96"/>
    </row>
    <row r="7679" hidden="1">
      <c r="E7679" s="96"/>
    </row>
    <row r="7680" hidden="1">
      <c r="E7680" s="96"/>
    </row>
    <row r="7681" hidden="1">
      <c r="E7681" s="96"/>
    </row>
    <row r="7682" hidden="1">
      <c r="E7682" s="96"/>
    </row>
    <row r="7683" hidden="1">
      <c r="E7683" s="96"/>
    </row>
    <row r="7684" hidden="1">
      <c r="E7684" s="96"/>
    </row>
    <row r="7685" hidden="1">
      <c r="E7685" s="96"/>
    </row>
    <row r="7686" hidden="1">
      <c r="E7686" s="96"/>
    </row>
    <row r="7687" hidden="1">
      <c r="E7687" s="96"/>
    </row>
    <row r="7688" hidden="1">
      <c r="E7688" s="96"/>
    </row>
    <row r="7689" hidden="1">
      <c r="E7689" s="96"/>
    </row>
    <row r="7690" hidden="1">
      <c r="E7690" s="96"/>
    </row>
    <row r="7691" hidden="1">
      <c r="E7691" s="96"/>
    </row>
    <row r="7692" hidden="1">
      <c r="E7692" s="96"/>
    </row>
    <row r="7693" hidden="1">
      <c r="E7693" s="96"/>
    </row>
    <row r="7694" hidden="1">
      <c r="E7694" s="96"/>
    </row>
    <row r="7695" hidden="1">
      <c r="E7695" s="96"/>
    </row>
    <row r="7696" hidden="1">
      <c r="E7696" s="96"/>
    </row>
    <row r="7697" hidden="1">
      <c r="E7697" s="96"/>
    </row>
    <row r="7698" hidden="1">
      <c r="E7698" s="96"/>
    </row>
    <row r="7699" hidden="1">
      <c r="E7699" s="96"/>
    </row>
    <row r="7700" hidden="1">
      <c r="E7700" s="96"/>
    </row>
    <row r="7701" hidden="1">
      <c r="E7701" s="96"/>
    </row>
    <row r="7702" hidden="1">
      <c r="E7702" s="96"/>
    </row>
    <row r="7703" hidden="1">
      <c r="E7703" s="96"/>
    </row>
    <row r="7704" hidden="1">
      <c r="E7704" s="96"/>
    </row>
    <row r="7705" hidden="1">
      <c r="E7705" s="96"/>
    </row>
    <row r="7706" hidden="1">
      <c r="E7706" s="96"/>
    </row>
    <row r="7707" hidden="1">
      <c r="E7707" s="96"/>
    </row>
    <row r="7708" hidden="1">
      <c r="E7708" s="96"/>
    </row>
    <row r="7709" hidden="1">
      <c r="E7709" s="96"/>
    </row>
    <row r="7710" hidden="1">
      <c r="E7710" s="96"/>
    </row>
    <row r="7711" hidden="1">
      <c r="E7711" s="96"/>
    </row>
    <row r="7712" hidden="1">
      <c r="E7712" s="96"/>
    </row>
    <row r="7713" hidden="1">
      <c r="E7713" s="96"/>
    </row>
    <row r="7714" hidden="1">
      <c r="E7714" s="96"/>
    </row>
    <row r="7715" hidden="1">
      <c r="E7715" s="96"/>
    </row>
    <row r="7716" hidden="1">
      <c r="E7716" s="96"/>
    </row>
    <row r="7717" hidden="1">
      <c r="E7717" s="96"/>
    </row>
    <row r="7718" hidden="1">
      <c r="E7718" s="96"/>
    </row>
    <row r="7719" hidden="1">
      <c r="E7719" s="96"/>
    </row>
    <row r="7720" hidden="1">
      <c r="E7720" s="96"/>
    </row>
    <row r="7721" hidden="1">
      <c r="E7721" s="96"/>
    </row>
    <row r="7722" hidden="1">
      <c r="E7722" s="96"/>
    </row>
    <row r="7723" hidden="1">
      <c r="E7723" s="96"/>
    </row>
    <row r="7724" hidden="1">
      <c r="E7724" s="96"/>
    </row>
    <row r="7725" hidden="1">
      <c r="E7725" s="96"/>
    </row>
    <row r="7726" hidden="1">
      <c r="E7726" s="96"/>
    </row>
    <row r="7727" hidden="1">
      <c r="E7727" s="96"/>
    </row>
    <row r="7728" hidden="1">
      <c r="E7728" s="96"/>
    </row>
    <row r="7729" hidden="1">
      <c r="E7729" s="96"/>
    </row>
    <row r="7730" hidden="1">
      <c r="E7730" s="96"/>
    </row>
    <row r="7731" hidden="1">
      <c r="E7731" s="96"/>
    </row>
    <row r="7732" hidden="1">
      <c r="E7732" s="96"/>
    </row>
    <row r="7733" hidden="1">
      <c r="E7733" s="96"/>
    </row>
    <row r="7734" hidden="1">
      <c r="E7734" s="96"/>
    </row>
    <row r="7735" hidden="1">
      <c r="E7735" s="96"/>
    </row>
    <row r="7736" hidden="1">
      <c r="E7736" s="96"/>
    </row>
    <row r="7737" hidden="1">
      <c r="E7737" s="96"/>
    </row>
    <row r="7738" hidden="1">
      <c r="E7738" s="96"/>
    </row>
    <row r="7739" hidden="1">
      <c r="E7739" s="96"/>
    </row>
    <row r="7740" hidden="1">
      <c r="E7740" s="96"/>
    </row>
    <row r="7741" hidden="1">
      <c r="E7741" s="96"/>
    </row>
    <row r="7742" hidden="1">
      <c r="E7742" s="96"/>
    </row>
    <row r="7743" hidden="1">
      <c r="E7743" s="96"/>
    </row>
    <row r="7744" hidden="1">
      <c r="E7744" s="96"/>
    </row>
    <row r="7745" hidden="1">
      <c r="E7745" s="96"/>
    </row>
    <row r="7746" hidden="1">
      <c r="E7746" s="96"/>
    </row>
    <row r="7747" hidden="1">
      <c r="E7747" s="96"/>
    </row>
    <row r="7748" hidden="1">
      <c r="E7748" s="96"/>
    </row>
    <row r="7749" hidden="1">
      <c r="E7749" s="96"/>
    </row>
    <row r="7750" hidden="1">
      <c r="E7750" s="96"/>
    </row>
    <row r="7751" hidden="1">
      <c r="E7751" s="96"/>
    </row>
    <row r="7752" hidden="1">
      <c r="E7752" s="96"/>
    </row>
    <row r="7753" hidden="1">
      <c r="E7753" s="96"/>
    </row>
    <row r="7754" hidden="1">
      <c r="E7754" s="96"/>
    </row>
    <row r="7755" hidden="1">
      <c r="E7755" s="96"/>
    </row>
    <row r="7756" hidden="1">
      <c r="E7756" s="96"/>
    </row>
    <row r="7757" hidden="1">
      <c r="E7757" s="96"/>
    </row>
    <row r="7758" hidden="1">
      <c r="E7758" s="96"/>
    </row>
    <row r="7759" hidden="1">
      <c r="E7759" s="96"/>
    </row>
    <row r="7760" hidden="1">
      <c r="E7760" s="96"/>
    </row>
    <row r="7761" hidden="1">
      <c r="E7761" s="96"/>
    </row>
    <row r="7762" hidden="1">
      <c r="E7762" s="96"/>
    </row>
    <row r="7763" hidden="1">
      <c r="E7763" s="96"/>
    </row>
    <row r="7764" hidden="1">
      <c r="E7764" s="96"/>
    </row>
    <row r="7765" hidden="1">
      <c r="E7765" s="96"/>
    </row>
    <row r="7766" hidden="1">
      <c r="E7766" s="96"/>
    </row>
    <row r="7767" hidden="1">
      <c r="E7767" s="96"/>
    </row>
    <row r="7768" hidden="1">
      <c r="E7768" s="96"/>
    </row>
    <row r="7769" hidden="1">
      <c r="E7769" s="96"/>
    </row>
    <row r="7770" hidden="1">
      <c r="E7770" s="96"/>
    </row>
    <row r="7771" hidden="1">
      <c r="E7771" s="96"/>
    </row>
    <row r="7772" hidden="1">
      <c r="E7772" s="96"/>
    </row>
    <row r="7773" hidden="1">
      <c r="E7773" s="96"/>
    </row>
    <row r="7774" hidden="1">
      <c r="E7774" s="96"/>
    </row>
    <row r="7775" hidden="1">
      <c r="E7775" s="96"/>
    </row>
    <row r="7776" hidden="1">
      <c r="E7776" s="96"/>
    </row>
    <row r="7777" hidden="1">
      <c r="E7777" s="96"/>
    </row>
    <row r="7778" hidden="1">
      <c r="E7778" s="96"/>
    </row>
    <row r="7779" hidden="1">
      <c r="E7779" s="96"/>
    </row>
    <row r="7780" hidden="1">
      <c r="E7780" s="96"/>
    </row>
    <row r="7781" hidden="1">
      <c r="E7781" s="96"/>
    </row>
    <row r="7782" hidden="1">
      <c r="E7782" s="96"/>
    </row>
    <row r="7783" hidden="1">
      <c r="E7783" s="96"/>
    </row>
    <row r="7784" hidden="1">
      <c r="E7784" s="96"/>
    </row>
    <row r="7785" hidden="1">
      <c r="E7785" s="96"/>
    </row>
    <row r="7786" hidden="1">
      <c r="E7786" s="96"/>
    </row>
    <row r="7787" hidden="1">
      <c r="E7787" s="96"/>
    </row>
    <row r="7788" hidden="1">
      <c r="E7788" s="96"/>
    </row>
    <row r="7789" hidden="1">
      <c r="E7789" s="96"/>
    </row>
    <row r="7790" hidden="1">
      <c r="E7790" s="96"/>
    </row>
    <row r="7791" hidden="1">
      <c r="E7791" s="96"/>
    </row>
    <row r="7792" hidden="1">
      <c r="E7792" s="96"/>
    </row>
    <row r="7793" hidden="1">
      <c r="E7793" s="96"/>
    </row>
    <row r="7794" hidden="1">
      <c r="E7794" s="96"/>
    </row>
    <row r="7795" hidden="1">
      <c r="E7795" s="96"/>
    </row>
    <row r="7796" hidden="1">
      <c r="E7796" s="96"/>
    </row>
    <row r="7797" hidden="1">
      <c r="E7797" s="96"/>
    </row>
    <row r="7798" hidden="1">
      <c r="E7798" s="96"/>
    </row>
    <row r="7799" hidden="1">
      <c r="E7799" s="96"/>
    </row>
    <row r="7800" hidden="1">
      <c r="E7800" s="96"/>
    </row>
    <row r="7801" hidden="1">
      <c r="E7801" s="96"/>
    </row>
    <row r="7802" hidden="1">
      <c r="E7802" s="96"/>
    </row>
    <row r="7803" hidden="1">
      <c r="E7803" s="96"/>
    </row>
    <row r="7804" hidden="1">
      <c r="E7804" s="96"/>
    </row>
    <row r="7805" hidden="1">
      <c r="E7805" s="96"/>
    </row>
    <row r="7806" hidden="1">
      <c r="E7806" s="96"/>
    </row>
    <row r="7807" hidden="1">
      <c r="E7807" s="96"/>
    </row>
    <row r="7808" hidden="1">
      <c r="E7808" s="96"/>
    </row>
    <row r="7809" hidden="1">
      <c r="E7809" s="96"/>
    </row>
    <row r="7810" hidden="1">
      <c r="E7810" s="96"/>
    </row>
    <row r="7811" hidden="1">
      <c r="E7811" s="96"/>
    </row>
    <row r="7812" hidden="1">
      <c r="E7812" s="96"/>
    </row>
    <row r="7813" hidden="1">
      <c r="E7813" s="96"/>
    </row>
    <row r="7814" hidden="1">
      <c r="E7814" s="96"/>
    </row>
    <row r="7815" hidden="1">
      <c r="E7815" s="96"/>
    </row>
    <row r="7816" hidden="1">
      <c r="E7816" s="96"/>
    </row>
    <row r="7817" hidden="1">
      <c r="E7817" s="96"/>
    </row>
    <row r="7818" hidden="1">
      <c r="E7818" s="96"/>
    </row>
    <row r="7819" hidden="1">
      <c r="E7819" s="96"/>
    </row>
    <row r="7820" hidden="1">
      <c r="E7820" s="96"/>
    </row>
    <row r="7821" hidden="1">
      <c r="E7821" s="96"/>
    </row>
    <row r="7822" hidden="1">
      <c r="E7822" s="96"/>
    </row>
    <row r="7823" hidden="1">
      <c r="E7823" s="96"/>
    </row>
    <row r="7824" hidden="1">
      <c r="E7824" s="96"/>
    </row>
    <row r="7825" hidden="1">
      <c r="E7825" s="96"/>
    </row>
    <row r="7826" hidden="1">
      <c r="E7826" s="96"/>
    </row>
    <row r="7827" hidden="1">
      <c r="E7827" s="96"/>
    </row>
    <row r="7828" hidden="1">
      <c r="E7828" s="96"/>
    </row>
    <row r="7829" hidden="1">
      <c r="E7829" s="96"/>
    </row>
    <row r="7830" hidden="1">
      <c r="E7830" s="96"/>
    </row>
    <row r="7831" hidden="1">
      <c r="E7831" s="96"/>
    </row>
    <row r="7832" hidden="1">
      <c r="E7832" s="96"/>
    </row>
    <row r="7833" hidden="1">
      <c r="E7833" s="96"/>
    </row>
    <row r="7834" hidden="1">
      <c r="E7834" s="96"/>
    </row>
    <row r="7835" hidden="1">
      <c r="E7835" s="96"/>
    </row>
    <row r="7836" hidden="1">
      <c r="E7836" s="96"/>
    </row>
    <row r="7837" hidden="1">
      <c r="E7837" s="96"/>
    </row>
    <row r="7838" hidden="1">
      <c r="E7838" s="96"/>
    </row>
    <row r="7839" hidden="1">
      <c r="E7839" s="96"/>
    </row>
    <row r="7840" hidden="1">
      <c r="E7840" s="96"/>
    </row>
    <row r="7841" hidden="1">
      <c r="E7841" s="96"/>
    </row>
    <row r="7842" hidden="1">
      <c r="E7842" s="96"/>
    </row>
    <row r="7843" hidden="1">
      <c r="E7843" s="96"/>
    </row>
    <row r="7844" hidden="1">
      <c r="E7844" s="96"/>
    </row>
    <row r="7845" hidden="1">
      <c r="E7845" s="96"/>
    </row>
    <row r="7846" hidden="1">
      <c r="E7846" s="96"/>
    </row>
    <row r="7847" hidden="1">
      <c r="E7847" s="96"/>
    </row>
    <row r="7848" hidden="1">
      <c r="E7848" s="96"/>
    </row>
    <row r="7849" hidden="1">
      <c r="E7849" s="96"/>
    </row>
    <row r="7850" hidden="1">
      <c r="E7850" s="96"/>
    </row>
    <row r="7851" hidden="1">
      <c r="E7851" s="96"/>
    </row>
    <row r="7852" hidden="1">
      <c r="E7852" s="96"/>
    </row>
    <row r="7853" hidden="1">
      <c r="E7853" s="96"/>
    </row>
    <row r="7854" hidden="1">
      <c r="E7854" s="96"/>
    </row>
    <row r="7855" hidden="1">
      <c r="E7855" s="96"/>
    </row>
    <row r="7856" hidden="1">
      <c r="E7856" s="96"/>
    </row>
    <row r="7857" hidden="1">
      <c r="E7857" s="96"/>
    </row>
    <row r="7858" hidden="1">
      <c r="E7858" s="96"/>
    </row>
    <row r="7859" hidden="1">
      <c r="E7859" s="96"/>
    </row>
    <row r="7860" hidden="1">
      <c r="E7860" s="96"/>
    </row>
    <row r="7861" hidden="1">
      <c r="E7861" s="96"/>
    </row>
    <row r="7862" hidden="1">
      <c r="E7862" s="96"/>
    </row>
    <row r="7863" hidden="1">
      <c r="E7863" s="96"/>
    </row>
    <row r="7864" hidden="1">
      <c r="E7864" s="96"/>
    </row>
    <row r="7865" hidden="1">
      <c r="E7865" s="96"/>
    </row>
    <row r="7866" hidden="1">
      <c r="E7866" s="96"/>
    </row>
    <row r="7867" hidden="1">
      <c r="E7867" s="96"/>
    </row>
    <row r="7868" hidden="1">
      <c r="E7868" s="96"/>
    </row>
    <row r="7869" hidden="1">
      <c r="E7869" s="96"/>
    </row>
    <row r="7870" hidden="1">
      <c r="E7870" s="96"/>
    </row>
    <row r="7871" hidden="1">
      <c r="E7871" s="96"/>
    </row>
    <row r="7872" hidden="1">
      <c r="E7872" s="96"/>
    </row>
    <row r="7873" hidden="1">
      <c r="E7873" s="96"/>
    </row>
    <row r="7874" hidden="1">
      <c r="E7874" s="96"/>
    </row>
    <row r="7875" hidden="1">
      <c r="E7875" s="96"/>
    </row>
    <row r="7876" hidden="1">
      <c r="E7876" s="96"/>
    </row>
    <row r="7877" hidden="1">
      <c r="E7877" s="96"/>
    </row>
    <row r="7878" hidden="1">
      <c r="E7878" s="96"/>
    </row>
    <row r="7879" hidden="1">
      <c r="E7879" s="96"/>
    </row>
    <row r="7880" hidden="1">
      <c r="E7880" s="96"/>
    </row>
    <row r="7881" hidden="1">
      <c r="E7881" s="96"/>
    </row>
    <row r="7882" hidden="1">
      <c r="E7882" s="96"/>
    </row>
    <row r="7883" hidden="1">
      <c r="E7883" s="96"/>
    </row>
    <row r="7884" hidden="1">
      <c r="E7884" s="96"/>
    </row>
    <row r="7885" hidden="1">
      <c r="E7885" s="96"/>
    </row>
    <row r="7886" hidden="1">
      <c r="E7886" s="96"/>
    </row>
    <row r="7887" hidden="1">
      <c r="E7887" s="96"/>
    </row>
    <row r="7888" hidden="1">
      <c r="E7888" s="96"/>
    </row>
    <row r="7889" hidden="1">
      <c r="E7889" s="96"/>
    </row>
    <row r="7890" hidden="1">
      <c r="E7890" s="96"/>
    </row>
    <row r="7891" hidden="1">
      <c r="E7891" s="96"/>
    </row>
    <row r="7892" hidden="1">
      <c r="E7892" s="96"/>
    </row>
    <row r="7893" hidden="1">
      <c r="E7893" s="96"/>
    </row>
    <row r="7894" hidden="1">
      <c r="E7894" s="96"/>
    </row>
    <row r="7895" hidden="1">
      <c r="E7895" s="96"/>
    </row>
    <row r="7896" hidden="1">
      <c r="E7896" s="96"/>
    </row>
    <row r="7897" hidden="1">
      <c r="E7897" s="96"/>
    </row>
    <row r="7898" hidden="1">
      <c r="E7898" s="96"/>
    </row>
    <row r="7899" hidden="1">
      <c r="E7899" s="96"/>
    </row>
    <row r="7900" hidden="1">
      <c r="E7900" s="96"/>
    </row>
    <row r="7901" hidden="1">
      <c r="E7901" s="96"/>
    </row>
    <row r="7902" hidden="1">
      <c r="E7902" s="96"/>
    </row>
    <row r="7903" hidden="1">
      <c r="E7903" s="96"/>
    </row>
    <row r="7904" hidden="1">
      <c r="E7904" s="96"/>
    </row>
    <row r="7905" hidden="1">
      <c r="E7905" s="96"/>
    </row>
    <row r="7906" hidden="1">
      <c r="E7906" s="96"/>
    </row>
    <row r="7907" hidden="1">
      <c r="E7907" s="96"/>
    </row>
    <row r="7908" hidden="1">
      <c r="E7908" s="96"/>
    </row>
    <row r="7909" hidden="1">
      <c r="E7909" s="96"/>
    </row>
    <row r="7910" hidden="1">
      <c r="E7910" s="96"/>
    </row>
    <row r="7911" hidden="1">
      <c r="E7911" s="96"/>
    </row>
    <row r="7912" hidden="1">
      <c r="E7912" s="96"/>
    </row>
    <row r="7913" hidden="1">
      <c r="E7913" s="96"/>
    </row>
    <row r="7914" hidden="1">
      <c r="E7914" s="96"/>
    </row>
    <row r="7915" hidden="1">
      <c r="E7915" s="96"/>
    </row>
    <row r="7916" hidden="1">
      <c r="E7916" s="96"/>
    </row>
    <row r="7917" hidden="1">
      <c r="E7917" s="96"/>
    </row>
    <row r="7918" hidden="1">
      <c r="E7918" s="96"/>
    </row>
    <row r="7919" hidden="1">
      <c r="E7919" s="96"/>
    </row>
    <row r="7920" hidden="1">
      <c r="E7920" s="96"/>
    </row>
    <row r="7921" hidden="1">
      <c r="E7921" s="96"/>
    </row>
    <row r="7922" hidden="1">
      <c r="E7922" s="96"/>
    </row>
    <row r="7923" hidden="1">
      <c r="E7923" s="96"/>
    </row>
    <row r="7924" hidden="1">
      <c r="E7924" s="96"/>
    </row>
    <row r="7925" hidden="1">
      <c r="E7925" s="96"/>
    </row>
    <row r="7926" hidden="1">
      <c r="E7926" s="96"/>
    </row>
    <row r="7927" hidden="1">
      <c r="E7927" s="96"/>
    </row>
    <row r="7928" hidden="1">
      <c r="E7928" s="96"/>
    </row>
    <row r="7929" hidden="1">
      <c r="E7929" s="96"/>
    </row>
    <row r="7930" hidden="1">
      <c r="E7930" s="96"/>
    </row>
    <row r="7931" hidden="1">
      <c r="E7931" s="96"/>
    </row>
    <row r="7932" hidden="1">
      <c r="E7932" s="96"/>
    </row>
    <row r="7933" hidden="1">
      <c r="E7933" s="96"/>
    </row>
    <row r="7934" hidden="1">
      <c r="E7934" s="96"/>
    </row>
    <row r="7935" hidden="1">
      <c r="E7935" s="96"/>
    </row>
    <row r="7936" hidden="1">
      <c r="E7936" s="96"/>
    </row>
    <row r="7937" hidden="1">
      <c r="E7937" s="96"/>
    </row>
    <row r="7938" hidden="1">
      <c r="E7938" s="96"/>
    </row>
    <row r="7939" hidden="1">
      <c r="E7939" s="96"/>
    </row>
    <row r="7940" hidden="1">
      <c r="E7940" s="96"/>
    </row>
    <row r="7941" hidden="1">
      <c r="E7941" s="96"/>
    </row>
    <row r="7942" hidden="1">
      <c r="E7942" s="96"/>
    </row>
    <row r="7943" hidden="1">
      <c r="E7943" s="96"/>
    </row>
    <row r="7944" hidden="1">
      <c r="E7944" s="96"/>
    </row>
    <row r="7945" hidden="1">
      <c r="E7945" s="96"/>
    </row>
    <row r="7946" hidden="1">
      <c r="E7946" s="96"/>
    </row>
    <row r="7947" hidden="1">
      <c r="E7947" s="96"/>
    </row>
    <row r="7948" hidden="1">
      <c r="E7948" s="96"/>
    </row>
    <row r="7949" hidden="1">
      <c r="E7949" s="96"/>
    </row>
    <row r="7950" hidden="1">
      <c r="E7950" s="96"/>
    </row>
    <row r="7951" hidden="1">
      <c r="E7951" s="96"/>
    </row>
    <row r="7952" hidden="1">
      <c r="E7952" s="96"/>
    </row>
    <row r="7953" hidden="1">
      <c r="E7953" s="96"/>
    </row>
    <row r="7954" hidden="1">
      <c r="E7954" s="96"/>
    </row>
    <row r="7955" hidden="1">
      <c r="E7955" s="96"/>
    </row>
    <row r="7956" hidden="1">
      <c r="E7956" s="96"/>
    </row>
    <row r="7957" hidden="1">
      <c r="E7957" s="96"/>
    </row>
    <row r="7958" hidden="1">
      <c r="E7958" s="96"/>
    </row>
    <row r="7959" hidden="1">
      <c r="E7959" s="96"/>
    </row>
    <row r="7960" hidden="1">
      <c r="E7960" s="96"/>
    </row>
    <row r="7961" hidden="1">
      <c r="E7961" s="96"/>
    </row>
    <row r="7962" hidden="1">
      <c r="E7962" s="96"/>
    </row>
    <row r="7963" hidden="1">
      <c r="E7963" s="96"/>
    </row>
    <row r="7964" hidden="1">
      <c r="E7964" s="96"/>
    </row>
    <row r="7965" hidden="1">
      <c r="E7965" s="96"/>
    </row>
    <row r="7966" hidden="1">
      <c r="E7966" s="96"/>
    </row>
    <row r="7967" hidden="1">
      <c r="E7967" s="96"/>
    </row>
    <row r="7968" hidden="1">
      <c r="E7968" s="96"/>
    </row>
    <row r="7969" hidden="1">
      <c r="E7969" s="96"/>
    </row>
    <row r="7970" hidden="1">
      <c r="E7970" s="96"/>
    </row>
    <row r="7971" hidden="1">
      <c r="E7971" s="96"/>
    </row>
    <row r="7972" hidden="1">
      <c r="E7972" s="96"/>
    </row>
    <row r="7973" hidden="1">
      <c r="E7973" s="96"/>
    </row>
    <row r="7974" hidden="1">
      <c r="E7974" s="96"/>
    </row>
    <row r="7975" hidden="1">
      <c r="E7975" s="96"/>
    </row>
    <row r="7976" hidden="1">
      <c r="E7976" s="96"/>
    </row>
    <row r="7977" hidden="1">
      <c r="E7977" s="96"/>
    </row>
    <row r="7978" hidden="1">
      <c r="E7978" s="96"/>
    </row>
    <row r="7979" hidden="1">
      <c r="E7979" s="96"/>
    </row>
    <row r="7980" hidden="1">
      <c r="E7980" s="96"/>
    </row>
    <row r="7981" hidden="1">
      <c r="E7981" s="96"/>
    </row>
    <row r="7982" hidden="1">
      <c r="E7982" s="96"/>
    </row>
    <row r="7983" hidden="1">
      <c r="E7983" s="96"/>
    </row>
    <row r="7984" hidden="1">
      <c r="E7984" s="96"/>
    </row>
    <row r="7985" hidden="1">
      <c r="E7985" s="96"/>
    </row>
    <row r="7986" hidden="1">
      <c r="E7986" s="96"/>
    </row>
    <row r="7987" hidden="1">
      <c r="E7987" s="96"/>
    </row>
    <row r="7988" hidden="1">
      <c r="E7988" s="96"/>
    </row>
    <row r="7989" hidden="1">
      <c r="E7989" s="96"/>
    </row>
    <row r="7990" hidden="1">
      <c r="E7990" s="96"/>
    </row>
    <row r="7991" hidden="1">
      <c r="E7991" s="96"/>
    </row>
    <row r="7992" hidden="1">
      <c r="E7992" s="96"/>
    </row>
    <row r="7993" hidden="1">
      <c r="E7993" s="96"/>
    </row>
    <row r="7994" hidden="1">
      <c r="E7994" s="96"/>
    </row>
    <row r="7995" hidden="1">
      <c r="E7995" s="96"/>
    </row>
    <row r="7996" hidden="1">
      <c r="E7996" s="96"/>
    </row>
    <row r="7997" hidden="1">
      <c r="E7997" s="96"/>
    </row>
    <row r="7998" hidden="1">
      <c r="E7998" s="96"/>
    </row>
    <row r="7999" hidden="1">
      <c r="E7999" s="96"/>
    </row>
    <row r="8000" hidden="1">
      <c r="E8000" s="96"/>
    </row>
    <row r="8001" hidden="1">
      <c r="E8001" s="96"/>
    </row>
    <row r="8002" hidden="1">
      <c r="E8002" s="96"/>
    </row>
    <row r="8003" hidden="1">
      <c r="E8003" s="96"/>
    </row>
    <row r="8004" hidden="1">
      <c r="E8004" s="96"/>
    </row>
    <row r="8005" hidden="1">
      <c r="E8005" s="96"/>
    </row>
    <row r="8006" hidden="1">
      <c r="E8006" s="96"/>
    </row>
    <row r="8007" hidden="1">
      <c r="E8007" s="96"/>
    </row>
    <row r="8008" hidden="1">
      <c r="E8008" s="96"/>
    </row>
    <row r="8009" hidden="1">
      <c r="E8009" s="96"/>
    </row>
    <row r="8010" hidden="1">
      <c r="E8010" s="96"/>
    </row>
    <row r="8011" hidden="1">
      <c r="E8011" s="96"/>
    </row>
    <row r="8012" hidden="1">
      <c r="E8012" s="96"/>
    </row>
    <row r="8013" hidden="1">
      <c r="E8013" s="96"/>
    </row>
    <row r="8014" hidden="1">
      <c r="E8014" s="96"/>
    </row>
    <row r="8015" hidden="1">
      <c r="E8015" s="96"/>
    </row>
    <row r="8016" hidden="1">
      <c r="E8016" s="96"/>
    </row>
    <row r="8017" hidden="1">
      <c r="E8017" s="96"/>
    </row>
    <row r="8018" hidden="1">
      <c r="E8018" s="96"/>
    </row>
    <row r="8019" hidden="1">
      <c r="E8019" s="96"/>
    </row>
    <row r="8020" hidden="1">
      <c r="E8020" s="96"/>
    </row>
    <row r="8021" hidden="1">
      <c r="E8021" s="96"/>
    </row>
    <row r="8022" hidden="1">
      <c r="E8022" s="96"/>
    </row>
    <row r="8023" hidden="1">
      <c r="E8023" s="96"/>
    </row>
    <row r="8024" hidden="1">
      <c r="E8024" s="96"/>
    </row>
    <row r="8025" hidden="1">
      <c r="E8025" s="96"/>
    </row>
    <row r="8026" hidden="1">
      <c r="E8026" s="96"/>
    </row>
    <row r="8027" hidden="1">
      <c r="E8027" s="96"/>
    </row>
    <row r="8028" hidden="1">
      <c r="E8028" s="96"/>
    </row>
    <row r="8029" hidden="1">
      <c r="E8029" s="96"/>
    </row>
    <row r="8030" hidden="1">
      <c r="E8030" s="96"/>
    </row>
    <row r="8031" hidden="1">
      <c r="E8031" s="96"/>
    </row>
    <row r="8032" hidden="1">
      <c r="E8032" s="96"/>
    </row>
    <row r="8033" hidden="1">
      <c r="E8033" s="96"/>
    </row>
    <row r="8034" hidden="1">
      <c r="E8034" s="96"/>
    </row>
    <row r="8035" hidden="1">
      <c r="E8035" s="96"/>
    </row>
    <row r="8036" hidden="1">
      <c r="E8036" s="96"/>
    </row>
    <row r="8037" hidden="1">
      <c r="E8037" s="96"/>
    </row>
    <row r="8038" hidden="1">
      <c r="E8038" s="96"/>
    </row>
    <row r="8039" hidden="1">
      <c r="E8039" s="96"/>
    </row>
    <row r="8040" hidden="1">
      <c r="E8040" s="96"/>
    </row>
    <row r="8041" hidden="1">
      <c r="E8041" s="96"/>
    </row>
    <row r="8042" hidden="1">
      <c r="E8042" s="96"/>
    </row>
    <row r="8043" hidden="1">
      <c r="E8043" s="96"/>
    </row>
    <row r="8044" hidden="1">
      <c r="E8044" s="96"/>
    </row>
    <row r="8045" hidden="1">
      <c r="E8045" s="96"/>
    </row>
    <row r="8046" hidden="1">
      <c r="E8046" s="96"/>
    </row>
    <row r="8047" hidden="1">
      <c r="E8047" s="96"/>
    </row>
    <row r="8048" hidden="1">
      <c r="E8048" s="96"/>
    </row>
    <row r="8049" hidden="1">
      <c r="E8049" s="96"/>
    </row>
    <row r="8050" hidden="1">
      <c r="E8050" s="96"/>
    </row>
    <row r="8051" hidden="1">
      <c r="E8051" s="96"/>
    </row>
    <row r="8052" hidden="1">
      <c r="E8052" s="96"/>
    </row>
    <row r="8053" hidden="1">
      <c r="E8053" s="96"/>
    </row>
    <row r="8054" hidden="1">
      <c r="E8054" s="96"/>
    </row>
    <row r="8055" hidden="1">
      <c r="E8055" s="96"/>
    </row>
    <row r="8056" hidden="1">
      <c r="E8056" s="96"/>
    </row>
    <row r="8057" hidden="1">
      <c r="E8057" s="96"/>
    </row>
    <row r="8058" hidden="1">
      <c r="E8058" s="96"/>
    </row>
    <row r="8059" hidden="1">
      <c r="E8059" s="96"/>
    </row>
    <row r="8060" hidden="1">
      <c r="E8060" s="96"/>
    </row>
    <row r="8061" hidden="1">
      <c r="E8061" s="96"/>
    </row>
    <row r="8062" hidden="1">
      <c r="E8062" s="96"/>
    </row>
    <row r="8063" hidden="1">
      <c r="E8063" s="96"/>
    </row>
    <row r="8064" hidden="1">
      <c r="E8064" s="96"/>
    </row>
    <row r="8065" hidden="1">
      <c r="E8065" s="96"/>
    </row>
    <row r="8066" hidden="1">
      <c r="E8066" s="96"/>
    </row>
    <row r="8067" hidden="1">
      <c r="E8067" s="96"/>
    </row>
    <row r="8068" hidden="1">
      <c r="E8068" s="96"/>
    </row>
    <row r="8069" hidden="1">
      <c r="E8069" s="96"/>
    </row>
    <row r="8070" hidden="1">
      <c r="E8070" s="96"/>
    </row>
    <row r="8071" hidden="1">
      <c r="E8071" s="96"/>
    </row>
    <row r="8072" hidden="1">
      <c r="E8072" s="96"/>
    </row>
    <row r="8073" hidden="1">
      <c r="E8073" s="96"/>
    </row>
    <row r="8074" hidden="1">
      <c r="E8074" s="96"/>
    </row>
    <row r="8075" hidden="1">
      <c r="E8075" s="96"/>
    </row>
    <row r="8076" hidden="1">
      <c r="E8076" s="96"/>
    </row>
    <row r="8077" hidden="1">
      <c r="E8077" s="96"/>
    </row>
    <row r="8078" hidden="1">
      <c r="E8078" s="96"/>
    </row>
    <row r="8079" hidden="1">
      <c r="E8079" s="96"/>
    </row>
    <row r="8080" hidden="1">
      <c r="E8080" s="96"/>
    </row>
    <row r="8081" hidden="1">
      <c r="E8081" s="96"/>
    </row>
    <row r="8082" hidden="1">
      <c r="E8082" s="96"/>
    </row>
    <row r="8083" hidden="1">
      <c r="E8083" s="96"/>
    </row>
    <row r="8084" hidden="1">
      <c r="E8084" s="96"/>
    </row>
    <row r="8085" hidden="1">
      <c r="E8085" s="96"/>
    </row>
    <row r="8086" hidden="1">
      <c r="E8086" s="96"/>
    </row>
    <row r="8087" hidden="1">
      <c r="E8087" s="96"/>
    </row>
    <row r="8088" hidden="1">
      <c r="E8088" s="96"/>
    </row>
    <row r="8089" hidden="1">
      <c r="E8089" s="96"/>
    </row>
    <row r="8090" hidden="1">
      <c r="E8090" s="96"/>
    </row>
    <row r="8091" hidden="1">
      <c r="E8091" s="96"/>
    </row>
    <row r="8092" hidden="1">
      <c r="E8092" s="96"/>
    </row>
    <row r="8093" hidden="1">
      <c r="E8093" s="96"/>
    </row>
    <row r="8094" hidden="1">
      <c r="E8094" s="96"/>
    </row>
    <row r="8095" hidden="1">
      <c r="E8095" s="96"/>
    </row>
    <row r="8096" hidden="1">
      <c r="E8096" s="96"/>
    </row>
    <row r="8097" hidden="1">
      <c r="E8097" s="96"/>
    </row>
    <row r="8098" hidden="1">
      <c r="E8098" s="96"/>
    </row>
    <row r="8099" hidden="1">
      <c r="E8099" s="96"/>
    </row>
    <row r="8100" hidden="1">
      <c r="E8100" s="96"/>
    </row>
    <row r="8101" hidden="1">
      <c r="E8101" s="96"/>
    </row>
    <row r="8102" hidden="1">
      <c r="E8102" s="96"/>
    </row>
    <row r="8103" hidden="1">
      <c r="E8103" s="96"/>
    </row>
    <row r="8104" hidden="1">
      <c r="E8104" s="96"/>
    </row>
    <row r="8105" hidden="1">
      <c r="E8105" s="96"/>
    </row>
    <row r="8106" hidden="1">
      <c r="E8106" s="96"/>
    </row>
    <row r="8107" hidden="1">
      <c r="E8107" s="96"/>
    </row>
    <row r="8108" hidden="1">
      <c r="E8108" s="96"/>
    </row>
    <row r="8109" hidden="1">
      <c r="E8109" s="96"/>
    </row>
    <row r="8110" hidden="1">
      <c r="E8110" s="96"/>
    </row>
    <row r="8111" hidden="1">
      <c r="E8111" s="96"/>
    </row>
    <row r="8112" hidden="1">
      <c r="E8112" s="96"/>
    </row>
    <row r="8113" hidden="1">
      <c r="E8113" s="96"/>
    </row>
    <row r="8114" hidden="1">
      <c r="E8114" s="96"/>
    </row>
    <row r="8115" hidden="1">
      <c r="E8115" s="96"/>
    </row>
    <row r="8116" hidden="1">
      <c r="E8116" s="96"/>
    </row>
    <row r="8117" hidden="1">
      <c r="E8117" s="96"/>
    </row>
    <row r="8118" hidden="1">
      <c r="E8118" s="96"/>
    </row>
    <row r="8119" hidden="1">
      <c r="E8119" s="96"/>
    </row>
    <row r="8120" hidden="1">
      <c r="E8120" s="96"/>
    </row>
    <row r="8121" hidden="1">
      <c r="E8121" s="96"/>
    </row>
    <row r="8122" hidden="1">
      <c r="E8122" s="96"/>
    </row>
    <row r="8123" hidden="1">
      <c r="E8123" s="96"/>
    </row>
    <row r="8124" hidden="1">
      <c r="E8124" s="96"/>
    </row>
    <row r="8125" hidden="1">
      <c r="E8125" s="96"/>
    </row>
    <row r="8126" hidden="1">
      <c r="E8126" s="96"/>
    </row>
    <row r="8127" hidden="1">
      <c r="E8127" s="96"/>
    </row>
    <row r="8128" hidden="1">
      <c r="E8128" s="96"/>
    </row>
    <row r="8129" hidden="1">
      <c r="E8129" s="96"/>
    </row>
    <row r="8130" hidden="1">
      <c r="E8130" s="96"/>
    </row>
    <row r="8131" hidden="1">
      <c r="E8131" s="96"/>
    </row>
    <row r="8132" hidden="1">
      <c r="E8132" s="96"/>
    </row>
    <row r="8133" hidden="1">
      <c r="E8133" s="96"/>
    </row>
    <row r="8134" hidden="1">
      <c r="E8134" s="96"/>
    </row>
    <row r="8135" hidden="1">
      <c r="E8135" s="96"/>
    </row>
    <row r="8136" hidden="1">
      <c r="E8136" s="96"/>
    </row>
    <row r="8137" hidden="1">
      <c r="E8137" s="96"/>
    </row>
    <row r="8138" hidden="1">
      <c r="E8138" s="96"/>
    </row>
    <row r="8139" hidden="1">
      <c r="E8139" s="96"/>
    </row>
    <row r="8140" hidden="1">
      <c r="E8140" s="96"/>
    </row>
    <row r="8141" hidden="1">
      <c r="E8141" s="96"/>
    </row>
    <row r="8142" hidden="1">
      <c r="E8142" s="96"/>
    </row>
    <row r="8143" hidden="1">
      <c r="E8143" s="96"/>
    </row>
    <row r="8144" hidden="1">
      <c r="E8144" s="96"/>
    </row>
    <row r="8145" hidden="1">
      <c r="E8145" s="96"/>
    </row>
    <row r="8146" hidden="1">
      <c r="E8146" s="96"/>
    </row>
    <row r="8147" hidden="1">
      <c r="E8147" s="96"/>
    </row>
    <row r="8148" hidden="1">
      <c r="E8148" s="96"/>
    </row>
    <row r="8149" hidden="1">
      <c r="E8149" s="96"/>
    </row>
    <row r="8150" hidden="1">
      <c r="E8150" s="96"/>
    </row>
    <row r="8151" hidden="1">
      <c r="E8151" s="96"/>
    </row>
    <row r="8152" hidden="1">
      <c r="E8152" s="96"/>
    </row>
    <row r="8153" hidden="1">
      <c r="E8153" s="96"/>
    </row>
    <row r="8154" hidden="1">
      <c r="E8154" s="96"/>
    </row>
    <row r="8155" hidden="1">
      <c r="E8155" s="96"/>
    </row>
    <row r="8156" hidden="1">
      <c r="E8156" s="96"/>
    </row>
    <row r="8157" hidden="1">
      <c r="E8157" s="96"/>
    </row>
    <row r="8158" hidden="1">
      <c r="E8158" s="96"/>
    </row>
    <row r="8159" hidden="1">
      <c r="E8159" s="96"/>
    </row>
    <row r="8160" hidden="1">
      <c r="E8160" s="96"/>
    </row>
    <row r="8161" hidden="1">
      <c r="E8161" s="96"/>
    </row>
    <row r="8162" hidden="1">
      <c r="E8162" s="96"/>
    </row>
    <row r="8163" hidden="1">
      <c r="E8163" s="96"/>
    </row>
    <row r="8164" hidden="1">
      <c r="E8164" s="96"/>
    </row>
    <row r="8165" hidden="1">
      <c r="E8165" s="96"/>
    </row>
    <row r="8166" hidden="1">
      <c r="E8166" s="96"/>
    </row>
    <row r="8167" hidden="1">
      <c r="E8167" s="96"/>
    </row>
    <row r="8168" hidden="1">
      <c r="E8168" s="96"/>
    </row>
    <row r="8169" hidden="1">
      <c r="E8169" s="96"/>
    </row>
    <row r="8170" hidden="1">
      <c r="E8170" s="96"/>
    </row>
    <row r="8171" hidden="1">
      <c r="E8171" s="96"/>
    </row>
    <row r="8172" hidden="1">
      <c r="E8172" s="96"/>
    </row>
    <row r="8173" hidden="1">
      <c r="E8173" s="96"/>
    </row>
    <row r="8174" hidden="1">
      <c r="E8174" s="96"/>
    </row>
    <row r="8175" hidden="1">
      <c r="E8175" s="96"/>
    </row>
    <row r="8176" hidden="1">
      <c r="E8176" s="96"/>
    </row>
    <row r="8177" hidden="1">
      <c r="E8177" s="96"/>
    </row>
    <row r="8178" hidden="1">
      <c r="E8178" s="96"/>
    </row>
    <row r="8179" hidden="1">
      <c r="E8179" s="96"/>
    </row>
    <row r="8180" hidden="1">
      <c r="E8180" s="96"/>
    </row>
    <row r="8181" hidden="1">
      <c r="E8181" s="96"/>
    </row>
    <row r="8182" hidden="1">
      <c r="E8182" s="96"/>
    </row>
    <row r="8183" hidden="1">
      <c r="E8183" s="96"/>
    </row>
    <row r="8184" hidden="1">
      <c r="E8184" s="96"/>
    </row>
    <row r="8185" hidden="1">
      <c r="E8185" s="96"/>
    </row>
    <row r="8186" hidden="1">
      <c r="E8186" s="96"/>
    </row>
    <row r="8187" hidden="1">
      <c r="E8187" s="96"/>
    </row>
    <row r="8188" hidden="1">
      <c r="E8188" s="96"/>
    </row>
    <row r="8189" hidden="1">
      <c r="E8189" s="96"/>
    </row>
    <row r="8190" hidden="1">
      <c r="E8190" s="96"/>
    </row>
    <row r="8191" hidden="1">
      <c r="E8191" s="96"/>
    </row>
    <row r="8192" hidden="1">
      <c r="E8192" s="96"/>
    </row>
    <row r="8193" hidden="1">
      <c r="E8193" s="96"/>
    </row>
    <row r="8194" hidden="1">
      <c r="E8194" s="96"/>
    </row>
    <row r="8195" hidden="1">
      <c r="E8195" s="96"/>
    </row>
    <row r="8196" hidden="1">
      <c r="E8196" s="96"/>
    </row>
    <row r="8197" hidden="1">
      <c r="E8197" s="96"/>
    </row>
    <row r="8198" hidden="1">
      <c r="E8198" s="96"/>
    </row>
    <row r="8199" hidden="1">
      <c r="E8199" s="96"/>
    </row>
    <row r="8200" hidden="1">
      <c r="E8200" s="96"/>
    </row>
    <row r="8201" hidden="1">
      <c r="E8201" s="96"/>
    </row>
    <row r="8202" hidden="1">
      <c r="E8202" s="96"/>
    </row>
    <row r="8203" hidden="1">
      <c r="E8203" s="96"/>
    </row>
    <row r="8204" hidden="1">
      <c r="E8204" s="96"/>
    </row>
    <row r="8205" hidden="1">
      <c r="E8205" s="96"/>
    </row>
    <row r="8206" hidden="1">
      <c r="E8206" s="96"/>
    </row>
    <row r="8207" hidden="1">
      <c r="E8207" s="96"/>
    </row>
    <row r="8208" hidden="1">
      <c r="E8208" s="96"/>
    </row>
    <row r="8209" hidden="1">
      <c r="E8209" s="96"/>
    </row>
    <row r="8210" hidden="1">
      <c r="E8210" s="96"/>
    </row>
    <row r="8211" hidden="1">
      <c r="E8211" s="96"/>
    </row>
    <row r="8212" hidden="1">
      <c r="E8212" s="96"/>
    </row>
    <row r="8213" hidden="1">
      <c r="E8213" s="96"/>
    </row>
    <row r="8214" hidden="1">
      <c r="E8214" s="96"/>
    </row>
    <row r="8215" hidden="1">
      <c r="E8215" s="96"/>
    </row>
    <row r="8216" hidden="1">
      <c r="E8216" s="96"/>
    </row>
    <row r="8217" hidden="1">
      <c r="E8217" s="96"/>
    </row>
    <row r="8218" hidden="1">
      <c r="E8218" s="96"/>
    </row>
    <row r="8219" hidden="1">
      <c r="E8219" s="96"/>
    </row>
    <row r="8220" hidden="1">
      <c r="E8220" s="96"/>
    </row>
    <row r="8221" hidden="1">
      <c r="E8221" s="96"/>
    </row>
    <row r="8222" hidden="1">
      <c r="E8222" s="96"/>
    </row>
    <row r="8223" hidden="1">
      <c r="E8223" s="96"/>
    </row>
    <row r="8224" hidden="1">
      <c r="E8224" s="96"/>
    </row>
    <row r="8225" hidden="1">
      <c r="E8225" s="96"/>
    </row>
    <row r="8226" hidden="1">
      <c r="E8226" s="96"/>
    </row>
    <row r="8227" hidden="1">
      <c r="E8227" s="96"/>
    </row>
    <row r="8228" hidden="1">
      <c r="E8228" s="96"/>
    </row>
    <row r="8229" hidden="1">
      <c r="E8229" s="96"/>
    </row>
    <row r="8230" hidden="1">
      <c r="E8230" s="96"/>
    </row>
    <row r="8231" hidden="1">
      <c r="E8231" s="96"/>
    </row>
    <row r="8232" hidden="1">
      <c r="E8232" s="96"/>
    </row>
    <row r="8233" hidden="1">
      <c r="E8233" s="96"/>
    </row>
    <row r="8234" hidden="1">
      <c r="E8234" s="96"/>
    </row>
    <row r="8235" hidden="1">
      <c r="E8235" s="96"/>
    </row>
    <row r="8236" hidden="1">
      <c r="E8236" s="96"/>
    </row>
    <row r="8237" hidden="1">
      <c r="E8237" s="96"/>
    </row>
    <row r="8238" hidden="1">
      <c r="E8238" s="96"/>
    </row>
    <row r="8239" hidden="1">
      <c r="E8239" s="96"/>
    </row>
    <row r="8240" hidden="1">
      <c r="E8240" s="96"/>
    </row>
    <row r="8241" hidden="1">
      <c r="E8241" s="96"/>
    </row>
    <row r="8242" hidden="1">
      <c r="E8242" s="96"/>
    </row>
    <row r="8243" hidden="1">
      <c r="E8243" s="96"/>
    </row>
    <row r="8244" hidden="1">
      <c r="E8244" s="96"/>
    </row>
    <row r="8245" hidden="1">
      <c r="E8245" s="96"/>
    </row>
    <row r="8246" hidden="1">
      <c r="E8246" s="96"/>
    </row>
    <row r="8247" hidden="1">
      <c r="E8247" s="96"/>
    </row>
    <row r="8248" hidden="1">
      <c r="E8248" s="96"/>
    </row>
    <row r="8249" hidden="1">
      <c r="E8249" s="96"/>
    </row>
    <row r="8250" hidden="1">
      <c r="E8250" s="96"/>
    </row>
    <row r="8251" hidden="1">
      <c r="E8251" s="96"/>
    </row>
    <row r="8252" hidden="1">
      <c r="E8252" s="96"/>
    </row>
    <row r="8253" hidden="1">
      <c r="E8253" s="96"/>
    </row>
    <row r="8254" hidden="1">
      <c r="E8254" s="96"/>
    </row>
    <row r="8255" hidden="1">
      <c r="E8255" s="96"/>
    </row>
    <row r="8256" hidden="1">
      <c r="E8256" s="96"/>
    </row>
    <row r="8257" hidden="1">
      <c r="E8257" s="96"/>
    </row>
    <row r="8258" hidden="1">
      <c r="E8258" s="96"/>
    </row>
    <row r="8259" hidden="1">
      <c r="E8259" s="96"/>
    </row>
    <row r="8260" hidden="1">
      <c r="E8260" s="96"/>
    </row>
    <row r="8261" hidden="1">
      <c r="E8261" s="96"/>
    </row>
    <row r="8262" hidden="1">
      <c r="E8262" s="96"/>
    </row>
    <row r="8263" hidden="1">
      <c r="E8263" s="96"/>
    </row>
    <row r="8264" hidden="1">
      <c r="E8264" s="96"/>
    </row>
    <row r="8265" hidden="1">
      <c r="E8265" s="96"/>
    </row>
    <row r="8266" hidden="1">
      <c r="E8266" s="96"/>
    </row>
    <row r="8267" hidden="1">
      <c r="E8267" s="96"/>
    </row>
    <row r="8268" hidden="1">
      <c r="E8268" s="96"/>
    </row>
    <row r="8269" hidden="1">
      <c r="E8269" s="96"/>
    </row>
    <row r="8270" hidden="1">
      <c r="E8270" s="96"/>
    </row>
    <row r="8271" hidden="1">
      <c r="E8271" s="96"/>
    </row>
    <row r="8272" hidden="1">
      <c r="E8272" s="96"/>
    </row>
    <row r="8273" hidden="1">
      <c r="E8273" s="96"/>
    </row>
    <row r="8274" hidden="1">
      <c r="E8274" s="96"/>
    </row>
    <row r="8275" hidden="1">
      <c r="E8275" s="96"/>
    </row>
    <row r="8276" hidden="1">
      <c r="E8276" s="96"/>
    </row>
    <row r="8277" hidden="1">
      <c r="E8277" s="96"/>
    </row>
    <row r="8278" hidden="1">
      <c r="E8278" s="96"/>
    </row>
    <row r="8279" hidden="1">
      <c r="E8279" s="96"/>
    </row>
    <row r="8280" hidden="1">
      <c r="E8280" s="96"/>
    </row>
    <row r="8281" hidden="1">
      <c r="E8281" s="96"/>
    </row>
    <row r="8282" hidden="1">
      <c r="E8282" s="96"/>
    </row>
    <row r="8283" hidden="1">
      <c r="E8283" s="96"/>
    </row>
    <row r="8284" hidden="1">
      <c r="E8284" s="96"/>
    </row>
    <row r="8285" hidden="1">
      <c r="E8285" s="96"/>
    </row>
    <row r="8286" hidden="1">
      <c r="E8286" s="96"/>
    </row>
    <row r="8287" hidden="1">
      <c r="E8287" s="96"/>
    </row>
    <row r="8288" hidden="1">
      <c r="E8288" s="96"/>
    </row>
    <row r="8289" hidden="1">
      <c r="E8289" s="96"/>
    </row>
    <row r="8290" hidden="1">
      <c r="E8290" s="96"/>
    </row>
    <row r="8291" hidden="1">
      <c r="E8291" s="96"/>
    </row>
    <row r="8292" hidden="1">
      <c r="E8292" s="96"/>
    </row>
    <row r="8293" hidden="1">
      <c r="E8293" s="96"/>
    </row>
    <row r="8294" hidden="1">
      <c r="E8294" s="96"/>
    </row>
    <row r="8295" hidden="1">
      <c r="E8295" s="96"/>
    </row>
    <row r="8296" hidden="1">
      <c r="E8296" s="96"/>
    </row>
    <row r="8297" hidden="1">
      <c r="E8297" s="96"/>
    </row>
    <row r="8298" hidden="1">
      <c r="E8298" s="96"/>
    </row>
    <row r="8299" hidden="1">
      <c r="E8299" s="96"/>
    </row>
    <row r="8300" hidden="1">
      <c r="E8300" s="96"/>
    </row>
    <row r="8301" hidden="1">
      <c r="E8301" s="96"/>
    </row>
    <row r="8302" hidden="1">
      <c r="E8302" s="96"/>
    </row>
    <row r="8303" hidden="1">
      <c r="E8303" s="96"/>
    </row>
    <row r="8304" hidden="1">
      <c r="E8304" s="96"/>
    </row>
    <row r="8305" hidden="1">
      <c r="E8305" s="96"/>
    </row>
    <row r="8306" hidden="1">
      <c r="E8306" s="96"/>
    </row>
    <row r="8307" hidden="1">
      <c r="E8307" s="96"/>
    </row>
    <row r="8308" hidden="1">
      <c r="E8308" s="96"/>
    </row>
    <row r="8309" hidden="1">
      <c r="E8309" s="96"/>
    </row>
    <row r="8310" hidden="1">
      <c r="E8310" s="96"/>
    </row>
    <row r="8311" hidden="1">
      <c r="E8311" s="96"/>
    </row>
    <row r="8312" hidden="1">
      <c r="E8312" s="96"/>
    </row>
    <row r="8313" hidden="1">
      <c r="E8313" s="96"/>
    </row>
    <row r="8314" hidden="1">
      <c r="E8314" s="96"/>
    </row>
    <row r="8315" hidden="1">
      <c r="E8315" s="96"/>
    </row>
    <row r="8316" hidden="1">
      <c r="E8316" s="96"/>
    </row>
    <row r="8317" hidden="1">
      <c r="E8317" s="96"/>
    </row>
    <row r="8318" hidden="1">
      <c r="E8318" s="96"/>
    </row>
    <row r="8319" hidden="1">
      <c r="E8319" s="96"/>
    </row>
    <row r="8320" hidden="1">
      <c r="E8320" s="96"/>
    </row>
    <row r="8321" hidden="1">
      <c r="E8321" s="96"/>
    </row>
    <row r="8322" hidden="1">
      <c r="E8322" s="96"/>
    </row>
    <row r="8323" hidden="1">
      <c r="E8323" s="96"/>
    </row>
    <row r="8324" hidden="1">
      <c r="E8324" s="96"/>
    </row>
    <row r="8325" hidden="1">
      <c r="E8325" s="96"/>
    </row>
    <row r="8326" hidden="1">
      <c r="E8326" s="96"/>
    </row>
    <row r="8327" hidden="1">
      <c r="E8327" s="96"/>
    </row>
    <row r="8328" hidden="1">
      <c r="E8328" s="96"/>
    </row>
    <row r="8329" hidden="1">
      <c r="E8329" s="96"/>
    </row>
    <row r="8330" hidden="1">
      <c r="E8330" s="96"/>
    </row>
    <row r="8331" hidden="1">
      <c r="E8331" s="96"/>
    </row>
    <row r="8332" hidden="1">
      <c r="E8332" s="96"/>
    </row>
    <row r="8333" hidden="1">
      <c r="E8333" s="96"/>
    </row>
    <row r="8334" hidden="1">
      <c r="E8334" s="96"/>
    </row>
    <row r="8335" hidden="1">
      <c r="E8335" s="96"/>
    </row>
    <row r="8336" hidden="1">
      <c r="E8336" s="96"/>
    </row>
    <row r="8337" hidden="1">
      <c r="E8337" s="96"/>
    </row>
    <row r="8338" hidden="1">
      <c r="E8338" s="96"/>
    </row>
    <row r="8339" hidden="1">
      <c r="E8339" s="96"/>
    </row>
    <row r="8340" hidden="1">
      <c r="E8340" s="96"/>
    </row>
    <row r="8341" hidden="1">
      <c r="E8341" s="96"/>
    </row>
    <row r="8342" hidden="1">
      <c r="E8342" s="96"/>
    </row>
    <row r="8343" hidden="1">
      <c r="E8343" s="96"/>
    </row>
    <row r="8344" hidden="1">
      <c r="E8344" s="96"/>
    </row>
    <row r="8345" hidden="1">
      <c r="E8345" s="96"/>
    </row>
    <row r="8346" hidden="1">
      <c r="E8346" s="96"/>
    </row>
    <row r="8347" hidden="1">
      <c r="E8347" s="96"/>
    </row>
    <row r="8348" hidden="1">
      <c r="E8348" s="96"/>
    </row>
    <row r="8349" hidden="1">
      <c r="E8349" s="96"/>
    </row>
    <row r="8350" hidden="1">
      <c r="E8350" s="96"/>
    </row>
    <row r="8351" hidden="1">
      <c r="E8351" s="96"/>
    </row>
    <row r="8352" hidden="1">
      <c r="E8352" s="96"/>
    </row>
    <row r="8353" hidden="1">
      <c r="E8353" s="96"/>
    </row>
    <row r="8354" hidden="1">
      <c r="E8354" s="96"/>
    </row>
    <row r="8355" hidden="1">
      <c r="E8355" s="96"/>
    </row>
    <row r="8356" hidden="1">
      <c r="E8356" s="96"/>
    </row>
    <row r="8357" hidden="1">
      <c r="E8357" s="96"/>
    </row>
    <row r="8358" hidden="1">
      <c r="E8358" s="96"/>
    </row>
    <row r="8359" hidden="1">
      <c r="E8359" s="96"/>
    </row>
    <row r="8360" hidden="1">
      <c r="E8360" s="96"/>
    </row>
    <row r="8361" hidden="1">
      <c r="E8361" s="96"/>
    </row>
    <row r="8362" hidden="1">
      <c r="E8362" s="96"/>
    </row>
    <row r="8363" hidden="1">
      <c r="E8363" s="96"/>
    </row>
    <row r="8364" hidden="1">
      <c r="E8364" s="96"/>
    </row>
    <row r="8365" hidden="1">
      <c r="E8365" s="96"/>
    </row>
    <row r="8366" hidden="1">
      <c r="E8366" s="96"/>
    </row>
    <row r="8367" hidden="1">
      <c r="E8367" s="96"/>
    </row>
    <row r="8368" hidden="1">
      <c r="E8368" s="96"/>
    </row>
    <row r="8369" hidden="1">
      <c r="E8369" s="96"/>
    </row>
    <row r="8370" hidden="1">
      <c r="E8370" s="96"/>
    </row>
    <row r="8371" hidden="1">
      <c r="E8371" s="96"/>
    </row>
    <row r="8372" hidden="1">
      <c r="E8372" s="96"/>
    </row>
    <row r="8373" hidden="1">
      <c r="E8373" s="96"/>
    </row>
    <row r="8374" hidden="1">
      <c r="E8374" s="96"/>
    </row>
    <row r="8375" hidden="1">
      <c r="E8375" s="96"/>
    </row>
    <row r="8376" hidden="1">
      <c r="E8376" s="96"/>
    </row>
    <row r="8377" hidden="1">
      <c r="E8377" s="96"/>
    </row>
    <row r="8378" hidden="1">
      <c r="E8378" s="96"/>
    </row>
    <row r="8379" hidden="1">
      <c r="E8379" s="96"/>
    </row>
    <row r="8380" hidden="1">
      <c r="E8380" s="96"/>
    </row>
    <row r="8381" hidden="1">
      <c r="E8381" s="96"/>
    </row>
    <row r="8382" hidden="1">
      <c r="E8382" s="96"/>
    </row>
    <row r="8383" hidden="1">
      <c r="E8383" s="96"/>
    </row>
    <row r="8384" hidden="1">
      <c r="E8384" s="96"/>
    </row>
    <row r="8385" hidden="1">
      <c r="E8385" s="96"/>
    </row>
    <row r="8386" hidden="1">
      <c r="E8386" s="96"/>
    </row>
    <row r="8387" hidden="1">
      <c r="E8387" s="96"/>
    </row>
    <row r="8388" hidden="1">
      <c r="E8388" s="96"/>
    </row>
    <row r="8389" hidden="1">
      <c r="E8389" s="96"/>
    </row>
    <row r="8390" hidden="1">
      <c r="E8390" s="96"/>
    </row>
    <row r="8391" hidden="1">
      <c r="E8391" s="96"/>
    </row>
    <row r="8392" hidden="1">
      <c r="E8392" s="96"/>
    </row>
    <row r="8393" hidden="1">
      <c r="E8393" s="96"/>
    </row>
    <row r="8394" hidden="1">
      <c r="E8394" s="96"/>
    </row>
    <row r="8395" hidden="1">
      <c r="E8395" s="96"/>
    </row>
    <row r="8396" hidden="1">
      <c r="E8396" s="96"/>
    </row>
    <row r="8397" hidden="1">
      <c r="E8397" s="96"/>
    </row>
    <row r="8398" hidden="1">
      <c r="E8398" s="96"/>
    </row>
    <row r="8399" hidden="1">
      <c r="E8399" s="96"/>
    </row>
    <row r="8400" hidden="1">
      <c r="E8400" s="96"/>
    </row>
    <row r="8401" hidden="1">
      <c r="E8401" s="96"/>
    </row>
    <row r="8402" hidden="1">
      <c r="E8402" s="96"/>
    </row>
    <row r="8403" hidden="1">
      <c r="E8403" s="96"/>
    </row>
    <row r="8404" hidden="1">
      <c r="E8404" s="96"/>
    </row>
    <row r="8405" hidden="1">
      <c r="E8405" s="96"/>
    </row>
    <row r="8406" hidden="1">
      <c r="E8406" s="96"/>
    </row>
    <row r="8407" hidden="1">
      <c r="E8407" s="96"/>
    </row>
    <row r="8408" hidden="1">
      <c r="E8408" s="96"/>
    </row>
    <row r="8409" hidden="1">
      <c r="E8409" s="96"/>
    </row>
    <row r="8410" hidden="1">
      <c r="E8410" s="96"/>
    </row>
    <row r="8411" hidden="1">
      <c r="E8411" s="96"/>
    </row>
    <row r="8412" hidden="1">
      <c r="E8412" s="96"/>
    </row>
    <row r="8413" hidden="1">
      <c r="E8413" s="96"/>
    </row>
    <row r="8414" hidden="1">
      <c r="E8414" s="96"/>
    </row>
    <row r="8415" hidden="1">
      <c r="E8415" s="96"/>
    </row>
    <row r="8416" hidden="1">
      <c r="E8416" s="96"/>
    </row>
    <row r="8417" hidden="1">
      <c r="E8417" s="96"/>
    </row>
    <row r="8418" hidden="1">
      <c r="E8418" s="96"/>
    </row>
    <row r="8419" hidden="1">
      <c r="E8419" s="96"/>
    </row>
    <row r="8420" hidden="1">
      <c r="E8420" s="96"/>
    </row>
    <row r="8421" hidden="1">
      <c r="E8421" s="96"/>
    </row>
    <row r="8422" hidden="1">
      <c r="E8422" s="96"/>
    </row>
    <row r="8423" hidden="1">
      <c r="E8423" s="96"/>
    </row>
    <row r="8424" hidden="1">
      <c r="E8424" s="96"/>
    </row>
    <row r="8425" hidden="1">
      <c r="E8425" s="96"/>
    </row>
    <row r="8426" hidden="1">
      <c r="E8426" s="96"/>
    </row>
    <row r="8427" hidden="1">
      <c r="E8427" s="96"/>
    </row>
    <row r="8428" hidden="1">
      <c r="E8428" s="96"/>
    </row>
    <row r="8429" hidden="1">
      <c r="E8429" s="96"/>
    </row>
    <row r="8430" hidden="1">
      <c r="E8430" s="96"/>
    </row>
    <row r="8431" hidden="1">
      <c r="E8431" s="96"/>
    </row>
    <row r="8432" hidden="1">
      <c r="E8432" s="96"/>
    </row>
    <row r="8433" hidden="1">
      <c r="E8433" s="96"/>
    </row>
    <row r="8434" hidden="1">
      <c r="E8434" s="96"/>
    </row>
    <row r="8435" hidden="1">
      <c r="E8435" s="96"/>
    </row>
    <row r="8436" hidden="1">
      <c r="E8436" s="96"/>
    </row>
    <row r="8437" hidden="1">
      <c r="E8437" s="96"/>
    </row>
    <row r="8438" hidden="1">
      <c r="E8438" s="96"/>
    </row>
    <row r="8439" hidden="1">
      <c r="E8439" s="96"/>
    </row>
    <row r="8440" hidden="1">
      <c r="E8440" s="96"/>
    </row>
    <row r="8441" hidden="1">
      <c r="E8441" s="96"/>
    </row>
    <row r="8442" hidden="1">
      <c r="E8442" s="96"/>
    </row>
    <row r="8443" hidden="1">
      <c r="E8443" s="96"/>
    </row>
    <row r="8444" hidden="1">
      <c r="E8444" s="96"/>
    </row>
    <row r="8445" hidden="1">
      <c r="E8445" s="96"/>
    </row>
    <row r="8446" hidden="1">
      <c r="E8446" s="96"/>
    </row>
    <row r="8447" hidden="1">
      <c r="E8447" s="96"/>
    </row>
    <row r="8448" hidden="1">
      <c r="E8448" s="96"/>
    </row>
    <row r="8449" hidden="1">
      <c r="E8449" s="96"/>
    </row>
    <row r="8450" hidden="1">
      <c r="E8450" s="96"/>
    </row>
    <row r="8451" hidden="1">
      <c r="E8451" s="96"/>
    </row>
    <row r="8452" hidden="1">
      <c r="E8452" s="96"/>
    </row>
    <row r="8453" hidden="1">
      <c r="E8453" s="96"/>
    </row>
    <row r="8454" hidden="1">
      <c r="E8454" s="96"/>
    </row>
    <row r="8455" hidden="1">
      <c r="E8455" s="96"/>
    </row>
    <row r="8456" hidden="1">
      <c r="E8456" s="96"/>
    </row>
    <row r="8457" hidden="1">
      <c r="E8457" s="96"/>
    </row>
    <row r="8458" hidden="1">
      <c r="E8458" s="96"/>
    </row>
    <row r="8459" hidden="1">
      <c r="E8459" s="96"/>
    </row>
    <row r="8460" hidden="1">
      <c r="E8460" s="96"/>
    </row>
    <row r="8461" hidden="1">
      <c r="E8461" s="96"/>
    </row>
    <row r="8462" hidden="1">
      <c r="E8462" s="96"/>
    </row>
    <row r="8463" hidden="1">
      <c r="E8463" s="96"/>
    </row>
    <row r="8464" hidden="1">
      <c r="E8464" s="96"/>
    </row>
    <row r="8465" hidden="1">
      <c r="E8465" s="96"/>
    </row>
    <row r="8466" hidden="1">
      <c r="E8466" s="96"/>
    </row>
    <row r="8467" hidden="1">
      <c r="E8467" s="96"/>
    </row>
    <row r="8468" hidden="1">
      <c r="E8468" s="96"/>
    </row>
    <row r="8469" hidden="1">
      <c r="E8469" s="96"/>
    </row>
    <row r="8470" hidden="1">
      <c r="E8470" s="96"/>
    </row>
    <row r="8471" hidden="1">
      <c r="E8471" s="96"/>
    </row>
    <row r="8472" hidden="1">
      <c r="E8472" s="96"/>
    </row>
    <row r="8473" hidden="1">
      <c r="E8473" s="96"/>
    </row>
    <row r="8474" hidden="1">
      <c r="E8474" s="96"/>
    </row>
    <row r="8475" hidden="1">
      <c r="E8475" s="96"/>
    </row>
    <row r="8476" hidden="1">
      <c r="E8476" s="96"/>
    </row>
    <row r="8477" hidden="1">
      <c r="E8477" s="96"/>
    </row>
    <row r="8478" hidden="1">
      <c r="E8478" s="96"/>
    </row>
    <row r="8479" hidden="1">
      <c r="E8479" s="96"/>
    </row>
    <row r="8480" hidden="1">
      <c r="E8480" s="96"/>
    </row>
    <row r="8481" hidden="1">
      <c r="E8481" s="96"/>
    </row>
    <row r="8482" hidden="1">
      <c r="E8482" s="96"/>
    </row>
    <row r="8483" hidden="1">
      <c r="E8483" s="96"/>
    </row>
    <row r="8484" hidden="1">
      <c r="E8484" s="96"/>
    </row>
    <row r="8485" hidden="1">
      <c r="E8485" s="96"/>
    </row>
    <row r="8486" hidden="1">
      <c r="E8486" s="96"/>
    </row>
    <row r="8487" hidden="1">
      <c r="E8487" s="96"/>
    </row>
    <row r="8488" hidden="1">
      <c r="E8488" s="96"/>
    </row>
    <row r="8489" hidden="1">
      <c r="E8489" s="96"/>
    </row>
    <row r="8490" hidden="1">
      <c r="E8490" s="96"/>
    </row>
    <row r="8491" hidden="1">
      <c r="E8491" s="96"/>
    </row>
    <row r="8492" hidden="1">
      <c r="E8492" s="96"/>
    </row>
    <row r="8493" hidden="1">
      <c r="E8493" s="96"/>
    </row>
    <row r="8494" hidden="1">
      <c r="E8494" s="96"/>
    </row>
    <row r="8495" hidden="1">
      <c r="E8495" s="96"/>
    </row>
    <row r="8496" hidden="1">
      <c r="E8496" s="96"/>
    </row>
    <row r="8497" hidden="1">
      <c r="E8497" s="96"/>
    </row>
    <row r="8498" hidden="1">
      <c r="E8498" s="96"/>
    </row>
    <row r="8499" hidden="1">
      <c r="E8499" s="96"/>
    </row>
    <row r="8500" hidden="1">
      <c r="E8500" s="96"/>
    </row>
    <row r="8501" hidden="1">
      <c r="E8501" s="96"/>
    </row>
    <row r="8502" hidden="1">
      <c r="E8502" s="96"/>
    </row>
    <row r="8503" hidden="1">
      <c r="E8503" s="96"/>
    </row>
    <row r="8504" hidden="1">
      <c r="E8504" s="96"/>
    </row>
    <row r="8505" hidden="1">
      <c r="E8505" s="96"/>
    </row>
    <row r="8506" hidden="1">
      <c r="E8506" s="96"/>
    </row>
    <row r="8507" hidden="1">
      <c r="E8507" s="96"/>
    </row>
    <row r="8508" hidden="1">
      <c r="E8508" s="96"/>
    </row>
    <row r="8509" hidden="1">
      <c r="E8509" s="96"/>
    </row>
    <row r="8510" hidden="1">
      <c r="E8510" s="96"/>
    </row>
    <row r="8511" hidden="1">
      <c r="E8511" s="96"/>
    </row>
    <row r="8512" hidden="1">
      <c r="E8512" s="96"/>
    </row>
    <row r="8513" hidden="1">
      <c r="E8513" s="96"/>
    </row>
    <row r="8514" hidden="1">
      <c r="E8514" s="96"/>
    </row>
    <row r="8515" hidden="1">
      <c r="E8515" s="96"/>
    </row>
    <row r="8516" hidden="1">
      <c r="E8516" s="96"/>
    </row>
    <row r="8517" hidden="1">
      <c r="E8517" s="96"/>
    </row>
    <row r="8518" hidden="1">
      <c r="E8518" s="96"/>
    </row>
    <row r="8519" hidden="1">
      <c r="E8519" s="96"/>
    </row>
    <row r="8520" hidden="1">
      <c r="E8520" s="96"/>
    </row>
    <row r="8521" hidden="1">
      <c r="E8521" s="96"/>
    </row>
    <row r="8522" hidden="1">
      <c r="E8522" s="96"/>
    </row>
    <row r="8523" hidden="1">
      <c r="E8523" s="96"/>
    </row>
    <row r="8524" hidden="1">
      <c r="E8524" s="96"/>
    </row>
    <row r="8525" hidden="1">
      <c r="E8525" s="96"/>
    </row>
    <row r="8526" hidden="1">
      <c r="E8526" s="96"/>
    </row>
    <row r="8527" hidden="1">
      <c r="E8527" s="96"/>
    </row>
    <row r="8528" hidden="1">
      <c r="E8528" s="96"/>
    </row>
    <row r="8529" hidden="1">
      <c r="E8529" s="96"/>
    </row>
    <row r="8530" hidden="1">
      <c r="E8530" s="96"/>
    </row>
    <row r="8531" hidden="1">
      <c r="E8531" s="96"/>
    </row>
    <row r="8532" hidden="1">
      <c r="E8532" s="96"/>
    </row>
    <row r="8533" hidden="1">
      <c r="E8533" s="96"/>
    </row>
    <row r="8534" hidden="1">
      <c r="E8534" s="96"/>
    </row>
    <row r="8535" hidden="1">
      <c r="E8535" s="96"/>
    </row>
    <row r="8536" hidden="1">
      <c r="E8536" s="96"/>
    </row>
    <row r="8537" hidden="1">
      <c r="E8537" s="96"/>
    </row>
    <row r="8538" hidden="1">
      <c r="E8538" s="96"/>
    </row>
    <row r="8539" hidden="1">
      <c r="E8539" s="96"/>
    </row>
    <row r="8540" hidden="1">
      <c r="E8540" s="96"/>
    </row>
    <row r="8541" hidden="1">
      <c r="E8541" s="96"/>
    </row>
    <row r="8542" hidden="1">
      <c r="E8542" s="96"/>
    </row>
    <row r="8543" hidden="1">
      <c r="E8543" s="96"/>
    </row>
    <row r="8544" hidden="1">
      <c r="E8544" s="96"/>
    </row>
    <row r="8545" hidden="1">
      <c r="E8545" s="96"/>
    </row>
    <row r="8546" hidden="1">
      <c r="E8546" s="96"/>
    </row>
    <row r="8547" hidden="1">
      <c r="E8547" s="96"/>
    </row>
    <row r="8548" hidden="1">
      <c r="E8548" s="96"/>
    </row>
    <row r="8549" hidden="1">
      <c r="E8549" s="96"/>
    </row>
    <row r="8550" hidden="1">
      <c r="E8550" s="96"/>
    </row>
    <row r="8551" hidden="1">
      <c r="E8551" s="96"/>
    </row>
    <row r="8552" hidden="1">
      <c r="E8552" s="96"/>
    </row>
    <row r="8553" hidden="1">
      <c r="E8553" s="96"/>
    </row>
    <row r="8554" hidden="1">
      <c r="E8554" s="96"/>
    </row>
    <row r="8555" hidden="1">
      <c r="E8555" s="96"/>
    </row>
    <row r="8556" hidden="1">
      <c r="E8556" s="96"/>
    </row>
    <row r="8557" hidden="1">
      <c r="E8557" s="96"/>
    </row>
    <row r="8558" hidden="1">
      <c r="E8558" s="96"/>
    </row>
    <row r="8559" hidden="1">
      <c r="E8559" s="96"/>
    </row>
    <row r="8560" hidden="1">
      <c r="E8560" s="96"/>
    </row>
    <row r="8561" hidden="1">
      <c r="E8561" s="96"/>
    </row>
    <row r="8562" hidden="1">
      <c r="E8562" s="96"/>
    </row>
    <row r="8563" hidden="1">
      <c r="E8563" s="96"/>
    </row>
    <row r="8564" hidden="1">
      <c r="E8564" s="96"/>
    </row>
    <row r="8565" hidden="1">
      <c r="E8565" s="96"/>
    </row>
    <row r="8566" hidden="1">
      <c r="E8566" s="96"/>
    </row>
    <row r="8567" hidden="1">
      <c r="E8567" s="96"/>
    </row>
    <row r="8568" hidden="1">
      <c r="E8568" s="96"/>
    </row>
    <row r="8569" hidden="1">
      <c r="E8569" s="96"/>
    </row>
    <row r="8570" hidden="1">
      <c r="E8570" s="96"/>
    </row>
    <row r="8571" hidden="1">
      <c r="E8571" s="96"/>
    </row>
    <row r="8572" hidden="1">
      <c r="E8572" s="96"/>
    </row>
    <row r="8573" hidden="1">
      <c r="E8573" s="96"/>
    </row>
    <row r="8574" hidden="1">
      <c r="E8574" s="96"/>
    </row>
    <row r="8575" hidden="1">
      <c r="E8575" s="96"/>
    </row>
    <row r="8576" hidden="1">
      <c r="E8576" s="96"/>
    </row>
    <row r="8577" hidden="1">
      <c r="E8577" s="96"/>
    </row>
    <row r="8578" hidden="1">
      <c r="E8578" s="96"/>
    </row>
    <row r="8579" hidden="1">
      <c r="E8579" s="96"/>
    </row>
    <row r="8580" hidden="1">
      <c r="E8580" s="96"/>
    </row>
    <row r="8581" hidden="1">
      <c r="E8581" s="96"/>
    </row>
    <row r="8582" hidden="1">
      <c r="E8582" s="96"/>
    </row>
    <row r="8583" hidden="1">
      <c r="E8583" s="96"/>
    </row>
    <row r="8584" hidden="1">
      <c r="E8584" s="96"/>
    </row>
    <row r="8585" hidden="1">
      <c r="E8585" s="96"/>
    </row>
    <row r="8586" hidden="1">
      <c r="E8586" s="96"/>
    </row>
    <row r="8587" hidden="1">
      <c r="E8587" s="96"/>
    </row>
    <row r="8588" hidden="1">
      <c r="E8588" s="96"/>
    </row>
    <row r="8589" hidden="1">
      <c r="E8589" s="96"/>
    </row>
    <row r="8590" hidden="1">
      <c r="E8590" s="96"/>
    </row>
    <row r="8591" hidden="1">
      <c r="E8591" s="96"/>
    </row>
    <row r="8592" hidden="1">
      <c r="E8592" s="96"/>
    </row>
    <row r="8593" hidden="1">
      <c r="E8593" s="96"/>
    </row>
    <row r="8594" hidden="1">
      <c r="E8594" s="96"/>
    </row>
    <row r="8595" hidden="1">
      <c r="E8595" s="96"/>
    </row>
    <row r="8596" hidden="1">
      <c r="E8596" s="96"/>
    </row>
    <row r="8597" hidden="1">
      <c r="E8597" s="96"/>
    </row>
    <row r="8598" hidden="1">
      <c r="E8598" s="96"/>
    </row>
    <row r="8599" hidden="1">
      <c r="E8599" s="96"/>
    </row>
    <row r="8600" hidden="1">
      <c r="E8600" s="96"/>
    </row>
    <row r="8601" hidden="1">
      <c r="E8601" s="96"/>
    </row>
    <row r="8602" hidden="1">
      <c r="E8602" s="96"/>
    </row>
    <row r="8603" hidden="1">
      <c r="E8603" s="96"/>
    </row>
    <row r="8604" hidden="1">
      <c r="E8604" s="96"/>
    </row>
    <row r="8605" hidden="1">
      <c r="E8605" s="96"/>
    </row>
    <row r="8606" hidden="1">
      <c r="E8606" s="96"/>
    </row>
    <row r="8607" hidden="1">
      <c r="E8607" s="96"/>
    </row>
    <row r="8608" hidden="1">
      <c r="E8608" s="96"/>
    </row>
    <row r="8609" hidden="1">
      <c r="E8609" s="96"/>
    </row>
    <row r="8610" hidden="1">
      <c r="E8610" s="96"/>
    </row>
    <row r="8611" hidden="1">
      <c r="E8611" s="96"/>
    </row>
    <row r="8612" hidden="1">
      <c r="E8612" s="96"/>
    </row>
    <row r="8613" hidden="1">
      <c r="E8613" s="96"/>
    </row>
    <row r="8614" hidden="1">
      <c r="E8614" s="96"/>
    </row>
    <row r="8615" hidden="1">
      <c r="E8615" s="96"/>
    </row>
    <row r="8616" hidden="1">
      <c r="E8616" s="96"/>
    </row>
    <row r="8617" hidden="1">
      <c r="E8617" s="96"/>
    </row>
    <row r="8618" hidden="1">
      <c r="E8618" s="96"/>
    </row>
    <row r="8619" hidden="1">
      <c r="E8619" s="96"/>
    </row>
    <row r="8620" hidden="1">
      <c r="E8620" s="96"/>
    </row>
    <row r="8621" hidden="1">
      <c r="E8621" s="96"/>
    </row>
    <row r="8622" hidden="1">
      <c r="E8622" s="96"/>
    </row>
    <row r="8623" hidden="1">
      <c r="E8623" s="96"/>
    </row>
    <row r="8624" hidden="1">
      <c r="E8624" s="96"/>
    </row>
    <row r="8625" hidden="1">
      <c r="E8625" s="96"/>
    </row>
    <row r="8626" hidden="1">
      <c r="E8626" s="96"/>
    </row>
    <row r="8627" hidden="1">
      <c r="E8627" s="96"/>
    </row>
    <row r="8628" hidden="1">
      <c r="E8628" s="96"/>
    </row>
    <row r="8629" hidden="1">
      <c r="E8629" s="96"/>
    </row>
    <row r="8630" hidden="1">
      <c r="E8630" s="96"/>
    </row>
    <row r="8631" hidden="1">
      <c r="E8631" s="96"/>
    </row>
    <row r="8632" hidden="1">
      <c r="E8632" s="96"/>
    </row>
    <row r="8633" hidden="1">
      <c r="E8633" s="96"/>
    </row>
    <row r="8634" hidden="1">
      <c r="E8634" s="96"/>
    </row>
    <row r="8635" hidden="1">
      <c r="E8635" s="96"/>
    </row>
    <row r="8636" hidden="1">
      <c r="E8636" s="96"/>
    </row>
    <row r="8637" hidden="1">
      <c r="E8637" s="96"/>
    </row>
    <row r="8638" hidden="1">
      <c r="E8638" s="96"/>
    </row>
    <row r="8639" hidden="1">
      <c r="E8639" s="96"/>
    </row>
    <row r="8640" hidden="1">
      <c r="E8640" s="96"/>
    </row>
    <row r="8641" hidden="1">
      <c r="E8641" s="96"/>
    </row>
    <row r="8642" hidden="1">
      <c r="E8642" s="96"/>
    </row>
    <row r="8643" hidden="1">
      <c r="E8643" s="96"/>
    </row>
    <row r="8644" hidden="1">
      <c r="E8644" s="96"/>
    </row>
    <row r="8645" hidden="1">
      <c r="E8645" s="96"/>
    </row>
    <row r="8646" hidden="1">
      <c r="E8646" s="96"/>
    </row>
    <row r="8647" hidden="1">
      <c r="E8647" s="96"/>
    </row>
    <row r="8648" hidden="1">
      <c r="E8648" s="96"/>
    </row>
    <row r="8649" hidden="1">
      <c r="E8649" s="96"/>
    </row>
    <row r="8650" hidden="1">
      <c r="E8650" s="96"/>
    </row>
    <row r="8651" hidden="1">
      <c r="E8651" s="96"/>
    </row>
    <row r="8652" hidden="1">
      <c r="E8652" s="96"/>
    </row>
    <row r="8653" hidden="1">
      <c r="E8653" s="96"/>
    </row>
    <row r="8654" hidden="1">
      <c r="E8654" s="96"/>
    </row>
    <row r="8655" hidden="1">
      <c r="E8655" s="96"/>
    </row>
    <row r="8656" hidden="1">
      <c r="E8656" s="96"/>
    </row>
    <row r="8657" hidden="1">
      <c r="E8657" s="96"/>
    </row>
    <row r="8658" hidden="1">
      <c r="E8658" s="96"/>
    </row>
    <row r="8659" hidden="1">
      <c r="E8659" s="96"/>
    </row>
    <row r="8660" hidden="1">
      <c r="E8660" s="96"/>
    </row>
    <row r="8661" hidden="1">
      <c r="E8661" s="96"/>
    </row>
    <row r="8662" hidden="1">
      <c r="E8662" s="96"/>
    </row>
    <row r="8663" hidden="1">
      <c r="E8663" s="96"/>
    </row>
    <row r="8664" hidden="1">
      <c r="E8664" s="96"/>
    </row>
    <row r="8665" hidden="1">
      <c r="E8665" s="96"/>
    </row>
    <row r="8666" hidden="1">
      <c r="E8666" s="96"/>
    </row>
    <row r="8667" hidden="1">
      <c r="E8667" s="96"/>
    </row>
    <row r="8668" hidden="1">
      <c r="E8668" s="96"/>
    </row>
    <row r="8669" hidden="1">
      <c r="E8669" s="96"/>
    </row>
    <row r="8670" hidden="1">
      <c r="E8670" s="96"/>
    </row>
    <row r="8671" hidden="1">
      <c r="E8671" s="96"/>
    </row>
    <row r="8672" hidden="1">
      <c r="E8672" s="96"/>
    </row>
    <row r="8673" hidden="1">
      <c r="E8673" s="96"/>
    </row>
    <row r="8674" hidden="1">
      <c r="E8674" s="96"/>
    </row>
    <row r="8675" hidden="1">
      <c r="E8675" s="96"/>
    </row>
    <row r="8676" hidden="1">
      <c r="E8676" s="96"/>
    </row>
    <row r="8677" hidden="1">
      <c r="E8677" s="96"/>
    </row>
    <row r="8678" hidden="1">
      <c r="E8678" s="96"/>
    </row>
    <row r="8679" hidden="1">
      <c r="E8679" s="96"/>
    </row>
    <row r="8680" hidden="1">
      <c r="E8680" s="96"/>
    </row>
    <row r="8681" hidden="1">
      <c r="E8681" s="96"/>
    </row>
    <row r="8682" hidden="1">
      <c r="E8682" s="96"/>
    </row>
    <row r="8683" hidden="1">
      <c r="E8683" s="96"/>
    </row>
    <row r="8684" hidden="1">
      <c r="E8684" s="96"/>
    </row>
    <row r="8685" hidden="1">
      <c r="E8685" s="96"/>
    </row>
    <row r="8686" hidden="1">
      <c r="E8686" s="96"/>
    </row>
    <row r="8687" hidden="1">
      <c r="E8687" s="96"/>
    </row>
    <row r="8688" hidden="1">
      <c r="E8688" s="96"/>
    </row>
    <row r="8689" hidden="1">
      <c r="E8689" s="96"/>
    </row>
    <row r="8690" hidden="1">
      <c r="E8690" s="96"/>
    </row>
    <row r="8691" hidden="1">
      <c r="E8691" s="96"/>
    </row>
    <row r="8692" hidden="1">
      <c r="E8692" s="96"/>
    </row>
    <row r="8693" hidden="1">
      <c r="E8693" s="96"/>
    </row>
    <row r="8694" hidden="1">
      <c r="E8694" s="96"/>
    </row>
    <row r="8695" hidden="1">
      <c r="E8695" s="96"/>
    </row>
    <row r="8696" hidden="1">
      <c r="E8696" s="96"/>
    </row>
    <row r="8697" hidden="1">
      <c r="E8697" s="96"/>
    </row>
    <row r="8698" hidden="1">
      <c r="E8698" s="96"/>
    </row>
    <row r="8699" hidden="1">
      <c r="E8699" s="96"/>
    </row>
    <row r="8700" hidden="1">
      <c r="E8700" s="96"/>
    </row>
    <row r="8701" hidden="1">
      <c r="E8701" s="96"/>
    </row>
    <row r="8702" hidden="1">
      <c r="E8702" s="96"/>
    </row>
    <row r="8703" hidden="1">
      <c r="E8703" s="96"/>
    </row>
    <row r="8704" hidden="1">
      <c r="E8704" s="96"/>
    </row>
    <row r="8705" hidden="1">
      <c r="E8705" s="96"/>
    </row>
    <row r="8706" hidden="1">
      <c r="E8706" s="96"/>
    </row>
    <row r="8707" hidden="1">
      <c r="E8707" s="96"/>
    </row>
    <row r="8708" hidden="1">
      <c r="E8708" s="96"/>
    </row>
    <row r="8709" hidden="1">
      <c r="E8709" s="96"/>
    </row>
    <row r="8710" hidden="1">
      <c r="E8710" s="96"/>
    </row>
    <row r="8711" hidden="1">
      <c r="E8711" s="96"/>
    </row>
    <row r="8712" hidden="1">
      <c r="E8712" s="96"/>
    </row>
    <row r="8713" hidden="1">
      <c r="E8713" s="96"/>
    </row>
    <row r="8714" hidden="1">
      <c r="E8714" s="96"/>
    </row>
    <row r="8715" hidden="1">
      <c r="E8715" s="96"/>
    </row>
    <row r="8716" hidden="1">
      <c r="E8716" s="96"/>
    </row>
    <row r="8717" hidden="1">
      <c r="E8717" s="96"/>
    </row>
    <row r="8718" hidden="1">
      <c r="E8718" s="96"/>
    </row>
    <row r="8719" hidden="1">
      <c r="E8719" s="96"/>
    </row>
    <row r="8720" hidden="1">
      <c r="E8720" s="96"/>
    </row>
    <row r="8721" hidden="1">
      <c r="E8721" s="96"/>
    </row>
    <row r="8722" hidden="1">
      <c r="E8722" s="96"/>
    </row>
    <row r="8723" hidden="1">
      <c r="E8723" s="96"/>
    </row>
    <row r="8724" hidden="1">
      <c r="E8724" s="96"/>
    </row>
    <row r="8725" hidden="1">
      <c r="E8725" s="96"/>
    </row>
    <row r="8726" hidden="1">
      <c r="E8726" s="96"/>
    </row>
    <row r="8727" hidden="1">
      <c r="E8727" s="96"/>
    </row>
    <row r="8728" hidden="1">
      <c r="E8728" s="96"/>
    </row>
    <row r="8729" hidden="1">
      <c r="E8729" s="96"/>
    </row>
    <row r="8730" hidden="1">
      <c r="E8730" s="96"/>
    </row>
    <row r="8731" hidden="1">
      <c r="E8731" s="96"/>
    </row>
    <row r="8732" hidden="1">
      <c r="E8732" s="96"/>
    </row>
    <row r="8733" hidden="1">
      <c r="E8733" s="96"/>
    </row>
    <row r="8734" hidden="1">
      <c r="E8734" s="96"/>
    </row>
    <row r="8735" hidden="1">
      <c r="E8735" s="96"/>
    </row>
    <row r="8736" hidden="1">
      <c r="E8736" s="96"/>
    </row>
    <row r="8737" hidden="1">
      <c r="E8737" s="96"/>
    </row>
    <row r="8738" hidden="1">
      <c r="E8738" s="96"/>
    </row>
    <row r="8739" hidden="1">
      <c r="E8739" s="96"/>
    </row>
    <row r="8740" hidden="1">
      <c r="E8740" s="96"/>
    </row>
    <row r="8741" hidden="1">
      <c r="E8741" s="96"/>
    </row>
    <row r="8742" hidden="1">
      <c r="E8742" s="96"/>
    </row>
    <row r="8743" hidden="1">
      <c r="E8743" s="96"/>
    </row>
    <row r="8744" hidden="1">
      <c r="E8744" s="96"/>
    </row>
    <row r="8745" hidden="1">
      <c r="E8745" s="96"/>
    </row>
    <row r="8746" hidden="1">
      <c r="E8746" s="96"/>
    </row>
    <row r="8747" hidden="1">
      <c r="E8747" s="96"/>
    </row>
    <row r="8748" hidden="1">
      <c r="E8748" s="96"/>
    </row>
    <row r="8749" hidden="1">
      <c r="E8749" s="96"/>
    </row>
    <row r="8750" hidden="1">
      <c r="E8750" s="96"/>
    </row>
    <row r="8751" hidden="1">
      <c r="E8751" s="96"/>
    </row>
    <row r="8752" hidden="1">
      <c r="E8752" s="96"/>
    </row>
    <row r="8753" hidden="1">
      <c r="E8753" s="96"/>
    </row>
    <row r="8754" hidden="1">
      <c r="E8754" s="96"/>
    </row>
    <row r="8755" hidden="1">
      <c r="E8755" s="96"/>
    </row>
    <row r="8756" hidden="1">
      <c r="E8756" s="96"/>
    </row>
    <row r="8757" hidden="1">
      <c r="E8757" s="96"/>
    </row>
    <row r="8758" hidden="1">
      <c r="E8758" s="96"/>
    </row>
    <row r="8759" hidden="1">
      <c r="E8759" s="96"/>
    </row>
    <row r="8760" hidden="1">
      <c r="E8760" s="96"/>
    </row>
    <row r="8761" hidden="1">
      <c r="E8761" s="96"/>
    </row>
    <row r="8762" hidden="1">
      <c r="E8762" s="96"/>
    </row>
    <row r="8763" hidden="1">
      <c r="E8763" s="96"/>
    </row>
    <row r="8764" hidden="1">
      <c r="E8764" s="96"/>
    </row>
    <row r="8765" hidden="1">
      <c r="E8765" s="96"/>
    </row>
    <row r="8766" hidden="1">
      <c r="E8766" s="96"/>
    </row>
    <row r="8767" hidden="1">
      <c r="E8767" s="96"/>
    </row>
    <row r="8768" hidden="1">
      <c r="E8768" s="96"/>
    </row>
    <row r="8769" hidden="1">
      <c r="E8769" s="96"/>
    </row>
    <row r="8770" hidden="1">
      <c r="E8770" s="96"/>
    </row>
    <row r="8771" hidden="1">
      <c r="E8771" s="96"/>
    </row>
    <row r="8772" hidden="1">
      <c r="E8772" s="96"/>
    </row>
    <row r="8773" hidden="1">
      <c r="E8773" s="96"/>
    </row>
    <row r="8774" hidden="1">
      <c r="E8774" s="96"/>
    </row>
    <row r="8775" hidden="1">
      <c r="E8775" s="96"/>
    </row>
    <row r="8776" hidden="1">
      <c r="E8776" s="96"/>
    </row>
    <row r="8777" hidden="1">
      <c r="E8777" s="96"/>
    </row>
    <row r="8778" hidden="1">
      <c r="E8778" s="96"/>
    </row>
    <row r="8779" hidden="1">
      <c r="E8779" s="96"/>
    </row>
    <row r="8780" hidden="1">
      <c r="E8780" s="96"/>
    </row>
    <row r="8781" hidden="1">
      <c r="E8781" s="96"/>
    </row>
    <row r="8782" hidden="1">
      <c r="E8782" s="96"/>
    </row>
    <row r="8783" hidden="1">
      <c r="E8783" s="96"/>
    </row>
    <row r="8784" hidden="1">
      <c r="E8784" s="96"/>
    </row>
    <row r="8785" hidden="1">
      <c r="E8785" s="96"/>
    </row>
    <row r="8786" hidden="1">
      <c r="E8786" s="96"/>
    </row>
    <row r="8787" hidden="1">
      <c r="E8787" s="96"/>
    </row>
    <row r="8788" hidden="1">
      <c r="E8788" s="96"/>
    </row>
    <row r="8789" hidden="1">
      <c r="E8789" s="96"/>
    </row>
    <row r="8790" hidden="1">
      <c r="E8790" s="96"/>
    </row>
    <row r="8791" hidden="1">
      <c r="E8791" s="96"/>
    </row>
    <row r="8792" hidden="1">
      <c r="E8792" s="96"/>
    </row>
    <row r="8793" hidden="1">
      <c r="E8793" s="96"/>
    </row>
    <row r="8794" hidden="1">
      <c r="E8794" s="96"/>
    </row>
    <row r="8795" hidden="1">
      <c r="E8795" s="96"/>
    </row>
    <row r="8796" hidden="1">
      <c r="E8796" s="96"/>
    </row>
    <row r="8797" hidden="1">
      <c r="E8797" s="96"/>
    </row>
    <row r="8798" hidden="1">
      <c r="E8798" s="96"/>
    </row>
    <row r="8799" hidden="1">
      <c r="E8799" s="96"/>
    </row>
    <row r="8800" hidden="1">
      <c r="E8800" s="96"/>
    </row>
    <row r="8801" hidden="1">
      <c r="E8801" s="96"/>
    </row>
    <row r="8802" hidden="1">
      <c r="E8802" s="96"/>
    </row>
    <row r="8803" hidden="1">
      <c r="E8803" s="96"/>
    </row>
    <row r="8804" hidden="1">
      <c r="E8804" s="96"/>
    </row>
    <row r="8805" hidden="1">
      <c r="E8805" s="96"/>
    </row>
    <row r="8806" hidden="1">
      <c r="E8806" s="96"/>
    </row>
    <row r="8807" hidden="1">
      <c r="E8807" s="96"/>
    </row>
    <row r="8808" hidden="1">
      <c r="E8808" s="96"/>
    </row>
    <row r="8809" hidden="1">
      <c r="E8809" s="96"/>
    </row>
    <row r="8810" hidden="1">
      <c r="E8810" s="96"/>
    </row>
    <row r="8811" hidden="1">
      <c r="E8811" s="96"/>
    </row>
    <row r="8812" hidden="1">
      <c r="E8812" s="96"/>
    </row>
    <row r="8813" hidden="1">
      <c r="E8813" s="96"/>
    </row>
    <row r="8814" hidden="1">
      <c r="E8814" s="96"/>
    </row>
    <row r="8815" hidden="1">
      <c r="E8815" s="96"/>
    </row>
    <row r="8816" hidden="1">
      <c r="E8816" s="96"/>
    </row>
    <row r="8817" hidden="1">
      <c r="E8817" s="96"/>
    </row>
    <row r="8818" hidden="1">
      <c r="E8818" s="96"/>
    </row>
    <row r="8819" hidden="1">
      <c r="E8819" s="96"/>
    </row>
    <row r="8820" hidden="1">
      <c r="E8820" s="96"/>
    </row>
    <row r="8821" hidden="1">
      <c r="E8821" s="96"/>
    </row>
    <row r="8822" hidden="1">
      <c r="E8822" s="96"/>
    </row>
    <row r="8823" hidden="1">
      <c r="E8823" s="96"/>
    </row>
    <row r="8824" hidden="1">
      <c r="E8824" s="96"/>
    </row>
    <row r="8825" hidden="1">
      <c r="E8825" s="96"/>
    </row>
    <row r="8826" hidden="1">
      <c r="E8826" s="96"/>
    </row>
    <row r="8827" hidden="1">
      <c r="E8827" s="96"/>
    </row>
    <row r="8828" hidden="1">
      <c r="E8828" s="96"/>
    </row>
    <row r="8829" hidden="1">
      <c r="E8829" s="96"/>
    </row>
    <row r="8830" hidden="1">
      <c r="E8830" s="96"/>
    </row>
    <row r="8831" hidden="1">
      <c r="E8831" s="96"/>
    </row>
    <row r="8832" hidden="1">
      <c r="E8832" s="96"/>
    </row>
    <row r="8833" hidden="1">
      <c r="E8833" s="96"/>
    </row>
    <row r="8834" hidden="1">
      <c r="E8834" s="96"/>
    </row>
    <row r="8835" hidden="1">
      <c r="E8835" s="96"/>
    </row>
    <row r="8836" hidden="1">
      <c r="E8836" s="96"/>
    </row>
    <row r="8837" hidden="1">
      <c r="E8837" s="96"/>
    </row>
    <row r="8838" hidden="1">
      <c r="E8838" s="96"/>
    </row>
    <row r="8839" hidden="1">
      <c r="E8839" s="96"/>
    </row>
    <row r="8840" hidden="1">
      <c r="E8840" s="96"/>
    </row>
    <row r="8841" hidden="1">
      <c r="E8841" s="96"/>
    </row>
    <row r="8842" hidden="1">
      <c r="E8842" s="96"/>
    </row>
    <row r="8843" hidden="1">
      <c r="E8843" s="96"/>
    </row>
    <row r="8844" hidden="1">
      <c r="E8844" s="96"/>
    </row>
    <row r="8845" hidden="1">
      <c r="E8845" s="96"/>
    </row>
    <row r="8846" hidden="1">
      <c r="E8846" s="96"/>
    </row>
    <row r="8847" hidden="1">
      <c r="E8847" s="96"/>
    </row>
    <row r="8848" hidden="1">
      <c r="E8848" s="96"/>
    </row>
    <row r="8849" hidden="1">
      <c r="E8849" s="96"/>
    </row>
    <row r="8850" hidden="1">
      <c r="E8850" s="96"/>
    </row>
    <row r="8851" hidden="1">
      <c r="E8851" s="96"/>
    </row>
    <row r="8852" hidden="1">
      <c r="E8852" s="96"/>
    </row>
    <row r="8853" hidden="1">
      <c r="E8853" s="96"/>
    </row>
    <row r="8854" hidden="1">
      <c r="E8854" s="96"/>
    </row>
    <row r="8855" hidden="1">
      <c r="E8855" s="96"/>
    </row>
    <row r="8856" hidden="1">
      <c r="E8856" s="96"/>
    </row>
    <row r="8857" hidden="1">
      <c r="E8857" s="96"/>
    </row>
    <row r="8858" hidden="1">
      <c r="E8858" s="96"/>
    </row>
    <row r="8859" hidden="1">
      <c r="E8859" s="96"/>
    </row>
    <row r="8860" hidden="1">
      <c r="E8860" s="96"/>
    </row>
    <row r="8861" hidden="1">
      <c r="E8861" s="96"/>
    </row>
    <row r="8862" hidden="1">
      <c r="E8862" s="96"/>
    </row>
    <row r="8863" hidden="1">
      <c r="E8863" s="96"/>
    </row>
    <row r="8864" hidden="1">
      <c r="E8864" s="96"/>
    </row>
    <row r="8865" hidden="1">
      <c r="E8865" s="96"/>
    </row>
    <row r="8866" hidden="1">
      <c r="E8866" s="96"/>
    </row>
    <row r="8867" hidden="1">
      <c r="E8867" s="96"/>
    </row>
    <row r="8868" hidden="1">
      <c r="E8868" s="96"/>
    </row>
    <row r="8869" hidden="1">
      <c r="E8869" s="96"/>
    </row>
    <row r="8870" hidden="1">
      <c r="E8870" s="96"/>
    </row>
    <row r="8871" hidden="1">
      <c r="E8871" s="96"/>
    </row>
    <row r="8872" hidden="1">
      <c r="E8872" s="96"/>
    </row>
    <row r="8873" hidden="1">
      <c r="E8873" s="96"/>
    </row>
    <row r="8874" hidden="1">
      <c r="E8874" s="96"/>
    </row>
    <row r="8875" hidden="1">
      <c r="E8875" s="96"/>
    </row>
    <row r="8876" hidden="1">
      <c r="E8876" s="96"/>
    </row>
    <row r="8877" hidden="1">
      <c r="E8877" s="96"/>
    </row>
    <row r="8878" hidden="1">
      <c r="E8878" s="96"/>
    </row>
    <row r="8879" hidden="1">
      <c r="E8879" s="96"/>
    </row>
    <row r="8880" hidden="1">
      <c r="E8880" s="96"/>
    </row>
    <row r="8881" hidden="1">
      <c r="E8881" s="96"/>
    </row>
    <row r="8882" hidden="1">
      <c r="E8882" s="96"/>
    </row>
    <row r="8883" hidden="1">
      <c r="E8883" s="96"/>
    </row>
    <row r="8884" hidden="1">
      <c r="E8884" s="96"/>
    </row>
    <row r="8885" hidden="1">
      <c r="E8885" s="96"/>
    </row>
    <row r="8886" hidden="1">
      <c r="E8886" s="96"/>
    </row>
    <row r="8887" hidden="1">
      <c r="E8887" s="96"/>
    </row>
    <row r="8888" hidden="1">
      <c r="E8888" s="96"/>
    </row>
    <row r="8889" hidden="1">
      <c r="E8889" s="96"/>
    </row>
    <row r="8890" hidden="1">
      <c r="E8890" s="96"/>
    </row>
    <row r="8891" hidden="1">
      <c r="E8891" s="96"/>
    </row>
    <row r="8892" hidden="1">
      <c r="E8892" s="96"/>
    </row>
    <row r="8893" hidden="1">
      <c r="E8893" s="96"/>
    </row>
    <row r="8894" hidden="1">
      <c r="E8894" s="96"/>
    </row>
    <row r="8895" hidden="1">
      <c r="E8895" s="96"/>
    </row>
    <row r="8896" hidden="1">
      <c r="E8896" s="96"/>
    </row>
    <row r="8897" hidden="1">
      <c r="E8897" s="96"/>
    </row>
    <row r="8898" hidden="1">
      <c r="E8898" s="96"/>
    </row>
    <row r="8899" hidden="1">
      <c r="E8899" s="96"/>
    </row>
    <row r="8900" hidden="1">
      <c r="E8900" s="96"/>
    </row>
    <row r="8901" hidden="1">
      <c r="E8901" s="96"/>
    </row>
    <row r="8902" hidden="1">
      <c r="E8902" s="96"/>
    </row>
    <row r="8903" hidden="1">
      <c r="E8903" s="96"/>
    </row>
    <row r="8904" hidden="1">
      <c r="E8904" s="96"/>
    </row>
    <row r="8905" hidden="1">
      <c r="E8905" s="96"/>
    </row>
    <row r="8906" hidden="1">
      <c r="E8906" s="96"/>
    </row>
    <row r="8907" hidden="1">
      <c r="E8907" s="96"/>
    </row>
    <row r="8908" hidden="1">
      <c r="E8908" s="96"/>
    </row>
    <row r="8909" hidden="1">
      <c r="E8909" s="96"/>
    </row>
    <row r="8910" hidden="1">
      <c r="E8910" s="96"/>
    </row>
    <row r="8911" hidden="1">
      <c r="E8911" s="96"/>
    </row>
    <row r="8912" hidden="1">
      <c r="E8912" s="96"/>
    </row>
    <row r="8913" hidden="1">
      <c r="E8913" s="96"/>
    </row>
    <row r="8914" hidden="1">
      <c r="E8914" s="96"/>
    </row>
    <row r="8915" hidden="1">
      <c r="E8915" s="96"/>
    </row>
    <row r="8916" hidden="1">
      <c r="E8916" s="96"/>
    </row>
    <row r="8917" hidden="1">
      <c r="E8917" s="96"/>
    </row>
    <row r="8918" hidden="1">
      <c r="E8918" s="96"/>
    </row>
    <row r="8919" hidden="1">
      <c r="E8919" s="96"/>
    </row>
    <row r="8920" hidden="1">
      <c r="E8920" s="96"/>
    </row>
    <row r="8921" hidden="1">
      <c r="E8921" s="96"/>
    </row>
    <row r="8922" hidden="1">
      <c r="E8922" s="96"/>
    </row>
    <row r="8923" hidden="1">
      <c r="E8923" s="96"/>
    </row>
    <row r="8924" hidden="1">
      <c r="E8924" s="96"/>
    </row>
    <row r="8925" hidden="1">
      <c r="E8925" s="96"/>
    </row>
    <row r="8926" hidden="1">
      <c r="E8926" s="96"/>
    </row>
    <row r="8927" hidden="1">
      <c r="E8927" s="96"/>
    </row>
    <row r="8928" hidden="1">
      <c r="E8928" s="96"/>
    </row>
    <row r="8929" hidden="1">
      <c r="E8929" s="96"/>
    </row>
    <row r="8930" hidden="1">
      <c r="E8930" s="96"/>
    </row>
    <row r="8931" hidden="1">
      <c r="E8931" s="96"/>
    </row>
    <row r="8932" hidden="1">
      <c r="E8932" s="96"/>
    </row>
    <row r="8933" hidden="1">
      <c r="E8933" s="96"/>
    </row>
    <row r="8934" hidden="1">
      <c r="E8934" s="96"/>
    </row>
    <row r="8935" hidden="1">
      <c r="E8935" s="96"/>
    </row>
    <row r="8936" hidden="1">
      <c r="E8936" s="96"/>
    </row>
    <row r="8937" hidden="1">
      <c r="E8937" s="96"/>
    </row>
    <row r="8938" hidden="1">
      <c r="E8938" s="96"/>
    </row>
    <row r="8939" hidden="1">
      <c r="E8939" s="96"/>
    </row>
    <row r="8940" hidden="1">
      <c r="E8940" s="96"/>
    </row>
    <row r="8941" hidden="1">
      <c r="E8941" s="96"/>
    </row>
    <row r="8942" hidden="1">
      <c r="E8942" s="96"/>
    </row>
    <row r="8943" hidden="1">
      <c r="E8943" s="96"/>
    </row>
    <row r="8944" hidden="1">
      <c r="E8944" s="96"/>
    </row>
    <row r="8945" hidden="1">
      <c r="E8945" s="96"/>
    </row>
    <row r="8946" hidden="1">
      <c r="E8946" s="96"/>
    </row>
    <row r="8947" hidden="1">
      <c r="E8947" s="96"/>
    </row>
    <row r="8948" hidden="1">
      <c r="E8948" s="96"/>
    </row>
    <row r="8949" hidden="1">
      <c r="E8949" s="96"/>
    </row>
    <row r="8950" hidden="1">
      <c r="E8950" s="96"/>
    </row>
    <row r="8951" hidden="1">
      <c r="E8951" s="96"/>
    </row>
    <row r="8952" hidden="1">
      <c r="E8952" s="96"/>
    </row>
    <row r="8953" hidden="1">
      <c r="E8953" s="96"/>
    </row>
    <row r="8954" hidden="1">
      <c r="E8954" s="96"/>
    </row>
    <row r="8955" hidden="1">
      <c r="E8955" s="96"/>
    </row>
    <row r="8956" hidden="1">
      <c r="E8956" s="96"/>
    </row>
    <row r="8957" hidden="1">
      <c r="E8957" s="96"/>
    </row>
    <row r="8958" hidden="1">
      <c r="E8958" s="96"/>
    </row>
    <row r="8959" hidden="1">
      <c r="E8959" s="96"/>
    </row>
    <row r="8960" hidden="1">
      <c r="E8960" s="96"/>
    </row>
    <row r="8961" hidden="1">
      <c r="E8961" s="96"/>
    </row>
    <row r="8962" hidden="1">
      <c r="E8962" s="96"/>
    </row>
    <row r="8963" hidden="1">
      <c r="E8963" s="96"/>
    </row>
    <row r="8964" hidden="1">
      <c r="E8964" s="96"/>
    </row>
    <row r="8965" hidden="1">
      <c r="E8965" s="96"/>
    </row>
    <row r="8966" hidden="1">
      <c r="E8966" s="96"/>
    </row>
    <row r="8967" hidden="1">
      <c r="E8967" s="96"/>
    </row>
    <row r="8968" hidden="1">
      <c r="E8968" s="96"/>
    </row>
    <row r="8969" hidden="1">
      <c r="E8969" s="96"/>
    </row>
    <row r="8970" hidden="1">
      <c r="E8970" s="96"/>
    </row>
    <row r="8971" hidden="1">
      <c r="E8971" s="96"/>
    </row>
    <row r="8972" hidden="1">
      <c r="E8972" s="96"/>
    </row>
    <row r="8973" hidden="1">
      <c r="E8973" s="96"/>
    </row>
    <row r="8974" hidden="1">
      <c r="E8974" s="96"/>
    </row>
    <row r="8975" hidden="1">
      <c r="E8975" s="96"/>
    </row>
    <row r="8976" hidden="1">
      <c r="E8976" s="96"/>
    </row>
    <row r="8977" hidden="1">
      <c r="E8977" s="96"/>
    </row>
    <row r="8978" hidden="1">
      <c r="E8978" s="96"/>
    </row>
    <row r="8979" hidden="1">
      <c r="E8979" s="96"/>
    </row>
    <row r="8980" hidden="1">
      <c r="E8980" s="96"/>
    </row>
    <row r="8981" hidden="1">
      <c r="E8981" s="96"/>
    </row>
    <row r="8982" hidden="1">
      <c r="E8982" s="96"/>
    </row>
    <row r="8983" hidden="1">
      <c r="E8983" s="96"/>
    </row>
    <row r="8984" hidden="1">
      <c r="E8984" s="96"/>
    </row>
    <row r="8985" hidden="1">
      <c r="E8985" s="96"/>
    </row>
    <row r="8986" hidden="1">
      <c r="E8986" s="96"/>
    </row>
    <row r="8987" hidden="1">
      <c r="E8987" s="96"/>
    </row>
    <row r="8988" hidden="1">
      <c r="E8988" s="96"/>
    </row>
    <row r="8989" hidden="1">
      <c r="E8989" s="96"/>
    </row>
    <row r="8990" hidden="1">
      <c r="E8990" s="96"/>
    </row>
    <row r="8991" hidden="1">
      <c r="E8991" s="96"/>
    </row>
    <row r="8992" hidden="1">
      <c r="E8992" s="96"/>
    </row>
    <row r="8993" hidden="1">
      <c r="E8993" s="96"/>
    </row>
    <row r="8994" hidden="1">
      <c r="E8994" s="96"/>
    </row>
    <row r="8995" hidden="1">
      <c r="E8995" s="96"/>
    </row>
    <row r="8996" hidden="1">
      <c r="E8996" s="96"/>
    </row>
    <row r="8997" hidden="1">
      <c r="E8997" s="96"/>
    </row>
    <row r="8998" hidden="1">
      <c r="E8998" s="96"/>
    </row>
    <row r="8999" hidden="1">
      <c r="E8999" s="96"/>
    </row>
    <row r="9000" hidden="1">
      <c r="E9000" s="96"/>
    </row>
    <row r="9001" hidden="1">
      <c r="E9001" s="96"/>
    </row>
    <row r="9002" hidden="1">
      <c r="E9002" s="96"/>
    </row>
    <row r="9003" hidden="1">
      <c r="E9003" s="96"/>
    </row>
    <row r="9004" hidden="1">
      <c r="E9004" s="96"/>
    </row>
    <row r="9005" hidden="1">
      <c r="E9005" s="96"/>
    </row>
    <row r="9006" hidden="1">
      <c r="E9006" s="96"/>
    </row>
    <row r="9007" hidden="1">
      <c r="E9007" s="96"/>
    </row>
    <row r="9008" hidden="1">
      <c r="E9008" s="96"/>
    </row>
    <row r="9009" hidden="1">
      <c r="E9009" s="96"/>
    </row>
    <row r="9010" hidden="1">
      <c r="E9010" s="96"/>
    </row>
    <row r="9011" hidden="1">
      <c r="E9011" s="96"/>
    </row>
    <row r="9012" hidden="1">
      <c r="E9012" s="96"/>
    </row>
    <row r="9013" hidden="1">
      <c r="E9013" s="96"/>
    </row>
    <row r="9014" hidden="1">
      <c r="E9014" s="96"/>
    </row>
    <row r="9015" hidden="1">
      <c r="E9015" s="96"/>
    </row>
    <row r="9016" hidden="1">
      <c r="E9016" s="96"/>
    </row>
    <row r="9017" hidden="1">
      <c r="E9017" s="96"/>
    </row>
    <row r="9018" hidden="1">
      <c r="E9018" s="96"/>
    </row>
    <row r="9019" hidden="1">
      <c r="E9019" s="96"/>
    </row>
    <row r="9020" hidden="1">
      <c r="E9020" s="96"/>
    </row>
    <row r="9021" hidden="1">
      <c r="E9021" s="96"/>
    </row>
    <row r="9022" hidden="1">
      <c r="E9022" s="96"/>
    </row>
    <row r="9023" hidden="1">
      <c r="E9023" s="96"/>
    </row>
    <row r="9024" hidden="1">
      <c r="E9024" s="96"/>
    </row>
    <row r="9025" hidden="1">
      <c r="E9025" s="96"/>
    </row>
    <row r="9026" hidden="1">
      <c r="E9026" s="96"/>
    </row>
    <row r="9027" hidden="1">
      <c r="E9027" s="96"/>
    </row>
    <row r="9028" hidden="1">
      <c r="E9028" s="96"/>
    </row>
    <row r="9029" hidden="1">
      <c r="E9029" s="96"/>
    </row>
    <row r="9030" hidden="1">
      <c r="E9030" s="96"/>
    </row>
    <row r="9031" hidden="1">
      <c r="E9031" s="96"/>
    </row>
    <row r="9032" hidden="1">
      <c r="E9032" s="96"/>
    </row>
    <row r="9033" hidden="1">
      <c r="E9033" s="96"/>
    </row>
    <row r="9034" hidden="1">
      <c r="E9034" s="96"/>
    </row>
    <row r="9035" hidden="1">
      <c r="E9035" s="96"/>
    </row>
    <row r="9036" hidden="1">
      <c r="E9036" s="96"/>
    </row>
    <row r="9037" hidden="1">
      <c r="E9037" s="96"/>
    </row>
    <row r="9038" hidden="1">
      <c r="E9038" s="96"/>
    </row>
    <row r="9039" hidden="1">
      <c r="E9039" s="96"/>
    </row>
    <row r="9040" hidden="1">
      <c r="E9040" s="96"/>
    </row>
    <row r="9041" hidden="1">
      <c r="E9041" s="96"/>
    </row>
    <row r="9042" hidden="1">
      <c r="E9042" s="96"/>
    </row>
    <row r="9043" hidden="1">
      <c r="E9043" s="96"/>
    </row>
    <row r="9044" hidden="1">
      <c r="E9044" s="96"/>
    </row>
    <row r="9045" hidden="1">
      <c r="E9045" s="96"/>
    </row>
    <row r="9046" hidden="1">
      <c r="E9046" s="96"/>
    </row>
    <row r="9047" hidden="1">
      <c r="E9047" s="96"/>
    </row>
    <row r="9048" hidden="1">
      <c r="E9048" s="96"/>
    </row>
    <row r="9049" hidden="1">
      <c r="E9049" s="96"/>
    </row>
    <row r="9050" hidden="1">
      <c r="E9050" s="96"/>
    </row>
    <row r="9051" hidden="1">
      <c r="E9051" s="96"/>
    </row>
    <row r="9052" hidden="1">
      <c r="E9052" s="96"/>
    </row>
    <row r="9053" hidden="1">
      <c r="E9053" s="96"/>
    </row>
    <row r="9054" hidden="1">
      <c r="E9054" s="96"/>
    </row>
    <row r="9055" hidden="1">
      <c r="E9055" s="96"/>
    </row>
    <row r="9056" hidden="1">
      <c r="E9056" s="96"/>
    </row>
    <row r="9057" hidden="1">
      <c r="E9057" s="96"/>
    </row>
    <row r="9058" hidden="1">
      <c r="E9058" s="96"/>
    </row>
    <row r="9059" hidden="1">
      <c r="E9059" s="96"/>
    </row>
    <row r="9060" hidden="1">
      <c r="E9060" s="96"/>
    </row>
    <row r="9061" hidden="1">
      <c r="E9061" s="96"/>
    </row>
    <row r="9062" hidden="1">
      <c r="E9062" s="96"/>
    </row>
    <row r="9063" hidden="1">
      <c r="E9063" s="96"/>
    </row>
    <row r="9064" hidden="1">
      <c r="E9064" s="96"/>
    </row>
    <row r="9065" hidden="1">
      <c r="E9065" s="96"/>
    </row>
    <row r="9066" hidden="1">
      <c r="E9066" s="96"/>
    </row>
    <row r="9067" hidden="1">
      <c r="E9067" s="96"/>
    </row>
    <row r="9068" hidden="1">
      <c r="E9068" s="96"/>
    </row>
    <row r="9069" hidden="1">
      <c r="E9069" s="96"/>
    </row>
    <row r="9070" hidden="1">
      <c r="E9070" s="96"/>
    </row>
    <row r="9071" hidden="1">
      <c r="E9071" s="96"/>
    </row>
    <row r="9072" hidden="1">
      <c r="E9072" s="96"/>
    </row>
    <row r="9073" hidden="1">
      <c r="E9073" s="96"/>
    </row>
    <row r="9074" hidden="1">
      <c r="E9074" s="96"/>
    </row>
    <row r="9075" hidden="1">
      <c r="E9075" s="96"/>
    </row>
    <row r="9076" hidden="1">
      <c r="E9076" s="96"/>
    </row>
    <row r="9077" hidden="1">
      <c r="E9077" s="96"/>
    </row>
    <row r="9078" hidden="1">
      <c r="E9078" s="96"/>
    </row>
    <row r="9079" hidden="1">
      <c r="E9079" s="96"/>
    </row>
    <row r="9080" hidden="1">
      <c r="E9080" s="96"/>
    </row>
    <row r="9081" hidden="1">
      <c r="E9081" s="96"/>
    </row>
    <row r="9082" hidden="1">
      <c r="E9082" s="96"/>
    </row>
    <row r="9083" hidden="1">
      <c r="E9083" s="96"/>
    </row>
    <row r="9084" hidden="1">
      <c r="E9084" s="96"/>
    </row>
    <row r="9085" hidden="1">
      <c r="E9085" s="96"/>
    </row>
    <row r="9086" hidden="1">
      <c r="E9086" s="96"/>
    </row>
    <row r="9087" hidden="1">
      <c r="E9087" s="96"/>
    </row>
    <row r="9088" hidden="1">
      <c r="E9088" s="96"/>
    </row>
    <row r="9089" hidden="1">
      <c r="E9089" s="96"/>
    </row>
    <row r="9090" hidden="1">
      <c r="E9090" s="96"/>
    </row>
    <row r="9091" hidden="1">
      <c r="E9091" s="96"/>
    </row>
    <row r="9092" hidden="1">
      <c r="E9092" s="96"/>
    </row>
    <row r="9093" hidden="1">
      <c r="E9093" s="96"/>
    </row>
    <row r="9094" hidden="1">
      <c r="E9094" s="96"/>
    </row>
    <row r="9095" hidden="1">
      <c r="E9095" s="96"/>
    </row>
    <row r="9096" hidden="1">
      <c r="E9096" s="96"/>
    </row>
    <row r="9097" hidden="1">
      <c r="E9097" s="96"/>
    </row>
    <row r="9098" hidden="1">
      <c r="E9098" s="96"/>
    </row>
    <row r="9099" hidden="1">
      <c r="E9099" s="96"/>
    </row>
    <row r="9100" hidden="1">
      <c r="E9100" s="96"/>
    </row>
    <row r="9101" hidden="1">
      <c r="E9101" s="96"/>
    </row>
    <row r="9102" hidden="1">
      <c r="E9102" s="96"/>
    </row>
    <row r="9103" hidden="1">
      <c r="E9103" s="96"/>
    </row>
    <row r="9104" hidden="1">
      <c r="E9104" s="96"/>
    </row>
    <row r="9105" hidden="1">
      <c r="E9105" s="96"/>
    </row>
    <row r="9106" hidden="1">
      <c r="E9106" s="96"/>
    </row>
    <row r="9107" hidden="1">
      <c r="E9107" s="96"/>
    </row>
    <row r="9108" hidden="1">
      <c r="E9108" s="96"/>
    </row>
    <row r="9109" hidden="1">
      <c r="E9109" s="96"/>
    </row>
    <row r="9110" hidden="1">
      <c r="E9110" s="96"/>
    </row>
    <row r="9111" hidden="1">
      <c r="E9111" s="96"/>
    </row>
    <row r="9112" hidden="1">
      <c r="E9112" s="96"/>
    </row>
    <row r="9113" hidden="1">
      <c r="E9113" s="96"/>
    </row>
    <row r="9114" hidden="1">
      <c r="E9114" s="96"/>
    </row>
    <row r="9115" hidden="1">
      <c r="E9115" s="96"/>
    </row>
    <row r="9116" hidden="1">
      <c r="E9116" s="96"/>
    </row>
    <row r="9117" hidden="1">
      <c r="E9117" s="96"/>
    </row>
    <row r="9118" hidden="1">
      <c r="E9118" s="96"/>
    </row>
    <row r="9119" hidden="1">
      <c r="E9119" s="96"/>
    </row>
    <row r="9120" hidden="1">
      <c r="E9120" s="96"/>
    </row>
    <row r="9121" hidden="1">
      <c r="E9121" s="96"/>
    </row>
    <row r="9122" hidden="1">
      <c r="E9122" s="96"/>
    </row>
    <row r="9123" hidden="1">
      <c r="E9123" s="96"/>
    </row>
    <row r="9124" hidden="1">
      <c r="E9124" s="96"/>
    </row>
    <row r="9125" hidden="1">
      <c r="E9125" s="96"/>
    </row>
    <row r="9126" hidden="1">
      <c r="E9126" s="96"/>
    </row>
    <row r="9127" hidden="1">
      <c r="E9127" s="96"/>
    </row>
    <row r="9128" hidden="1">
      <c r="E9128" s="96"/>
    </row>
    <row r="9129" hidden="1">
      <c r="E9129" s="96"/>
    </row>
    <row r="9130" hidden="1">
      <c r="E9130" s="96"/>
    </row>
    <row r="9131" hidden="1">
      <c r="E9131" s="96"/>
    </row>
    <row r="9132" hidden="1">
      <c r="E9132" s="96"/>
    </row>
    <row r="9133" hidden="1">
      <c r="E9133" s="96"/>
    </row>
    <row r="9134" hidden="1">
      <c r="E9134" s="96"/>
    </row>
    <row r="9135" hidden="1">
      <c r="E9135" s="96"/>
    </row>
    <row r="9136" hidden="1">
      <c r="E9136" s="96"/>
    </row>
    <row r="9137" hidden="1">
      <c r="E9137" s="96"/>
    </row>
    <row r="9138" hidden="1">
      <c r="E9138" s="96"/>
    </row>
    <row r="9139" hidden="1">
      <c r="E9139" s="96"/>
    </row>
    <row r="9140" hidden="1">
      <c r="E9140" s="96"/>
    </row>
    <row r="9141" hidden="1">
      <c r="E9141" s="96"/>
    </row>
    <row r="9142" hidden="1">
      <c r="E9142" s="96"/>
    </row>
    <row r="9143" hidden="1">
      <c r="E9143" s="96"/>
    </row>
    <row r="9144" hidden="1">
      <c r="E9144" s="96"/>
    </row>
    <row r="9145" hidden="1">
      <c r="E9145" s="96"/>
    </row>
    <row r="9146" hidden="1">
      <c r="E9146" s="96"/>
    </row>
    <row r="9147" hidden="1">
      <c r="E9147" s="96"/>
    </row>
    <row r="9148" hidden="1">
      <c r="E9148" s="96"/>
    </row>
    <row r="9149" hidden="1">
      <c r="E9149" s="96"/>
    </row>
    <row r="9150" hidden="1">
      <c r="E9150" s="96"/>
    </row>
    <row r="9151" hidden="1">
      <c r="E9151" s="96"/>
    </row>
    <row r="9152" hidden="1">
      <c r="E9152" s="96"/>
    </row>
    <row r="9153" hidden="1">
      <c r="E9153" s="96"/>
    </row>
    <row r="9154" hidden="1">
      <c r="E9154" s="96"/>
    </row>
    <row r="9155" hidden="1">
      <c r="E9155" s="96"/>
    </row>
    <row r="9156" hidden="1">
      <c r="E9156" s="96"/>
    </row>
    <row r="9157" hidden="1">
      <c r="E9157" s="96"/>
    </row>
    <row r="9158" hidden="1">
      <c r="E9158" s="96"/>
    </row>
    <row r="9159" hidden="1">
      <c r="E9159" s="96"/>
    </row>
    <row r="9160" hidden="1">
      <c r="E9160" s="96"/>
    </row>
    <row r="9161" hidden="1">
      <c r="E9161" s="96"/>
    </row>
    <row r="9162" hidden="1">
      <c r="E9162" s="96"/>
    </row>
    <row r="9163" hidden="1">
      <c r="E9163" s="96"/>
    </row>
    <row r="9164" hidden="1">
      <c r="E9164" s="96"/>
    </row>
    <row r="9165" hidden="1">
      <c r="E9165" s="96"/>
    </row>
    <row r="9166" hidden="1">
      <c r="E9166" s="96"/>
    </row>
    <row r="9167" hidden="1">
      <c r="E9167" s="96"/>
    </row>
    <row r="9168" hidden="1">
      <c r="E9168" s="96"/>
    </row>
    <row r="9169" hidden="1">
      <c r="E9169" s="96"/>
    </row>
    <row r="9170" hidden="1">
      <c r="E9170" s="96"/>
    </row>
    <row r="9171" hidden="1">
      <c r="E9171" s="96"/>
    </row>
    <row r="9172" hidden="1">
      <c r="E9172" s="96"/>
    </row>
    <row r="9173" hidden="1">
      <c r="E9173" s="96"/>
    </row>
    <row r="9174" hidden="1">
      <c r="E9174" s="96"/>
    </row>
    <row r="9175" hidden="1">
      <c r="E9175" s="96"/>
    </row>
    <row r="9176" hidden="1">
      <c r="E9176" s="96"/>
    </row>
    <row r="9177" hidden="1">
      <c r="E9177" s="96"/>
    </row>
    <row r="9178" hidden="1">
      <c r="E9178" s="96"/>
    </row>
    <row r="9179" hidden="1">
      <c r="E9179" s="96"/>
    </row>
    <row r="9180" hidden="1">
      <c r="E9180" s="96"/>
    </row>
    <row r="9181" hidden="1">
      <c r="E9181" s="96"/>
    </row>
    <row r="9182" hidden="1">
      <c r="E9182" s="96"/>
    </row>
    <row r="9183" hidden="1">
      <c r="E9183" s="96"/>
    </row>
    <row r="9184" hidden="1">
      <c r="E9184" s="96"/>
    </row>
    <row r="9185" hidden="1">
      <c r="E9185" s="96"/>
    </row>
    <row r="9186" hidden="1">
      <c r="E9186" s="96"/>
    </row>
    <row r="9187" hidden="1">
      <c r="E9187" s="96"/>
    </row>
    <row r="9188" hidden="1">
      <c r="E9188" s="96"/>
    </row>
    <row r="9189" hidden="1">
      <c r="E9189" s="96"/>
    </row>
    <row r="9190" hidden="1">
      <c r="E9190" s="96"/>
    </row>
    <row r="9191" hidden="1">
      <c r="E9191" s="96"/>
    </row>
    <row r="9192" hidden="1">
      <c r="E9192" s="96"/>
    </row>
    <row r="9193" hidden="1">
      <c r="E9193" s="96"/>
    </row>
    <row r="9194" hidden="1">
      <c r="E9194" s="96"/>
    </row>
    <row r="9195" hidden="1">
      <c r="E9195" s="96"/>
    </row>
    <row r="9196" hidden="1">
      <c r="E9196" s="96"/>
    </row>
    <row r="9197" hidden="1">
      <c r="E9197" s="96"/>
    </row>
    <row r="9198" hidden="1">
      <c r="E9198" s="96"/>
    </row>
    <row r="9199" hidden="1">
      <c r="E9199" s="96"/>
    </row>
    <row r="9200" hidden="1">
      <c r="E9200" s="96"/>
    </row>
    <row r="9201" hidden="1">
      <c r="E9201" s="96"/>
    </row>
    <row r="9202" hidden="1">
      <c r="E9202" s="96"/>
    </row>
    <row r="9203" hidden="1">
      <c r="E9203" s="96"/>
    </row>
    <row r="9204" hidden="1">
      <c r="E9204" s="96"/>
    </row>
    <row r="9205" hidden="1">
      <c r="E9205" s="96"/>
    </row>
    <row r="9206" hidden="1">
      <c r="E9206" s="96"/>
    </row>
    <row r="9207" hidden="1">
      <c r="E9207" s="96"/>
    </row>
    <row r="9208" hidden="1">
      <c r="E9208" s="96"/>
    </row>
    <row r="9209" hidden="1">
      <c r="E9209" s="96"/>
    </row>
    <row r="9210" hidden="1">
      <c r="E9210" s="96"/>
    </row>
    <row r="9211" hidden="1">
      <c r="E9211" s="96"/>
    </row>
    <row r="9212" hidden="1">
      <c r="E9212" s="96"/>
    </row>
    <row r="9213" hidden="1">
      <c r="E9213" s="96"/>
    </row>
    <row r="9214" hidden="1">
      <c r="E9214" s="96"/>
    </row>
    <row r="9215" hidden="1">
      <c r="E9215" s="96"/>
    </row>
    <row r="9216" hidden="1">
      <c r="E9216" s="96"/>
    </row>
    <row r="9217" hidden="1">
      <c r="E9217" s="96"/>
    </row>
    <row r="9218" hidden="1">
      <c r="E9218" s="96"/>
    </row>
    <row r="9219" hidden="1">
      <c r="E9219" s="96"/>
    </row>
    <row r="9220" hidden="1">
      <c r="E9220" s="96"/>
    </row>
    <row r="9221" hidden="1">
      <c r="E9221" s="96"/>
    </row>
    <row r="9222" hidden="1">
      <c r="E9222" s="96"/>
    </row>
    <row r="9223" hidden="1">
      <c r="E9223" s="96"/>
    </row>
    <row r="9224" hidden="1">
      <c r="E9224" s="96"/>
    </row>
    <row r="9225" hidden="1">
      <c r="E9225" s="96"/>
    </row>
    <row r="9226" hidden="1">
      <c r="E9226" s="96"/>
    </row>
    <row r="9227" hidden="1">
      <c r="E9227" s="96"/>
    </row>
    <row r="9228" hidden="1">
      <c r="E9228" s="96"/>
    </row>
    <row r="9229" hidden="1">
      <c r="E9229" s="96"/>
    </row>
    <row r="9230" hidden="1">
      <c r="E9230" s="96"/>
    </row>
    <row r="9231" hidden="1">
      <c r="E9231" s="96"/>
    </row>
    <row r="9232" hidden="1">
      <c r="E9232" s="96"/>
    </row>
    <row r="9233" hidden="1">
      <c r="E9233" s="96"/>
    </row>
    <row r="9234" hidden="1">
      <c r="E9234" s="96"/>
    </row>
    <row r="9235" hidden="1">
      <c r="E9235" s="96"/>
    </row>
    <row r="9236" hidden="1">
      <c r="E9236" s="96"/>
    </row>
    <row r="9237" hidden="1">
      <c r="E9237" s="96"/>
    </row>
    <row r="9238" hidden="1">
      <c r="E9238" s="96"/>
    </row>
    <row r="9239" hidden="1">
      <c r="E9239" s="96"/>
    </row>
    <row r="9240" hidden="1">
      <c r="E9240" s="96"/>
    </row>
    <row r="9241" hidden="1">
      <c r="E9241" s="96"/>
    </row>
    <row r="9242" hidden="1">
      <c r="E9242" s="96"/>
    </row>
    <row r="9243" hidden="1">
      <c r="E9243" s="96"/>
    </row>
    <row r="9244" hidden="1">
      <c r="E9244" s="96"/>
    </row>
    <row r="9245" hidden="1">
      <c r="E9245" s="96"/>
    </row>
    <row r="9246" hidden="1">
      <c r="E9246" s="96"/>
    </row>
    <row r="9247" hidden="1">
      <c r="E9247" s="96"/>
    </row>
    <row r="9248" hidden="1">
      <c r="E9248" s="96"/>
    </row>
    <row r="9249" hidden="1">
      <c r="E9249" s="96"/>
    </row>
    <row r="9250" hidden="1">
      <c r="E9250" s="96"/>
    </row>
    <row r="9251" hidden="1">
      <c r="E9251" s="96"/>
    </row>
    <row r="9252" hidden="1">
      <c r="E9252" s="96"/>
    </row>
    <row r="9253" hidden="1">
      <c r="E9253" s="96"/>
    </row>
    <row r="9254" hidden="1">
      <c r="E9254" s="96"/>
    </row>
    <row r="9255" hidden="1">
      <c r="E9255" s="96"/>
    </row>
    <row r="9256" hidden="1">
      <c r="E9256" s="96"/>
    </row>
    <row r="9257" hidden="1">
      <c r="E9257" s="96"/>
    </row>
    <row r="9258" hidden="1">
      <c r="E9258" s="96"/>
    </row>
    <row r="9259" hidden="1">
      <c r="E9259" s="96"/>
    </row>
    <row r="9260" hidden="1">
      <c r="E9260" s="96"/>
    </row>
    <row r="9261" hidden="1">
      <c r="E9261" s="96"/>
    </row>
    <row r="9262" hidden="1">
      <c r="E9262" s="96"/>
    </row>
    <row r="9263" hidden="1">
      <c r="E9263" s="96"/>
    </row>
    <row r="9264" hidden="1">
      <c r="E9264" s="96"/>
    </row>
    <row r="9265" hidden="1">
      <c r="E9265" s="96"/>
    </row>
    <row r="9266" hidden="1">
      <c r="E9266" s="96"/>
    </row>
    <row r="9267" hidden="1">
      <c r="E9267" s="96"/>
    </row>
    <row r="9268" hidden="1">
      <c r="E9268" s="96"/>
    </row>
    <row r="9269" hidden="1">
      <c r="E9269" s="96"/>
    </row>
    <row r="9270" hidden="1">
      <c r="E9270" s="96"/>
    </row>
    <row r="9271" hidden="1">
      <c r="E9271" s="96"/>
    </row>
    <row r="9272" hidden="1">
      <c r="E9272" s="96"/>
    </row>
    <row r="9273" hidden="1">
      <c r="E9273" s="96"/>
    </row>
    <row r="9274" hidden="1">
      <c r="E9274" s="96"/>
    </row>
    <row r="9275" hidden="1">
      <c r="E9275" s="96"/>
    </row>
    <row r="9276" hidden="1">
      <c r="E9276" s="96"/>
    </row>
    <row r="9277" hidden="1">
      <c r="E9277" s="96"/>
    </row>
    <row r="9278" hidden="1">
      <c r="E9278" s="96"/>
    </row>
    <row r="9279" hidden="1">
      <c r="E9279" s="96"/>
    </row>
    <row r="9280" hidden="1">
      <c r="E9280" s="96"/>
    </row>
    <row r="9281" hidden="1">
      <c r="E9281" s="96"/>
    </row>
    <row r="9282" hidden="1">
      <c r="E9282" s="96"/>
    </row>
    <row r="9283" hidden="1">
      <c r="E9283" s="96"/>
    </row>
    <row r="9284" hidden="1">
      <c r="E9284" s="96"/>
    </row>
    <row r="9285" hidden="1">
      <c r="E9285" s="96"/>
    </row>
    <row r="9286" hidden="1">
      <c r="E9286" s="96"/>
    </row>
    <row r="9287" hidden="1">
      <c r="E9287" s="96"/>
    </row>
    <row r="9288" hidden="1">
      <c r="E9288" s="96"/>
    </row>
    <row r="9289" hidden="1">
      <c r="E9289" s="96"/>
    </row>
    <row r="9290" hidden="1">
      <c r="E9290" s="96"/>
    </row>
    <row r="9291" hidden="1">
      <c r="E9291" s="96"/>
    </row>
    <row r="9292" hidden="1">
      <c r="E9292" s="96"/>
    </row>
    <row r="9293" hidden="1">
      <c r="E9293" s="96"/>
    </row>
    <row r="9294" hidden="1">
      <c r="E9294" s="96"/>
    </row>
    <row r="9295" hidden="1">
      <c r="E9295" s="96"/>
    </row>
    <row r="9296" hidden="1">
      <c r="E9296" s="96"/>
    </row>
    <row r="9297" hidden="1">
      <c r="E9297" s="96"/>
    </row>
    <row r="9298" hidden="1">
      <c r="E9298" s="96"/>
    </row>
    <row r="9299" hidden="1">
      <c r="E9299" s="96"/>
    </row>
    <row r="9300" hidden="1">
      <c r="E9300" s="96"/>
    </row>
    <row r="9301" hidden="1">
      <c r="E9301" s="96"/>
    </row>
    <row r="9302" hidden="1">
      <c r="E9302" s="96"/>
    </row>
    <row r="9303" hidden="1">
      <c r="E9303" s="96"/>
    </row>
    <row r="9304" hidden="1">
      <c r="E9304" s="96"/>
    </row>
    <row r="9305" hidden="1">
      <c r="E9305" s="96"/>
    </row>
    <row r="9306" hidden="1">
      <c r="E9306" s="96"/>
    </row>
    <row r="9307" hidden="1">
      <c r="E9307" s="96"/>
    </row>
    <row r="9308" hidden="1">
      <c r="E9308" s="96"/>
    </row>
    <row r="9309" hidden="1">
      <c r="E9309" s="96"/>
    </row>
    <row r="9310" hidden="1">
      <c r="E9310" s="96"/>
    </row>
    <row r="9311" hidden="1">
      <c r="E9311" s="96"/>
    </row>
    <row r="9312" hidden="1">
      <c r="E9312" s="96"/>
    </row>
    <row r="9313" hidden="1">
      <c r="E9313" s="96"/>
    </row>
    <row r="9314" hidden="1">
      <c r="E9314" s="96"/>
    </row>
    <row r="9315" hidden="1">
      <c r="E9315" s="96"/>
    </row>
    <row r="9316" hidden="1">
      <c r="E9316" s="96"/>
    </row>
    <row r="9317" hidden="1">
      <c r="E9317" s="96"/>
    </row>
    <row r="9318" hidden="1">
      <c r="E9318" s="96"/>
    </row>
    <row r="9319" hidden="1">
      <c r="E9319" s="96"/>
    </row>
    <row r="9320" hidden="1">
      <c r="E9320" s="96"/>
    </row>
    <row r="9321" hidden="1">
      <c r="E9321" s="96"/>
    </row>
    <row r="9322" hidden="1">
      <c r="E9322" s="96"/>
    </row>
    <row r="9323" hidden="1">
      <c r="E9323" s="96"/>
    </row>
    <row r="9324" hidden="1">
      <c r="E9324" s="96"/>
    </row>
    <row r="9325" hidden="1">
      <c r="E9325" s="96"/>
    </row>
    <row r="9326" hidden="1">
      <c r="E9326" s="96"/>
    </row>
    <row r="9327" hidden="1">
      <c r="E9327" s="96"/>
    </row>
    <row r="9328" hidden="1">
      <c r="E9328" s="96"/>
    </row>
    <row r="9329" hidden="1">
      <c r="E9329" s="96"/>
    </row>
    <row r="9330" hidden="1">
      <c r="E9330" s="96"/>
    </row>
    <row r="9331" hidden="1">
      <c r="E9331" s="96"/>
    </row>
    <row r="9332" hidden="1">
      <c r="E9332" s="96"/>
    </row>
    <row r="9333" hidden="1">
      <c r="E9333" s="96"/>
    </row>
    <row r="9334" hidden="1">
      <c r="E9334" s="96"/>
    </row>
    <row r="9335" hidden="1">
      <c r="E9335" s="96"/>
    </row>
    <row r="9336" hidden="1">
      <c r="E9336" s="96"/>
    </row>
    <row r="9337" hidden="1">
      <c r="E9337" s="96"/>
    </row>
    <row r="9338" hidden="1">
      <c r="E9338" s="96"/>
    </row>
    <row r="9339" hidden="1">
      <c r="E9339" s="96"/>
    </row>
    <row r="9340" hidden="1">
      <c r="E9340" s="96"/>
    </row>
    <row r="9341" hidden="1">
      <c r="E9341" s="96"/>
    </row>
    <row r="9342" hidden="1">
      <c r="E9342" s="96"/>
    </row>
    <row r="9343" hidden="1">
      <c r="E9343" s="96"/>
    </row>
    <row r="9344" hidden="1">
      <c r="E9344" s="96"/>
    </row>
    <row r="9345" hidden="1">
      <c r="E9345" s="96"/>
    </row>
    <row r="9346" hidden="1">
      <c r="E9346" s="96"/>
    </row>
    <row r="9347" hidden="1">
      <c r="E9347" s="96"/>
    </row>
    <row r="9348" hidden="1">
      <c r="E9348" s="96"/>
    </row>
    <row r="9349" hidden="1">
      <c r="E9349" s="96"/>
    </row>
    <row r="9350" hidden="1">
      <c r="E9350" s="96"/>
    </row>
    <row r="9351" hidden="1">
      <c r="E9351" s="96"/>
    </row>
    <row r="9352" hidden="1">
      <c r="E9352" s="96"/>
    </row>
    <row r="9353" hidden="1">
      <c r="E9353" s="96"/>
    </row>
    <row r="9354" hidden="1">
      <c r="E9354" s="96"/>
    </row>
    <row r="9355" hidden="1">
      <c r="E9355" s="96"/>
    </row>
    <row r="9356" hidden="1">
      <c r="E9356" s="96"/>
    </row>
    <row r="9357" hidden="1">
      <c r="E9357" s="96"/>
    </row>
    <row r="9358" hidden="1">
      <c r="E9358" s="96"/>
    </row>
    <row r="9359" hidden="1">
      <c r="E9359" s="96"/>
    </row>
    <row r="9360" hidden="1">
      <c r="E9360" s="96"/>
    </row>
    <row r="9361" hidden="1">
      <c r="E9361" s="96"/>
    </row>
    <row r="9362" hidden="1">
      <c r="E9362" s="96"/>
    </row>
    <row r="9363" hidden="1">
      <c r="E9363" s="96"/>
    </row>
    <row r="9364" hidden="1">
      <c r="E9364" s="96"/>
    </row>
    <row r="9365" hidden="1">
      <c r="E9365" s="96"/>
    </row>
    <row r="9366" hidden="1">
      <c r="E9366" s="96"/>
    </row>
    <row r="9367" hidden="1">
      <c r="E9367" s="96"/>
    </row>
    <row r="9368" hidden="1">
      <c r="E9368" s="96"/>
    </row>
    <row r="9369" hidden="1">
      <c r="E9369" s="96"/>
    </row>
    <row r="9370" hidden="1">
      <c r="E9370" s="96"/>
    </row>
    <row r="9371" hidden="1">
      <c r="E9371" s="96"/>
    </row>
    <row r="9372" hidden="1">
      <c r="E9372" s="96"/>
    </row>
    <row r="9373" hidden="1">
      <c r="E9373" s="96"/>
    </row>
    <row r="9374" hidden="1">
      <c r="E9374" s="96"/>
    </row>
    <row r="9375" hidden="1">
      <c r="E9375" s="96"/>
    </row>
    <row r="9376" hidden="1">
      <c r="E9376" s="96"/>
    </row>
    <row r="9377" hidden="1">
      <c r="E9377" s="96"/>
    </row>
    <row r="9378" hidden="1">
      <c r="E9378" s="96"/>
    </row>
    <row r="9379" hidden="1">
      <c r="E9379" s="96"/>
    </row>
    <row r="9380" hidden="1">
      <c r="E9380" s="96"/>
    </row>
    <row r="9381" hidden="1">
      <c r="E9381" s="96"/>
    </row>
    <row r="9382" hidden="1">
      <c r="E9382" s="96"/>
    </row>
    <row r="9383" hidden="1">
      <c r="E9383" s="96"/>
    </row>
    <row r="9384" hidden="1">
      <c r="E9384" s="96"/>
    </row>
    <row r="9385" hidden="1">
      <c r="E9385" s="96"/>
    </row>
    <row r="9386" hidden="1">
      <c r="E9386" s="96"/>
    </row>
    <row r="9387" hidden="1">
      <c r="E9387" s="96"/>
    </row>
    <row r="9388" hidden="1">
      <c r="E9388" s="96"/>
    </row>
    <row r="9389" hidden="1">
      <c r="E9389" s="96"/>
    </row>
    <row r="9390" hidden="1">
      <c r="E9390" s="96"/>
    </row>
    <row r="9391" hidden="1">
      <c r="E9391" s="96"/>
    </row>
    <row r="9392" hidden="1">
      <c r="E9392" s="96"/>
    </row>
    <row r="9393" hidden="1">
      <c r="E9393" s="96"/>
    </row>
    <row r="9394" hidden="1">
      <c r="E9394" s="96"/>
    </row>
    <row r="9395" hidden="1">
      <c r="E9395" s="96"/>
    </row>
    <row r="9396" hidden="1">
      <c r="E9396" s="96"/>
    </row>
    <row r="9397" hidden="1">
      <c r="E9397" s="96"/>
    </row>
    <row r="9398" hidden="1">
      <c r="E9398" s="96"/>
    </row>
    <row r="9399" hidden="1">
      <c r="E9399" s="96"/>
    </row>
    <row r="9400" hidden="1">
      <c r="E9400" s="96"/>
    </row>
    <row r="9401" hidden="1">
      <c r="E9401" s="96"/>
    </row>
    <row r="9402" hidden="1">
      <c r="E9402" s="96"/>
    </row>
    <row r="9403" hidden="1">
      <c r="E9403" s="96"/>
    </row>
    <row r="9404" hidden="1">
      <c r="E9404" s="96"/>
    </row>
    <row r="9405" hidden="1">
      <c r="E9405" s="96"/>
    </row>
    <row r="9406" hidden="1">
      <c r="E9406" s="96"/>
    </row>
    <row r="9407" hidden="1">
      <c r="E9407" s="96"/>
    </row>
    <row r="9408" hidden="1">
      <c r="E9408" s="96"/>
    </row>
    <row r="9409" hidden="1">
      <c r="E9409" s="96"/>
    </row>
    <row r="9410" hidden="1">
      <c r="E9410" s="96"/>
    </row>
    <row r="9411" hidden="1">
      <c r="E9411" s="96"/>
    </row>
    <row r="9412" hidden="1">
      <c r="E9412" s="96"/>
    </row>
    <row r="9413" hidden="1">
      <c r="E9413" s="96"/>
    </row>
    <row r="9414" hidden="1">
      <c r="E9414" s="96"/>
    </row>
    <row r="9415" hidden="1">
      <c r="E9415" s="96"/>
    </row>
    <row r="9416" hidden="1">
      <c r="E9416" s="96"/>
    </row>
    <row r="9417" hidden="1">
      <c r="E9417" s="96"/>
    </row>
    <row r="9418" hidden="1">
      <c r="E9418" s="96"/>
    </row>
    <row r="9419" hidden="1">
      <c r="E9419" s="96"/>
    </row>
    <row r="9420" hidden="1">
      <c r="E9420" s="96"/>
    </row>
    <row r="9421" hidden="1">
      <c r="E9421" s="96"/>
    </row>
    <row r="9422" hidden="1">
      <c r="E9422" s="96"/>
    </row>
    <row r="9423" hidden="1">
      <c r="E9423" s="96"/>
    </row>
    <row r="9424" hidden="1">
      <c r="E9424" s="96"/>
    </row>
    <row r="9425" hidden="1">
      <c r="E9425" s="96"/>
    </row>
    <row r="9426" hidden="1">
      <c r="E9426" s="96"/>
    </row>
    <row r="9427" hidden="1">
      <c r="E9427" s="96"/>
    </row>
    <row r="9428" hidden="1">
      <c r="E9428" s="96"/>
    </row>
    <row r="9429" hidden="1">
      <c r="E9429" s="96"/>
    </row>
    <row r="9430" hidden="1">
      <c r="E9430" s="96"/>
    </row>
    <row r="9431" hidden="1">
      <c r="E9431" s="96"/>
    </row>
    <row r="9432" hidden="1">
      <c r="E9432" s="96"/>
    </row>
    <row r="9433" hidden="1">
      <c r="E9433" s="96"/>
    </row>
    <row r="9434" hidden="1">
      <c r="E9434" s="96"/>
    </row>
    <row r="9435" hidden="1">
      <c r="E9435" s="96"/>
    </row>
    <row r="9436" hidden="1">
      <c r="E9436" s="96"/>
    </row>
    <row r="9437" hidden="1">
      <c r="E9437" s="96"/>
    </row>
    <row r="9438" hidden="1">
      <c r="E9438" s="96"/>
    </row>
    <row r="9439" hidden="1">
      <c r="E9439" s="96"/>
    </row>
    <row r="9440" hidden="1">
      <c r="E9440" s="96"/>
    </row>
    <row r="9441" hidden="1">
      <c r="E9441" s="96"/>
    </row>
    <row r="9442" hidden="1">
      <c r="E9442" s="96"/>
    </row>
    <row r="9443" hidden="1">
      <c r="E9443" s="96"/>
    </row>
    <row r="9444" hidden="1">
      <c r="E9444" s="96"/>
    </row>
    <row r="9445" hidden="1">
      <c r="E9445" s="96"/>
    </row>
    <row r="9446" hidden="1">
      <c r="E9446" s="96"/>
    </row>
    <row r="9447" hidden="1">
      <c r="E9447" s="96"/>
    </row>
    <row r="9448" hidden="1">
      <c r="E9448" s="96"/>
    </row>
    <row r="9449" hidden="1">
      <c r="E9449" s="96"/>
    </row>
    <row r="9450" hidden="1">
      <c r="E9450" s="96"/>
    </row>
    <row r="9451" hidden="1">
      <c r="E9451" s="96"/>
    </row>
    <row r="9452" hidden="1">
      <c r="E9452" s="96"/>
    </row>
    <row r="9453" hidden="1">
      <c r="E9453" s="96"/>
    </row>
    <row r="9454" hidden="1">
      <c r="E9454" s="96"/>
    </row>
    <row r="9455" hidden="1">
      <c r="E9455" s="96"/>
    </row>
    <row r="9456" hidden="1">
      <c r="E9456" s="96"/>
    </row>
    <row r="9457" hidden="1">
      <c r="E9457" s="96"/>
    </row>
    <row r="9458" hidden="1">
      <c r="E9458" s="96"/>
    </row>
    <row r="9459" hidden="1">
      <c r="E9459" s="96"/>
    </row>
    <row r="9460" hidden="1">
      <c r="E9460" s="96"/>
    </row>
    <row r="9461" hidden="1">
      <c r="E9461" s="96"/>
    </row>
    <row r="9462" hidden="1">
      <c r="E9462" s="96"/>
    </row>
    <row r="9463" hidden="1">
      <c r="E9463" s="96"/>
    </row>
    <row r="9464" hidden="1">
      <c r="E9464" s="96"/>
    </row>
    <row r="9465" hidden="1">
      <c r="E9465" s="96"/>
    </row>
    <row r="9466" hidden="1">
      <c r="E9466" s="96"/>
    </row>
    <row r="9467" hidden="1">
      <c r="E9467" s="96"/>
    </row>
    <row r="9468" hidden="1">
      <c r="E9468" s="96"/>
    </row>
    <row r="9469" hidden="1">
      <c r="E9469" s="96"/>
    </row>
    <row r="9470" hidden="1">
      <c r="E9470" s="96"/>
    </row>
    <row r="9471" hidden="1">
      <c r="E9471" s="96"/>
    </row>
    <row r="9472" hidden="1">
      <c r="E9472" s="96"/>
    </row>
    <row r="9473" hidden="1">
      <c r="E9473" s="96"/>
    </row>
    <row r="9474" hidden="1">
      <c r="E9474" s="96"/>
    </row>
    <row r="9475" hidden="1">
      <c r="E9475" s="96"/>
    </row>
    <row r="9476" hidden="1">
      <c r="E9476" s="96"/>
    </row>
    <row r="9477" hidden="1">
      <c r="E9477" s="96"/>
    </row>
    <row r="9478" hidden="1">
      <c r="E9478" s="96"/>
    </row>
    <row r="9479" hidden="1">
      <c r="E9479" s="96"/>
    </row>
    <row r="9480" hidden="1">
      <c r="E9480" s="96"/>
    </row>
    <row r="9481" hidden="1">
      <c r="E9481" s="96"/>
    </row>
    <row r="9482" hidden="1">
      <c r="E9482" s="96"/>
    </row>
    <row r="9483" hidden="1">
      <c r="E9483" s="96"/>
    </row>
    <row r="9484" hidden="1">
      <c r="E9484" s="96"/>
    </row>
    <row r="9485" hidden="1">
      <c r="E9485" s="96"/>
    </row>
    <row r="9486" hidden="1">
      <c r="E9486" s="96"/>
    </row>
    <row r="9487" hidden="1">
      <c r="E9487" s="96"/>
    </row>
    <row r="9488" hidden="1">
      <c r="E9488" s="96"/>
    </row>
    <row r="9489" hidden="1">
      <c r="E9489" s="96"/>
    </row>
    <row r="9490" hidden="1">
      <c r="E9490" s="96"/>
    </row>
    <row r="9491" hidden="1">
      <c r="E9491" s="96"/>
    </row>
    <row r="9492" hidden="1">
      <c r="E9492" s="96"/>
    </row>
    <row r="9493" hidden="1">
      <c r="E9493" s="96"/>
    </row>
    <row r="9494" hidden="1">
      <c r="E9494" s="96"/>
    </row>
    <row r="9495" hidden="1">
      <c r="E9495" s="96"/>
    </row>
    <row r="9496" hidden="1">
      <c r="E9496" s="96"/>
    </row>
    <row r="9497" hidden="1">
      <c r="E9497" s="96"/>
    </row>
    <row r="9498" hidden="1">
      <c r="E9498" s="96"/>
    </row>
    <row r="9499" hidden="1">
      <c r="E9499" s="96"/>
    </row>
    <row r="9500" hidden="1">
      <c r="E9500" s="96"/>
    </row>
    <row r="9501" hidden="1">
      <c r="E9501" s="96"/>
    </row>
    <row r="9502" hidden="1">
      <c r="E9502" s="96"/>
    </row>
    <row r="9503" hidden="1">
      <c r="E9503" s="96"/>
    </row>
    <row r="9504" hidden="1">
      <c r="E9504" s="96"/>
    </row>
    <row r="9505" hidden="1">
      <c r="E9505" s="96"/>
    </row>
    <row r="9506" hidden="1">
      <c r="E9506" s="96"/>
    </row>
    <row r="9507" hidden="1">
      <c r="E9507" s="96"/>
    </row>
    <row r="9508" hidden="1">
      <c r="E9508" s="96"/>
    </row>
    <row r="9509" hidden="1">
      <c r="E9509" s="96"/>
    </row>
    <row r="9510" hidden="1">
      <c r="E9510" s="96"/>
    </row>
    <row r="9511" hidden="1">
      <c r="E9511" s="96"/>
    </row>
    <row r="9512" hidden="1">
      <c r="E9512" s="96"/>
    </row>
    <row r="9513" hidden="1">
      <c r="E9513" s="96"/>
    </row>
    <row r="9514" hidden="1">
      <c r="E9514" s="96"/>
    </row>
    <row r="9515" hidden="1">
      <c r="E9515" s="96"/>
    </row>
    <row r="9516" hidden="1">
      <c r="E9516" s="96"/>
    </row>
    <row r="9517" hidden="1">
      <c r="E9517" s="96"/>
    </row>
    <row r="9518" hidden="1">
      <c r="E9518" s="96"/>
    </row>
    <row r="9519" hidden="1">
      <c r="E9519" s="96"/>
    </row>
    <row r="9520" hidden="1">
      <c r="E9520" s="96"/>
    </row>
    <row r="9521" hidden="1">
      <c r="E9521" s="96"/>
    </row>
    <row r="9522" hidden="1">
      <c r="E9522" s="96"/>
    </row>
    <row r="9523" hidden="1">
      <c r="E9523" s="96"/>
    </row>
    <row r="9524" hidden="1">
      <c r="E9524" s="96"/>
    </row>
    <row r="9525" hidden="1">
      <c r="E9525" s="96"/>
    </row>
    <row r="9526" hidden="1">
      <c r="E9526" s="96"/>
    </row>
    <row r="9527" hidden="1">
      <c r="E9527" s="96"/>
    </row>
    <row r="9528" hidden="1">
      <c r="E9528" s="96"/>
    </row>
    <row r="9529" hidden="1">
      <c r="E9529" s="96"/>
    </row>
    <row r="9530" hidden="1">
      <c r="E9530" s="96"/>
    </row>
    <row r="9531" hidden="1">
      <c r="E9531" s="96"/>
    </row>
    <row r="9532" hidden="1">
      <c r="E9532" s="96"/>
    </row>
    <row r="9533" hidden="1">
      <c r="E9533" s="96"/>
    </row>
    <row r="9534" hidden="1">
      <c r="E9534" s="96"/>
    </row>
    <row r="9535" hidden="1">
      <c r="E9535" s="96"/>
    </row>
    <row r="9536" hidden="1">
      <c r="E9536" s="96"/>
    </row>
    <row r="9537" hidden="1">
      <c r="E9537" s="96"/>
    </row>
    <row r="9538" hidden="1">
      <c r="E9538" s="96"/>
    </row>
    <row r="9539" hidden="1">
      <c r="E9539" s="96"/>
    </row>
    <row r="9540" hidden="1">
      <c r="E9540" s="96"/>
    </row>
    <row r="9541" hidden="1">
      <c r="E9541" s="96"/>
    </row>
    <row r="9542" hidden="1">
      <c r="E9542" s="96"/>
    </row>
    <row r="9543" hidden="1">
      <c r="E9543" s="96"/>
    </row>
    <row r="9544" hidden="1">
      <c r="E9544" s="96"/>
    </row>
    <row r="9545" hidden="1">
      <c r="E9545" s="96"/>
    </row>
    <row r="9546" hidden="1">
      <c r="E9546" s="96"/>
    </row>
    <row r="9547" hidden="1">
      <c r="E9547" s="96"/>
    </row>
    <row r="9548" hidden="1">
      <c r="E9548" s="96"/>
    </row>
    <row r="9549" hidden="1">
      <c r="E9549" s="96"/>
    </row>
    <row r="9550" hidden="1">
      <c r="E9550" s="96"/>
    </row>
    <row r="9551" hidden="1">
      <c r="E9551" s="96"/>
    </row>
    <row r="9552" hidden="1">
      <c r="E9552" s="96"/>
    </row>
    <row r="9553" hidden="1">
      <c r="E9553" s="96"/>
    </row>
    <row r="9554" hidden="1">
      <c r="E9554" s="96"/>
    </row>
    <row r="9555" hidden="1">
      <c r="E9555" s="96"/>
    </row>
    <row r="9556" hidden="1">
      <c r="E9556" s="96"/>
    </row>
    <row r="9557" hidden="1">
      <c r="E9557" s="96"/>
    </row>
    <row r="9558" hidden="1">
      <c r="E9558" s="96"/>
    </row>
    <row r="9559" hidden="1">
      <c r="E9559" s="96"/>
    </row>
    <row r="9560" hidden="1">
      <c r="E9560" s="96"/>
    </row>
    <row r="9561" hidden="1">
      <c r="E9561" s="96"/>
    </row>
    <row r="9562" hidden="1">
      <c r="E9562" s="96"/>
    </row>
    <row r="9563" hidden="1">
      <c r="E9563" s="96"/>
    </row>
    <row r="9564" hidden="1">
      <c r="E9564" s="96"/>
    </row>
    <row r="9565" hidden="1">
      <c r="E9565" s="96"/>
    </row>
    <row r="9566" hidden="1">
      <c r="E9566" s="96"/>
    </row>
    <row r="9567" hidden="1">
      <c r="E9567" s="96"/>
    </row>
    <row r="9568" hidden="1">
      <c r="E9568" s="96"/>
    </row>
    <row r="9569" hidden="1">
      <c r="E9569" s="96"/>
    </row>
    <row r="9570" hidden="1">
      <c r="E9570" s="96"/>
    </row>
    <row r="9571" hidden="1">
      <c r="E9571" s="96"/>
    </row>
    <row r="9572" hidden="1">
      <c r="E9572" s="96"/>
    </row>
    <row r="9573" hidden="1">
      <c r="E9573" s="96"/>
    </row>
    <row r="9574" hidden="1">
      <c r="E9574" s="96"/>
    </row>
    <row r="9575" hidden="1">
      <c r="E9575" s="96"/>
    </row>
    <row r="9576" hidden="1">
      <c r="E9576" s="96"/>
    </row>
    <row r="9577" hidden="1">
      <c r="E9577" s="96"/>
    </row>
    <row r="9578" hidden="1">
      <c r="E9578" s="96"/>
    </row>
    <row r="9579" hidden="1">
      <c r="E9579" s="96"/>
    </row>
    <row r="9580" hidden="1">
      <c r="E9580" s="96"/>
    </row>
    <row r="9581" hidden="1">
      <c r="E9581" s="96"/>
    </row>
    <row r="9582" hidden="1">
      <c r="E9582" s="96"/>
    </row>
    <row r="9583" hidden="1">
      <c r="E9583" s="96"/>
    </row>
    <row r="9584" hidden="1">
      <c r="E9584" s="96"/>
    </row>
    <row r="9585" hidden="1">
      <c r="E9585" s="96"/>
    </row>
    <row r="9586" hidden="1">
      <c r="E9586" s="96"/>
    </row>
    <row r="9587" hidden="1">
      <c r="E9587" s="96"/>
    </row>
    <row r="9588" hidden="1">
      <c r="E9588" s="96"/>
    </row>
    <row r="9589" hidden="1">
      <c r="E9589" s="96"/>
    </row>
    <row r="9590" hidden="1">
      <c r="E9590" s="96"/>
    </row>
    <row r="9591" hidden="1">
      <c r="E9591" s="96"/>
    </row>
    <row r="9592" hidden="1">
      <c r="E9592" s="96"/>
    </row>
    <row r="9593" hidden="1">
      <c r="E9593" s="96"/>
    </row>
    <row r="9594" hidden="1">
      <c r="E9594" s="96"/>
    </row>
    <row r="9595" hidden="1">
      <c r="E9595" s="96"/>
    </row>
    <row r="9596" hidden="1">
      <c r="E9596" s="96"/>
    </row>
    <row r="9597" hidden="1">
      <c r="E9597" s="96"/>
    </row>
    <row r="9598" hidden="1">
      <c r="E9598" s="96"/>
    </row>
    <row r="9599" hidden="1">
      <c r="E9599" s="96"/>
    </row>
    <row r="9600" hidden="1">
      <c r="E9600" s="96"/>
    </row>
    <row r="9601" hidden="1">
      <c r="E9601" s="96"/>
    </row>
    <row r="9602" hidden="1">
      <c r="E9602" s="96"/>
    </row>
    <row r="9603" hidden="1">
      <c r="E9603" s="96"/>
    </row>
    <row r="9604" hidden="1">
      <c r="E9604" s="96"/>
    </row>
    <row r="9605" hidden="1">
      <c r="E9605" s="96"/>
    </row>
    <row r="9606" hidden="1">
      <c r="E9606" s="96"/>
    </row>
    <row r="9607" hidden="1">
      <c r="E9607" s="96"/>
    </row>
    <row r="9608" hidden="1">
      <c r="E9608" s="96"/>
    </row>
    <row r="9609" hidden="1">
      <c r="E9609" s="96"/>
    </row>
    <row r="9610" hidden="1">
      <c r="E9610" s="96"/>
    </row>
    <row r="9611" hidden="1">
      <c r="E9611" s="96"/>
    </row>
    <row r="9612" hidden="1">
      <c r="E9612" s="96"/>
    </row>
    <row r="9613" hidden="1">
      <c r="E9613" s="96"/>
    </row>
    <row r="9614" hidden="1">
      <c r="E9614" s="96"/>
    </row>
    <row r="9615" hidden="1">
      <c r="E9615" s="96"/>
    </row>
    <row r="9616" hidden="1">
      <c r="E9616" s="96"/>
    </row>
    <row r="9617" hidden="1">
      <c r="E9617" s="96"/>
    </row>
    <row r="9618" hidden="1">
      <c r="E9618" s="96"/>
    </row>
    <row r="9619" hidden="1">
      <c r="E9619" s="96"/>
    </row>
    <row r="9620" hidden="1">
      <c r="E9620" s="96"/>
    </row>
    <row r="9621" hidden="1">
      <c r="E9621" s="96"/>
    </row>
    <row r="9622" hidden="1">
      <c r="E9622" s="96"/>
    </row>
    <row r="9623" hidden="1">
      <c r="E9623" s="96"/>
    </row>
    <row r="9624" hidden="1">
      <c r="E9624" s="96"/>
    </row>
    <row r="9625" hidden="1">
      <c r="E9625" s="96"/>
    </row>
    <row r="9626" hidden="1">
      <c r="E9626" s="96"/>
    </row>
    <row r="9627" hidden="1">
      <c r="E9627" s="96"/>
    </row>
    <row r="9628" hidden="1">
      <c r="E9628" s="96"/>
    </row>
    <row r="9629" hidden="1">
      <c r="E9629" s="96"/>
    </row>
    <row r="9630" hidden="1">
      <c r="E9630" s="96"/>
    </row>
    <row r="9631" hidden="1">
      <c r="E9631" s="96"/>
    </row>
    <row r="9632" hidden="1">
      <c r="E9632" s="96"/>
    </row>
    <row r="9633" hidden="1">
      <c r="E9633" s="96"/>
    </row>
    <row r="9634" hidden="1">
      <c r="E9634" s="96"/>
    </row>
    <row r="9635" hidden="1">
      <c r="E9635" s="96"/>
    </row>
    <row r="9636" hidden="1">
      <c r="E9636" s="96"/>
    </row>
    <row r="9637" hidden="1">
      <c r="E9637" s="96"/>
    </row>
    <row r="9638" hidden="1">
      <c r="E9638" s="96"/>
    </row>
    <row r="9639" hidden="1">
      <c r="E9639" s="96"/>
    </row>
    <row r="9640" hidden="1">
      <c r="E9640" s="96"/>
    </row>
    <row r="9641" hidden="1">
      <c r="E9641" s="96"/>
    </row>
    <row r="9642" hidden="1">
      <c r="E9642" s="96"/>
    </row>
    <row r="9643" hidden="1">
      <c r="E9643" s="96"/>
    </row>
    <row r="9644" hidden="1">
      <c r="E9644" s="96"/>
    </row>
    <row r="9645" hidden="1">
      <c r="E9645" s="96"/>
    </row>
    <row r="9646" hidden="1">
      <c r="E9646" s="96"/>
    </row>
    <row r="9647" hidden="1">
      <c r="E9647" s="96"/>
    </row>
    <row r="9648" hidden="1">
      <c r="E9648" s="96"/>
    </row>
    <row r="9649" hidden="1">
      <c r="E9649" s="96"/>
    </row>
    <row r="9650" hidden="1">
      <c r="E9650" s="96"/>
    </row>
    <row r="9651" hidden="1">
      <c r="E9651" s="96"/>
    </row>
    <row r="9652" hidden="1">
      <c r="E9652" s="96"/>
    </row>
    <row r="9653" hidden="1">
      <c r="E9653" s="96"/>
    </row>
    <row r="9654" hidden="1">
      <c r="E9654" s="96"/>
    </row>
    <row r="9655" hidden="1">
      <c r="E9655" s="96"/>
    </row>
    <row r="9656" hidden="1">
      <c r="E9656" s="96"/>
    </row>
    <row r="9657" hidden="1">
      <c r="E9657" s="96"/>
    </row>
    <row r="9658" hidden="1">
      <c r="E9658" s="96"/>
    </row>
    <row r="9659" hidden="1">
      <c r="E9659" s="96"/>
    </row>
    <row r="9660" hidden="1">
      <c r="E9660" s="96"/>
    </row>
    <row r="9661" hidden="1">
      <c r="E9661" s="96"/>
    </row>
    <row r="9662" hidden="1">
      <c r="E9662" s="96"/>
    </row>
    <row r="9663" hidden="1">
      <c r="E9663" s="96"/>
    </row>
    <row r="9664" hidden="1">
      <c r="E9664" s="96"/>
    </row>
    <row r="9665" hidden="1">
      <c r="E9665" s="96"/>
    </row>
    <row r="9666" hidden="1">
      <c r="E9666" s="96"/>
    </row>
    <row r="9667" hidden="1">
      <c r="E9667" s="96"/>
    </row>
    <row r="9668" hidden="1">
      <c r="E9668" s="96"/>
    </row>
    <row r="9669" hidden="1">
      <c r="E9669" s="96"/>
    </row>
    <row r="9670" hidden="1">
      <c r="E9670" s="96"/>
    </row>
    <row r="9671" hidden="1">
      <c r="E9671" s="96"/>
    </row>
    <row r="9672" hidden="1">
      <c r="E9672" s="96"/>
    </row>
    <row r="9673" hidden="1">
      <c r="E9673" s="96"/>
    </row>
    <row r="9674" hidden="1">
      <c r="E9674" s="96"/>
    </row>
    <row r="9675" hidden="1">
      <c r="E9675" s="96"/>
    </row>
    <row r="9676" hidden="1">
      <c r="E9676" s="96"/>
    </row>
    <row r="9677" hidden="1">
      <c r="E9677" s="96"/>
    </row>
    <row r="9678" hidden="1">
      <c r="E9678" s="96"/>
    </row>
    <row r="9679" hidden="1">
      <c r="E9679" s="96"/>
    </row>
    <row r="9680" hidden="1">
      <c r="E9680" s="96"/>
    </row>
    <row r="9681" hidden="1">
      <c r="E9681" s="96"/>
    </row>
    <row r="9682" hidden="1">
      <c r="E9682" s="96"/>
    </row>
    <row r="9683" hidden="1">
      <c r="E9683" s="96"/>
    </row>
    <row r="9684" hidden="1">
      <c r="E9684" s="96"/>
    </row>
    <row r="9685" hidden="1">
      <c r="E9685" s="96"/>
    </row>
    <row r="9686" hidden="1">
      <c r="E9686" s="96"/>
    </row>
    <row r="9687" hidden="1">
      <c r="E9687" s="96"/>
    </row>
    <row r="9688" hidden="1">
      <c r="E9688" s="96"/>
    </row>
    <row r="9689" hidden="1">
      <c r="E9689" s="96"/>
    </row>
    <row r="9690" hidden="1">
      <c r="E9690" s="96"/>
    </row>
    <row r="9691" hidden="1">
      <c r="E9691" s="96"/>
    </row>
    <row r="9692" hidden="1">
      <c r="E9692" s="96"/>
    </row>
    <row r="9693" hidden="1">
      <c r="E9693" s="96"/>
    </row>
    <row r="9694" hidden="1">
      <c r="E9694" s="96"/>
    </row>
    <row r="9695" hidden="1">
      <c r="E9695" s="96"/>
    </row>
    <row r="9696" hidden="1">
      <c r="E9696" s="96"/>
    </row>
    <row r="9697" hidden="1">
      <c r="E9697" s="96"/>
    </row>
    <row r="9698" hidden="1">
      <c r="E9698" s="96"/>
    </row>
    <row r="9699" hidden="1">
      <c r="E9699" s="96"/>
    </row>
    <row r="9700" hidden="1">
      <c r="E9700" s="96"/>
    </row>
    <row r="9701" hidden="1">
      <c r="E9701" s="96"/>
    </row>
    <row r="9702" hidden="1">
      <c r="E9702" s="96"/>
    </row>
    <row r="9703" hidden="1">
      <c r="E9703" s="96"/>
    </row>
    <row r="9704" hidden="1">
      <c r="E9704" s="96"/>
    </row>
    <row r="9705" hidden="1">
      <c r="E9705" s="96"/>
    </row>
    <row r="9706" hidden="1">
      <c r="E9706" s="96"/>
    </row>
    <row r="9707" hidden="1">
      <c r="E9707" s="96"/>
    </row>
    <row r="9708" hidden="1">
      <c r="E9708" s="96"/>
    </row>
    <row r="9709" hidden="1">
      <c r="E9709" s="96"/>
    </row>
    <row r="9710" hidden="1">
      <c r="E9710" s="96"/>
    </row>
    <row r="9711" hidden="1">
      <c r="E9711" s="96"/>
    </row>
    <row r="9712" hidden="1">
      <c r="E9712" s="96"/>
    </row>
    <row r="9713" hidden="1">
      <c r="E9713" s="96"/>
    </row>
    <row r="9714" hidden="1">
      <c r="E9714" s="96"/>
    </row>
    <row r="9715" hidden="1">
      <c r="E9715" s="96"/>
    </row>
    <row r="9716" hidden="1">
      <c r="E9716" s="96"/>
    </row>
    <row r="9717" hidden="1">
      <c r="E9717" s="96"/>
    </row>
    <row r="9718" hidden="1">
      <c r="E9718" s="96"/>
    </row>
    <row r="9719" hidden="1">
      <c r="E9719" s="96"/>
    </row>
    <row r="9720" hidden="1">
      <c r="E9720" s="96"/>
    </row>
    <row r="9721" hidden="1">
      <c r="E9721" s="96"/>
    </row>
    <row r="9722" hidden="1">
      <c r="E9722" s="96"/>
    </row>
    <row r="9723" hidden="1">
      <c r="E9723" s="96"/>
    </row>
    <row r="9724" hidden="1">
      <c r="E9724" s="96"/>
    </row>
    <row r="9725" hidden="1">
      <c r="E9725" s="96"/>
    </row>
    <row r="9726" hidden="1">
      <c r="E9726" s="96"/>
    </row>
    <row r="9727" hidden="1">
      <c r="E9727" s="96"/>
    </row>
    <row r="9728" hidden="1">
      <c r="E9728" s="96"/>
    </row>
    <row r="9729" hidden="1">
      <c r="E9729" s="96"/>
    </row>
    <row r="9730" hidden="1">
      <c r="E9730" s="96"/>
    </row>
    <row r="9731" hidden="1">
      <c r="E9731" s="96"/>
    </row>
    <row r="9732" hidden="1">
      <c r="E9732" s="96"/>
    </row>
    <row r="9733" hidden="1">
      <c r="E9733" s="96"/>
    </row>
    <row r="9734" hidden="1">
      <c r="E9734" s="96"/>
    </row>
    <row r="9735" hidden="1">
      <c r="E9735" s="96"/>
    </row>
    <row r="9736" hidden="1">
      <c r="E9736" s="96"/>
    </row>
    <row r="9737" hidden="1">
      <c r="E9737" s="96"/>
    </row>
    <row r="9738" hidden="1">
      <c r="E9738" s="96"/>
    </row>
    <row r="9739" hidden="1">
      <c r="E9739" s="96"/>
    </row>
    <row r="9740" hidden="1">
      <c r="E9740" s="96"/>
    </row>
    <row r="9741" hidden="1">
      <c r="E9741" s="96"/>
    </row>
    <row r="9742" hidden="1">
      <c r="E9742" s="96"/>
    </row>
    <row r="9743" hidden="1">
      <c r="E9743" s="96"/>
    </row>
    <row r="9744" hidden="1">
      <c r="E9744" s="96"/>
    </row>
    <row r="9745" hidden="1">
      <c r="E9745" s="96"/>
    </row>
    <row r="9746" hidden="1">
      <c r="E9746" s="96"/>
    </row>
    <row r="9747" hidden="1">
      <c r="E9747" s="96"/>
    </row>
    <row r="9748" hidden="1">
      <c r="E9748" s="96"/>
    </row>
    <row r="9749" hidden="1">
      <c r="E9749" s="96"/>
    </row>
    <row r="9750" hidden="1">
      <c r="E9750" s="96"/>
    </row>
    <row r="9751" hidden="1">
      <c r="E9751" s="96"/>
    </row>
    <row r="9752" hidden="1">
      <c r="E9752" s="96"/>
    </row>
    <row r="9753" hidden="1">
      <c r="E9753" s="96"/>
    </row>
    <row r="9754" hidden="1">
      <c r="E9754" s="96"/>
    </row>
    <row r="9755" hidden="1">
      <c r="E9755" s="96"/>
    </row>
    <row r="9756" hidden="1">
      <c r="E9756" s="96"/>
    </row>
    <row r="9757" hidden="1">
      <c r="E9757" s="96"/>
    </row>
    <row r="9758" hidden="1">
      <c r="E9758" s="96"/>
    </row>
    <row r="9759" hidden="1">
      <c r="E9759" s="96"/>
    </row>
    <row r="9760" hidden="1">
      <c r="E9760" s="96"/>
    </row>
    <row r="9761" hidden="1">
      <c r="E9761" s="96"/>
    </row>
    <row r="9762" hidden="1">
      <c r="E9762" s="96"/>
    </row>
    <row r="9763" hidden="1">
      <c r="E9763" s="96"/>
    </row>
    <row r="9764" hidden="1">
      <c r="E9764" s="96"/>
    </row>
    <row r="9765" hidden="1">
      <c r="E9765" s="96"/>
    </row>
    <row r="9766" hidden="1">
      <c r="E9766" s="96"/>
    </row>
    <row r="9767" hidden="1">
      <c r="E9767" s="96"/>
    </row>
    <row r="9768" hidden="1">
      <c r="E9768" s="96"/>
    </row>
    <row r="9769" hidden="1">
      <c r="E9769" s="96"/>
    </row>
    <row r="9770" hidden="1">
      <c r="E9770" s="96"/>
    </row>
    <row r="9771" hidden="1">
      <c r="E9771" s="96"/>
    </row>
    <row r="9772" hidden="1">
      <c r="E9772" s="96"/>
    </row>
    <row r="9773" hidden="1">
      <c r="E9773" s="96"/>
    </row>
    <row r="9774" hidden="1">
      <c r="E9774" s="96"/>
    </row>
    <row r="9775" hidden="1">
      <c r="E9775" s="96"/>
    </row>
    <row r="9776" hidden="1">
      <c r="E9776" s="96"/>
    </row>
    <row r="9777" hidden="1">
      <c r="E9777" s="96"/>
    </row>
    <row r="9778" hidden="1">
      <c r="E9778" s="96"/>
    </row>
    <row r="9779" hidden="1">
      <c r="E9779" s="96"/>
    </row>
    <row r="9780" hidden="1">
      <c r="E9780" s="96"/>
    </row>
    <row r="9781" hidden="1">
      <c r="E9781" s="96"/>
    </row>
    <row r="9782" hidden="1">
      <c r="E9782" s="96"/>
    </row>
    <row r="9783" hidden="1">
      <c r="E9783" s="96"/>
    </row>
    <row r="9784" hidden="1">
      <c r="E9784" s="96"/>
    </row>
    <row r="9785" hidden="1">
      <c r="E9785" s="96"/>
    </row>
    <row r="9786" hidden="1">
      <c r="E9786" s="96"/>
    </row>
    <row r="9787" hidden="1">
      <c r="E9787" s="96"/>
    </row>
    <row r="9788" hidden="1">
      <c r="E9788" s="96"/>
    </row>
    <row r="9789" hidden="1">
      <c r="E9789" s="96"/>
    </row>
    <row r="9790" hidden="1">
      <c r="E9790" s="96"/>
    </row>
    <row r="9791" hidden="1">
      <c r="E9791" s="96"/>
    </row>
    <row r="9792" hidden="1">
      <c r="E9792" s="96"/>
    </row>
    <row r="9793" hidden="1">
      <c r="E9793" s="96"/>
    </row>
    <row r="9794" hidden="1">
      <c r="E9794" s="96"/>
    </row>
    <row r="9795" hidden="1">
      <c r="E9795" s="96"/>
    </row>
    <row r="9796" hidden="1">
      <c r="E9796" s="96"/>
    </row>
    <row r="9797" hidden="1">
      <c r="E9797" s="96"/>
    </row>
    <row r="9798" hidden="1">
      <c r="E9798" s="96"/>
    </row>
    <row r="9799" hidden="1">
      <c r="E9799" s="96"/>
    </row>
    <row r="9800" hidden="1">
      <c r="E9800" s="96"/>
    </row>
    <row r="9801" hidden="1">
      <c r="E9801" s="96"/>
    </row>
    <row r="9802" hidden="1">
      <c r="E9802" s="96"/>
    </row>
    <row r="9803" hidden="1">
      <c r="E9803" s="96"/>
    </row>
    <row r="9804" hidden="1">
      <c r="E9804" s="96"/>
    </row>
    <row r="9805" hidden="1">
      <c r="E9805" s="96"/>
    </row>
    <row r="9806" hidden="1">
      <c r="E9806" s="96"/>
    </row>
    <row r="9807" hidden="1">
      <c r="E9807" s="96"/>
    </row>
    <row r="9808" hidden="1">
      <c r="E9808" s="96"/>
    </row>
    <row r="9809" hidden="1">
      <c r="E9809" s="96"/>
    </row>
    <row r="9810" hidden="1">
      <c r="E9810" s="96"/>
    </row>
    <row r="9811" hidden="1">
      <c r="E9811" s="96"/>
    </row>
    <row r="9812" hidden="1">
      <c r="E9812" s="96"/>
    </row>
    <row r="9813" hidden="1">
      <c r="E9813" s="96"/>
    </row>
    <row r="9814" hidden="1">
      <c r="E9814" s="96"/>
    </row>
    <row r="9815" hidden="1">
      <c r="E9815" s="96"/>
    </row>
    <row r="9816" hidden="1">
      <c r="E9816" s="96"/>
    </row>
    <row r="9817" hidden="1">
      <c r="E9817" s="96"/>
    </row>
    <row r="9818" hidden="1">
      <c r="E9818" s="96"/>
    </row>
    <row r="9819" hidden="1">
      <c r="E9819" s="96"/>
    </row>
    <row r="9820" hidden="1">
      <c r="E9820" s="96"/>
    </row>
    <row r="9821" hidden="1">
      <c r="E9821" s="96"/>
    </row>
    <row r="9822" hidden="1">
      <c r="E9822" s="96"/>
    </row>
    <row r="9823" hidden="1">
      <c r="E9823" s="96"/>
    </row>
    <row r="9824" hidden="1">
      <c r="E9824" s="96"/>
    </row>
    <row r="9825" hidden="1">
      <c r="E9825" s="96"/>
    </row>
    <row r="9826" hidden="1">
      <c r="E9826" s="96"/>
    </row>
    <row r="9827" hidden="1">
      <c r="E9827" s="96"/>
    </row>
    <row r="9828" hidden="1">
      <c r="E9828" s="96"/>
    </row>
    <row r="9829" hidden="1">
      <c r="E9829" s="96"/>
    </row>
    <row r="9830" hidden="1">
      <c r="E9830" s="96"/>
    </row>
    <row r="9831" hidden="1">
      <c r="E9831" s="96"/>
    </row>
    <row r="9832" hidden="1">
      <c r="E9832" s="96"/>
    </row>
    <row r="9833" hidden="1">
      <c r="E9833" s="96"/>
    </row>
    <row r="9834" hidden="1">
      <c r="E9834" s="96"/>
    </row>
    <row r="9835" hidden="1">
      <c r="E9835" s="96"/>
    </row>
    <row r="9836" hidden="1">
      <c r="E9836" s="96"/>
    </row>
    <row r="9837" hidden="1">
      <c r="E9837" s="96"/>
    </row>
    <row r="9838" hidden="1">
      <c r="E9838" s="96"/>
    </row>
    <row r="9839" hidden="1">
      <c r="E9839" s="96"/>
    </row>
    <row r="9840" hidden="1">
      <c r="E9840" s="96"/>
    </row>
    <row r="9841" hidden="1">
      <c r="E9841" s="96"/>
    </row>
    <row r="9842" hidden="1">
      <c r="E9842" s="96"/>
    </row>
    <row r="9843" hidden="1">
      <c r="E9843" s="96"/>
    </row>
    <row r="9844" hidden="1">
      <c r="E9844" s="96"/>
    </row>
    <row r="9845" hidden="1">
      <c r="E9845" s="96"/>
    </row>
    <row r="9846" hidden="1">
      <c r="E9846" s="96"/>
    </row>
    <row r="9847" hidden="1">
      <c r="E9847" s="96"/>
    </row>
    <row r="9848" hidden="1">
      <c r="E9848" s="96"/>
    </row>
    <row r="9849" hidden="1">
      <c r="E9849" s="96"/>
    </row>
    <row r="9850" hidden="1">
      <c r="E9850" s="96"/>
    </row>
    <row r="9851" hidden="1">
      <c r="E9851" s="96"/>
    </row>
    <row r="9852" hidden="1">
      <c r="E9852" s="96"/>
    </row>
    <row r="9853" hidden="1">
      <c r="E9853" s="96"/>
    </row>
    <row r="9854" hidden="1">
      <c r="E9854" s="96"/>
    </row>
    <row r="9855" hidden="1">
      <c r="E9855" s="96"/>
    </row>
    <row r="9856" hidden="1">
      <c r="E9856" s="96"/>
    </row>
    <row r="9857" hidden="1">
      <c r="E9857" s="96"/>
    </row>
    <row r="9858" hidden="1">
      <c r="E9858" s="96"/>
    </row>
    <row r="9859" hidden="1">
      <c r="E9859" s="96"/>
    </row>
    <row r="9860" hidden="1">
      <c r="E9860" s="96"/>
    </row>
    <row r="9861" hidden="1">
      <c r="E9861" s="96"/>
    </row>
    <row r="9862" hidden="1">
      <c r="E9862" s="96"/>
    </row>
    <row r="9863" hidden="1">
      <c r="E9863" s="96"/>
    </row>
    <row r="9864" hidden="1">
      <c r="E9864" s="96"/>
    </row>
    <row r="9865" hidden="1">
      <c r="E9865" s="96"/>
    </row>
    <row r="9866" hidden="1">
      <c r="E9866" s="96"/>
    </row>
    <row r="9867" hidden="1">
      <c r="E9867" s="96"/>
    </row>
    <row r="9868" hidden="1">
      <c r="E9868" s="96"/>
    </row>
    <row r="9869" hidden="1">
      <c r="E9869" s="96"/>
    </row>
    <row r="9870" hidden="1">
      <c r="E9870" s="96"/>
    </row>
    <row r="9871" hidden="1">
      <c r="E9871" s="96"/>
    </row>
    <row r="9872" hidden="1">
      <c r="E9872" s="96"/>
    </row>
    <row r="9873" hidden="1">
      <c r="E9873" s="96"/>
    </row>
    <row r="9874" hidden="1">
      <c r="E9874" s="96"/>
    </row>
    <row r="9875" hidden="1">
      <c r="E9875" s="96"/>
    </row>
    <row r="9876" hidden="1">
      <c r="E9876" s="96"/>
    </row>
    <row r="9877" hidden="1">
      <c r="E9877" s="96"/>
    </row>
    <row r="9878" hidden="1">
      <c r="E9878" s="96"/>
    </row>
    <row r="9879" hidden="1">
      <c r="E9879" s="96"/>
    </row>
    <row r="9880" hidden="1">
      <c r="E9880" s="96"/>
    </row>
    <row r="9881" hidden="1">
      <c r="E9881" s="96"/>
    </row>
    <row r="9882" hidden="1">
      <c r="E9882" s="96"/>
    </row>
    <row r="9883" hidden="1">
      <c r="E9883" s="96"/>
    </row>
    <row r="9884" hidden="1">
      <c r="E9884" s="96"/>
    </row>
    <row r="9885" hidden="1">
      <c r="E9885" s="96"/>
    </row>
    <row r="9886" hidden="1">
      <c r="E9886" s="96"/>
    </row>
    <row r="9887" hidden="1">
      <c r="E9887" s="96"/>
    </row>
    <row r="9888" hidden="1">
      <c r="E9888" s="96"/>
    </row>
    <row r="9889" hidden="1">
      <c r="E9889" s="96"/>
    </row>
    <row r="9890" hidden="1">
      <c r="E9890" s="96"/>
    </row>
    <row r="9891" hidden="1">
      <c r="E9891" s="96"/>
    </row>
    <row r="9892" hidden="1">
      <c r="E9892" s="96"/>
    </row>
    <row r="9893" hidden="1">
      <c r="E9893" s="96"/>
    </row>
    <row r="9894" hidden="1">
      <c r="E9894" s="96"/>
    </row>
    <row r="9895" hidden="1">
      <c r="E9895" s="96"/>
    </row>
    <row r="9896" hidden="1">
      <c r="E9896" s="96"/>
    </row>
    <row r="9897" hidden="1">
      <c r="E9897" s="96"/>
    </row>
    <row r="9898" hidden="1">
      <c r="E9898" s="96"/>
    </row>
    <row r="9899" hidden="1">
      <c r="E9899" s="96"/>
    </row>
    <row r="9900" hidden="1">
      <c r="E9900" s="96"/>
    </row>
    <row r="9901" hidden="1">
      <c r="E9901" s="96"/>
    </row>
    <row r="9902" hidden="1">
      <c r="E9902" s="96"/>
    </row>
    <row r="9903" hidden="1">
      <c r="E9903" s="96"/>
    </row>
    <row r="9904" hidden="1">
      <c r="E9904" s="96"/>
    </row>
    <row r="9905" hidden="1">
      <c r="E9905" s="96"/>
    </row>
    <row r="9906" hidden="1">
      <c r="E9906" s="96"/>
    </row>
    <row r="9907" hidden="1">
      <c r="E9907" s="96"/>
    </row>
    <row r="9908" hidden="1">
      <c r="E9908" s="96"/>
    </row>
    <row r="9909" hidden="1">
      <c r="E9909" s="96"/>
    </row>
    <row r="9910" hidden="1">
      <c r="E9910" s="96"/>
    </row>
    <row r="9911" hidden="1">
      <c r="E9911" s="96"/>
    </row>
    <row r="9912" hidden="1">
      <c r="E9912" s="96"/>
    </row>
    <row r="9913" hidden="1">
      <c r="E9913" s="96"/>
    </row>
    <row r="9914" hidden="1">
      <c r="E9914" s="96"/>
    </row>
    <row r="9915" hidden="1">
      <c r="E9915" s="96"/>
    </row>
    <row r="9916" hidden="1">
      <c r="E9916" s="96"/>
    </row>
    <row r="9917" hidden="1">
      <c r="E9917" s="96"/>
    </row>
    <row r="9918" hidden="1">
      <c r="E9918" s="96"/>
    </row>
    <row r="9919" hidden="1">
      <c r="E9919" s="96"/>
    </row>
    <row r="9920" hidden="1">
      <c r="E9920" s="96"/>
    </row>
    <row r="9921" hidden="1">
      <c r="E9921" s="96"/>
    </row>
    <row r="9922" hidden="1">
      <c r="E9922" s="96"/>
    </row>
    <row r="9923" hidden="1">
      <c r="E9923" s="96"/>
    </row>
    <row r="9924" hidden="1">
      <c r="E9924" s="96"/>
    </row>
    <row r="9925" hidden="1">
      <c r="E9925" s="96"/>
    </row>
    <row r="9926" hidden="1">
      <c r="E9926" s="96"/>
    </row>
    <row r="9927" hidden="1">
      <c r="E9927" s="96"/>
    </row>
    <row r="9928" hidden="1">
      <c r="E9928" s="96"/>
    </row>
    <row r="9929" hidden="1">
      <c r="E9929" s="96"/>
    </row>
    <row r="9930" hidden="1">
      <c r="E9930" s="96"/>
    </row>
    <row r="9931" hidden="1">
      <c r="E9931" s="96"/>
    </row>
    <row r="9932" hidden="1">
      <c r="E9932" s="96"/>
    </row>
    <row r="9933" hidden="1">
      <c r="E9933" s="96"/>
    </row>
    <row r="9934" hidden="1">
      <c r="E9934" s="96"/>
    </row>
    <row r="9935" hidden="1">
      <c r="E9935" s="96"/>
    </row>
    <row r="9936" hidden="1">
      <c r="E9936" s="96"/>
    </row>
    <row r="9937" hidden="1">
      <c r="E9937" s="96"/>
    </row>
    <row r="9938" hidden="1">
      <c r="E9938" s="96"/>
    </row>
    <row r="9939" hidden="1">
      <c r="E9939" s="96"/>
    </row>
    <row r="9940" hidden="1">
      <c r="E9940" s="96"/>
    </row>
    <row r="9941" hidden="1">
      <c r="E9941" s="96"/>
    </row>
    <row r="9942" hidden="1">
      <c r="E9942" s="96"/>
    </row>
    <row r="9943" hidden="1">
      <c r="E9943" s="96"/>
    </row>
    <row r="9944" hidden="1">
      <c r="E9944" s="96"/>
    </row>
    <row r="9945" hidden="1">
      <c r="E9945" s="96"/>
    </row>
    <row r="9946" hidden="1">
      <c r="E9946" s="96"/>
    </row>
    <row r="9947" hidden="1">
      <c r="E9947" s="96"/>
    </row>
    <row r="9948" hidden="1">
      <c r="E9948" s="96"/>
    </row>
    <row r="9949" hidden="1">
      <c r="E9949" s="96"/>
    </row>
    <row r="9950" hidden="1">
      <c r="E9950" s="96"/>
    </row>
    <row r="9951" hidden="1">
      <c r="E9951" s="96"/>
    </row>
    <row r="9952" hidden="1">
      <c r="E9952" s="96"/>
    </row>
    <row r="9953" hidden="1">
      <c r="E9953" s="96"/>
    </row>
    <row r="9954" hidden="1">
      <c r="E9954" s="96"/>
    </row>
    <row r="9955" hidden="1">
      <c r="E9955" s="96"/>
    </row>
    <row r="9956" hidden="1">
      <c r="E9956" s="96"/>
    </row>
    <row r="9957" hidden="1">
      <c r="E9957" s="96"/>
    </row>
    <row r="9958" hidden="1">
      <c r="E9958" s="96"/>
    </row>
    <row r="9959" hidden="1">
      <c r="E9959" s="96"/>
    </row>
    <row r="9960" hidden="1">
      <c r="E9960" s="96"/>
    </row>
    <row r="9961" hidden="1">
      <c r="E9961" s="96"/>
    </row>
    <row r="9962" hidden="1">
      <c r="E9962" s="96"/>
    </row>
    <row r="9963" hidden="1">
      <c r="E9963" s="96"/>
    </row>
    <row r="9964" hidden="1">
      <c r="E9964" s="96"/>
    </row>
    <row r="9965" hidden="1">
      <c r="E9965" s="96"/>
    </row>
    <row r="9966" hidden="1">
      <c r="E9966" s="96"/>
    </row>
    <row r="9967" hidden="1">
      <c r="E9967" s="96"/>
    </row>
    <row r="9968" hidden="1">
      <c r="E9968" s="96"/>
    </row>
    <row r="9969" hidden="1">
      <c r="E9969" s="96"/>
    </row>
    <row r="9970" hidden="1">
      <c r="E9970" s="96"/>
    </row>
    <row r="9971" hidden="1">
      <c r="E9971" s="96"/>
    </row>
    <row r="9972" hidden="1">
      <c r="E9972" s="96"/>
    </row>
    <row r="9973" hidden="1">
      <c r="E9973" s="96"/>
    </row>
    <row r="9974" hidden="1">
      <c r="E9974" s="96"/>
    </row>
    <row r="9975" hidden="1">
      <c r="E9975" s="96"/>
    </row>
    <row r="9976" hidden="1">
      <c r="E9976" s="96"/>
    </row>
    <row r="9977" hidden="1">
      <c r="E9977" s="96"/>
    </row>
    <row r="9978" hidden="1">
      <c r="E9978" s="96"/>
    </row>
    <row r="9979" hidden="1">
      <c r="E9979" s="96"/>
    </row>
    <row r="9980" hidden="1">
      <c r="E9980" s="96"/>
    </row>
    <row r="9981" hidden="1">
      <c r="E9981" s="96"/>
    </row>
    <row r="9982" hidden="1">
      <c r="E9982" s="96"/>
    </row>
    <row r="9983" hidden="1">
      <c r="E9983" s="96"/>
    </row>
    <row r="9984" hidden="1">
      <c r="E9984" s="96"/>
    </row>
    <row r="9985" hidden="1">
      <c r="E9985" s="96"/>
    </row>
    <row r="9986" hidden="1">
      <c r="E9986" s="96"/>
    </row>
    <row r="9987" hidden="1">
      <c r="E9987" s="96"/>
    </row>
    <row r="9988" hidden="1">
      <c r="E9988" s="96"/>
    </row>
    <row r="9989" hidden="1">
      <c r="E9989" s="96"/>
    </row>
    <row r="9990" hidden="1">
      <c r="E9990" s="96"/>
    </row>
    <row r="9991" hidden="1">
      <c r="E9991" s="96"/>
    </row>
    <row r="9992" hidden="1">
      <c r="E9992" s="96"/>
    </row>
    <row r="9993" hidden="1">
      <c r="E9993" s="96"/>
    </row>
    <row r="9994" hidden="1">
      <c r="E9994" s="96"/>
    </row>
    <row r="9995" hidden="1">
      <c r="E9995" s="96"/>
    </row>
    <row r="9996" hidden="1">
      <c r="E9996" s="96"/>
    </row>
    <row r="9997" hidden="1">
      <c r="E9997" s="96"/>
    </row>
    <row r="9998" hidden="1">
      <c r="E9998" s="96"/>
    </row>
    <row r="9999" hidden="1">
      <c r="E9999" s="96"/>
    </row>
    <row r="10000" hidden="1">
      <c r="E10000" s="96"/>
    </row>
    <row r="10001" hidden="1">
      <c r="E10001" s="96"/>
    </row>
    <row r="10002" hidden="1">
      <c r="E10002" s="96"/>
    </row>
    <row r="10003" hidden="1">
      <c r="E10003" s="96"/>
    </row>
    <row r="10004" hidden="1">
      <c r="E10004" s="96"/>
    </row>
    <row r="10005" hidden="1">
      <c r="E10005" s="96"/>
    </row>
    <row r="10006" hidden="1">
      <c r="E10006" s="96"/>
    </row>
    <row r="10007" hidden="1">
      <c r="E10007" s="96"/>
    </row>
    <row r="10008" hidden="1">
      <c r="E10008" s="96"/>
    </row>
    <row r="10009" hidden="1">
      <c r="E10009" s="96"/>
    </row>
    <row r="10010" hidden="1">
      <c r="E10010" s="96"/>
    </row>
    <row r="10011" hidden="1">
      <c r="E10011" s="96"/>
    </row>
    <row r="10012" hidden="1">
      <c r="E10012" s="96"/>
    </row>
    <row r="10013" hidden="1">
      <c r="E10013" s="96"/>
    </row>
    <row r="10014" hidden="1">
      <c r="E10014" s="96"/>
    </row>
    <row r="10015" hidden="1">
      <c r="E10015" s="96"/>
    </row>
    <row r="10016" hidden="1">
      <c r="E10016" s="96"/>
    </row>
    <row r="10017" hidden="1">
      <c r="E10017" s="96"/>
    </row>
    <row r="10018" hidden="1">
      <c r="E10018" s="96"/>
    </row>
    <row r="10019" hidden="1">
      <c r="E10019" s="96"/>
    </row>
    <row r="10020" hidden="1">
      <c r="E10020" s="96"/>
    </row>
    <row r="10021" hidden="1">
      <c r="E10021" s="96"/>
    </row>
    <row r="10022" hidden="1">
      <c r="E10022" s="96"/>
    </row>
    <row r="10023" hidden="1">
      <c r="E10023" s="96"/>
    </row>
    <row r="10024" hidden="1">
      <c r="E10024" s="96"/>
    </row>
    <row r="10025" hidden="1">
      <c r="E10025" s="96"/>
    </row>
    <row r="10026" hidden="1">
      <c r="E10026" s="96"/>
    </row>
    <row r="10027" hidden="1">
      <c r="E10027" s="96"/>
    </row>
    <row r="10028" hidden="1">
      <c r="E10028" s="96"/>
    </row>
    <row r="10029" hidden="1">
      <c r="E10029" s="96"/>
    </row>
    <row r="10030" hidden="1">
      <c r="E10030" s="96"/>
    </row>
    <row r="10031" hidden="1">
      <c r="E10031" s="96"/>
    </row>
    <row r="10032" hidden="1">
      <c r="E10032" s="96"/>
    </row>
    <row r="10033" hidden="1">
      <c r="E10033" s="96"/>
    </row>
    <row r="10034" hidden="1">
      <c r="E10034" s="96"/>
    </row>
    <row r="10035" hidden="1">
      <c r="E10035" s="96"/>
    </row>
    <row r="10036" hidden="1">
      <c r="E10036" s="96"/>
    </row>
    <row r="10037" hidden="1">
      <c r="E10037" s="96"/>
    </row>
    <row r="10038" hidden="1">
      <c r="E10038" s="96"/>
    </row>
    <row r="10039" hidden="1">
      <c r="E10039" s="96"/>
    </row>
    <row r="10040" hidden="1">
      <c r="E10040" s="96"/>
    </row>
    <row r="10041" hidden="1">
      <c r="E10041" s="96"/>
    </row>
    <row r="10042" hidden="1">
      <c r="E10042" s="96"/>
    </row>
    <row r="10043" hidden="1">
      <c r="E10043" s="96"/>
    </row>
    <row r="10044" hidden="1">
      <c r="E10044" s="96"/>
    </row>
    <row r="10045" hidden="1">
      <c r="E10045" s="96"/>
    </row>
    <row r="10046" hidden="1">
      <c r="E10046" s="96"/>
    </row>
    <row r="10047" hidden="1">
      <c r="E10047" s="96"/>
    </row>
    <row r="10048" hidden="1">
      <c r="E10048" s="96"/>
    </row>
    <row r="10049" hidden="1">
      <c r="E10049" s="96"/>
    </row>
    <row r="10050" hidden="1">
      <c r="E10050" s="96"/>
    </row>
    <row r="10051" hidden="1">
      <c r="E10051" s="96"/>
    </row>
    <row r="10052" hidden="1">
      <c r="E10052" s="96"/>
    </row>
    <row r="10053" hidden="1">
      <c r="E10053" s="96"/>
    </row>
    <row r="10054" hidden="1">
      <c r="E10054" s="96"/>
    </row>
    <row r="10055" hidden="1">
      <c r="E10055" s="96"/>
    </row>
    <row r="10056" hidden="1">
      <c r="E10056" s="96"/>
    </row>
    <row r="10057" hidden="1">
      <c r="E10057" s="96"/>
    </row>
    <row r="10058" hidden="1">
      <c r="E10058" s="96"/>
    </row>
    <row r="10059" hidden="1">
      <c r="E10059" s="96"/>
    </row>
    <row r="10060" hidden="1">
      <c r="E10060" s="96"/>
    </row>
    <row r="10061" hidden="1">
      <c r="E10061" s="96"/>
    </row>
    <row r="10062" hidden="1">
      <c r="E10062" s="96"/>
    </row>
    <row r="10063" hidden="1">
      <c r="E10063" s="96"/>
    </row>
    <row r="10064" hidden="1">
      <c r="E10064" s="96"/>
    </row>
    <row r="10065" hidden="1">
      <c r="E10065" s="96"/>
    </row>
    <row r="10066" hidden="1">
      <c r="E10066" s="96"/>
    </row>
    <row r="10067" hidden="1">
      <c r="E10067" s="96"/>
    </row>
    <row r="10068" hidden="1">
      <c r="E10068" s="96"/>
    </row>
    <row r="10069" hidden="1">
      <c r="E10069" s="96"/>
    </row>
    <row r="10070" hidden="1">
      <c r="E10070" s="96"/>
    </row>
    <row r="10071" hidden="1">
      <c r="E10071" s="96"/>
    </row>
    <row r="10072" hidden="1">
      <c r="E10072" s="96"/>
    </row>
    <row r="10073" hidden="1">
      <c r="E10073" s="96"/>
    </row>
    <row r="10074" hidden="1">
      <c r="E10074" s="96"/>
    </row>
    <row r="10075" hidden="1">
      <c r="E10075" s="96"/>
    </row>
    <row r="10076" hidden="1">
      <c r="E10076" s="96"/>
    </row>
    <row r="10077" hidden="1">
      <c r="E10077" s="96"/>
    </row>
    <row r="10078" hidden="1">
      <c r="E10078" s="96"/>
    </row>
    <row r="10079" hidden="1">
      <c r="E10079" s="96"/>
    </row>
    <row r="10080" hidden="1">
      <c r="E10080" s="96"/>
    </row>
    <row r="10081" hidden="1">
      <c r="E10081" s="96"/>
    </row>
    <row r="10082" hidden="1">
      <c r="E10082" s="96"/>
    </row>
    <row r="10083" hidden="1">
      <c r="E10083" s="96"/>
    </row>
    <row r="10084" hidden="1">
      <c r="E10084" s="96"/>
    </row>
    <row r="10085" hidden="1">
      <c r="E10085" s="96"/>
    </row>
    <row r="10086" hidden="1">
      <c r="E10086" s="96"/>
    </row>
    <row r="10087" hidden="1">
      <c r="E10087" s="96"/>
    </row>
    <row r="10088" hidden="1">
      <c r="E10088" s="96"/>
    </row>
    <row r="10089" hidden="1">
      <c r="E10089" s="96"/>
    </row>
    <row r="10090" hidden="1">
      <c r="E10090" s="96"/>
    </row>
    <row r="10091" hidden="1">
      <c r="E10091" s="96"/>
    </row>
    <row r="10092" hidden="1">
      <c r="E10092" s="96"/>
    </row>
    <row r="10093" hidden="1">
      <c r="E10093" s="96"/>
    </row>
    <row r="10094" hidden="1">
      <c r="E10094" s="96"/>
    </row>
    <row r="10095" hidden="1">
      <c r="E10095" s="96"/>
    </row>
    <row r="10096" hidden="1">
      <c r="E10096" s="96"/>
    </row>
    <row r="10097" hidden="1">
      <c r="E10097" s="96"/>
    </row>
    <row r="10098" hidden="1">
      <c r="E10098" s="96"/>
    </row>
    <row r="10099" hidden="1">
      <c r="E10099" s="96"/>
    </row>
    <row r="10100" hidden="1">
      <c r="E10100" s="96"/>
    </row>
    <row r="10101" hidden="1">
      <c r="E10101" s="96"/>
    </row>
    <row r="10102" hidden="1">
      <c r="E10102" s="96"/>
    </row>
    <row r="10103" hidden="1">
      <c r="E10103" s="96"/>
    </row>
    <row r="10104" hidden="1">
      <c r="E10104" s="96"/>
    </row>
    <row r="10105" hidden="1">
      <c r="E10105" s="96"/>
    </row>
    <row r="10106" hidden="1">
      <c r="E10106" s="96"/>
    </row>
    <row r="10107" hidden="1">
      <c r="E10107" s="96"/>
    </row>
    <row r="10108" hidden="1">
      <c r="E10108" s="96"/>
    </row>
    <row r="10109" hidden="1">
      <c r="E10109" s="96"/>
    </row>
    <row r="10110" hidden="1">
      <c r="E10110" s="96"/>
    </row>
    <row r="10111" hidden="1">
      <c r="E10111" s="96"/>
    </row>
    <row r="10112" hidden="1">
      <c r="E10112" s="96"/>
    </row>
    <row r="10113" hidden="1">
      <c r="E10113" s="96"/>
    </row>
    <row r="10114" hidden="1">
      <c r="E10114" s="96"/>
    </row>
    <row r="10115" hidden="1">
      <c r="E10115" s="96"/>
    </row>
    <row r="10116" hidden="1">
      <c r="E10116" s="96"/>
    </row>
    <row r="10117" hidden="1">
      <c r="E10117" s="96"/>
    </row>
    <row r="10118" hidden="1">
      <c r="E10118" s="96"/>
    </row>
    <row r="10119" hidden="1">
      <c r="E10119" s="96"/>
    </row>
    <row r="10120" hidden="1">
      <c r="E10120" s="96"/>
    </row>
    <row r="10121" hidden="1">
      <c r="E10121" s="96"/>
    </row>
    <row r="10122" hidden="1">
      <c r="E10122" s="96"/>
    </row>
    <row r="10123" hidden="1">
      <c r="E10123" s="96"/>
    </row>
    <row r="10124" hidden="1">
      <c r="E10124" s="96"/>
    </row>
    <row r="10125" hidden="1">
      <c r="E10125" s="96"/>
    </row>
    <row r="10126" hidden="1">
      <c r="E10126" s="96"/>
    </row>
    <row r="10127" hidden="1">
      <c r="E10127" s="96"/>
    </row>
    <row r="10128" hidden="1">
      <c r="E10128" s="96"/>
    </row>
    <row r="10129" hidden="1">
      <c r="E10129" s="96"/>
    </row>
    <row r="10130" hidden="1">
      <c r="E10130" s="96"/>
    </row>
    <row r="10131" hidden="1">
      <c r="E10131" s="96"/>
    </row>
    <row r="10132" hidden="1">
      <c r="E10132" s="96"/>
    </row>
    <row r="10133" hidden="1">
      <c r="E10133" s="96"/>
    </row>
    <row r="10134" hidden="1">
      <c r="E10134" s="96"/>
    </row>
    <row r="10135" hidden="1">
      <c r="E10135" s="96"/>
    </row>
    <row r="10136" hidden="1">
      <c r="E10136" s="96"/>
    </row>
    <row r="10137" hidden="1">
      <c r="E10137" s="96"/>
    </row>
    <row r="10138" hidden="1">
      <c r="E10138" s="96"/>
    </row>
    <row r="10139" hidden="1">
      <c r="E10139" s="96"/>
    </row>
    <row r="10140" hidden="1">
      <c r="E10140" s="96"/>
    </row>
    <row r="10141" hidden="1">
      <c r="E10141" s="96"/>
    </row>
    <row r="10142" hidden="1">
      <c r="E10142" s="96"/>
    </row>
    <row r="10143" hidden="1">
      <c r="E10143" s="96"/>
    </row>
    <row r="10144" hidden="1">
      <c r="E10144" s="96"/>
    </row>
    <row r="10145" hidden="1">
      <c r="E10145" s="96"/>
    </row>
    <row r="10146" hidden="1">
      <c r="E10146" s="96"/>
    </row>
    <row r="10147" hidden="1">
      <c r="E10147" s="96"/>
    </row>
    <row r="10148" hidden="1">
      <c r="E10148" s="96"/>
    </row>
    <row r="10149" hidden="1">
      <c r="E10149" s="96"/>
    </row>
    <row r="10150" hidden="1">
      <c r="E10150" s="96"/>
    </row>
    <row r="10151" hidden="1">
      <c r="E10151" s="96"/>
    </row>
    <row r="10152" hidden="1">
      <c r="E10152" s="96"/>
    </row>
    <row r="10153" hidden="1">
      <c r="E10153" s="96"/>
    </row>
    <row r="10154" hidden="1">
      <c r="E10154" s="96"/>
    </row>
    <row r="10155" hidden="1">
      <c r="E10155" s="96"/>
    </row>
    <row r="10156" hidden="1">
      <c r="E10156" s="96"/>
    </row>
    <row r="10157" hidden="1">
      <c r="E10157" s="96"/>
    </row>
    <row r="10158" hidden="1">
      <c r="E10158" s="96"/>
    </row>
    <row r="10159" hidden="1">
      <c r="E10159" s="96"/>
    </row>
    <row r="10160" hidden="1">
      <c r="E10160" s="96"/>
    </row>
    <row r="10161" hidden="1">
      <c r="E10161" s="96"/>
    </row>
    <row r="10162" hidden="1">
      <c r="E10162" s="96"/>
    </row>
    <row r="10163" hidden="1">
      <c r="E10163" s="96"/>
    </row>
    <row r="10164" hidden="1">
      <c r="E10164" s="96"/>
    </row>
    <row r="10165" hidden="1">
      <c r="E10165" s="96"/>
    </row>
    <row r="10166" hidden="1">
      <c r="E10166" s="96"/>
    </row>
    <row r="10167" hidden="1">
      <c r="E10167" s="96"/>
    </row>
    <row r="10168" hidden="1">
      <c r="E10168" s="96"/>
    </row>
    <row r="10169" hidden="1">
      <c r="E10169" s="96"/>
    </row>
    <row r="10170" hidden="1">
      <c r="E10170" s="96"/>
    </row>
    <row r="10171" hidden="1">
      <c r="E10171" s="96"/>
    </row>
    <row r="10172" hidden="1">
      <c r="E10172" s="96"/>
    </row>
    <row r="10173" hidden="1">
      <c r="E10173" s="96"/>
    </row>
    <row r="10174" hidden="1">
      <c r="E10174" s="96"/>
    </row>
    <row r="10175" hidden="1">
      <c r="E10175" s="96"/>
    </row>
    <row r="10176" hidden="1">
      <c r="E10176" s="96"/>
    </row>
    <row r="10177" hidden="1">
      <c r="E10177" s="96"/>
    </row>
    <row r="10178" hidden="1">
      <c r="E10178" s="96"/>
    </row>
    <row r="10179" hidden="1">
      <c r="E10179" s="96"/>
    </row>
    <row r="10180" hidden="1">
      <c r="E10180" s="96"/>
    </row>
    <row r="10181" hidden="1">
      <c r="E10181" s="96"/>
    </row>
    <row r="10182" hidden="1">
      <c r="E10182" s="96"/>
    </row>
    <row r="10183" hidden="1">
      <c r="E10183" s="96"/>
    </row>
    <row r="10184" hidden="1">
      <c r="E10184" s="96"/>
    </row>
    <row r="10185" hidden="1">
      <c r="E10185" s="96"/>
    </row>
    <row r="10186" hidden="1">
      <c r="E10186" s="96"/>
    </row>
    <row r="10187" hidden="1">
      <c r="E10187" s="96"/>
    </row>
    <row r="10188" hidden="1">
      <c r="E10188" s="96"/>
    </row>
    <row r="10189" hidden="1">
      <c r="E10189" s="96"/>
    </row>
    <row r="10190" hidden="1">
      <c r="E10190" s="96"/>
    </row>
    <row r="10191" hidden="1">
      <c r="E10191" s="96"/>
    </row>
    <row r="10192" hidden="1">
      <c r="E10192" s="96"/>
    </row>
    <row r="10193" hidden="1">
      <c r="E10193" s="96"/>
    </row>
    <row r="10194" hidden="1">
      <c r="E10194" s="96"/>
    </row>
    <row r="10195" hidden="1">
      <c r="E10195" s="96"/>
    </row>
    <row r="10196" hidden="1">
      <c r="E10196" s="96"/>
    </row>
    <row r="10197" hidden="1">
      <c r="E10197" s="96"/>
    </row>
    <row r="10198" hidden="1">
      <c r="E10198" s="96"/>
    </row>
    <row r="10199" hidden="1">
      <c r="E10199" s="96"/>
    </row>
    <row r="10200" hidden="1">
      <c r="E10200" s="96"/>
    </row>
    <row r="10201" hidden="1">
      <c r="E10201" s="96"/>
    </row>
    <row r="10202" hidden="1">
      <c r="E10202" s="96"/>
    </row>
    <row r="10203" hidden="1">
      <c r="E10203" s="96"/>
    </row>
    <row r="10204" hidden="1">
      <c r="E10204" s="96"/>
    </row>
    <row r="10205" hidden="1">
      <c r="E10205" s="96"/>
    </row>
    <row r="10206" hidden="1">
      <c r="E10206" s="96"/>
    </row>
    <row r="10207" hidden="1">
      <c r="E10207" s="96"/>
    </row>
    <row r="10208" hidden="1">
      <c r="E10208" s="96"/>
    </row>
    <row r="10209" hidden="1">
      <c r="E10209" s="96"/>
    </row>
    <row r="10210" hidden="1">
      <c r="E10210" s="96"/>
    </row>
    <row r="10211" hidden="1">
      <c r="E10211" s="96"/>
    </row>
    <row r="10212" hidden="1">
      <c r="E10212" s="96"/>
    </row>
    <row r="10213" hidden="1">
      <c r="E10213" s="96"/>
    </row>
    <row r="10214" hidden="1">
      <c r="E10214" s="96"/>
    </row>
    <row r="10215" hidden="1">
      <c r="E10215" s="96"/>
    </row>
    <row r="10216" hidden="1">
      <c r="E10216" s="96"/>
    </row>
    <row r="10217" hidden="1">
      <c r="E10217" s="96"/>
    </row>
    <row r="10218" hidden="1">
      <c r="E10218" s="96"/>
    </row>
    <row r="10219" hidden="1">
      <c r="E10219" s="96"/>
    </row>
    <row r="10220" hidden="1">
      <c r="E10220" s="96"/>
    </row>
    <row r="10221" hidden="1">
      <c r="E10221" s="96"/>
    </row>
    <row r="10222" hidden="1">
      <c r="E10222" s="96"/>
    </row>
    <row r="10223" hidden="1">
      <c r="E10223" s="96"/>
    </row>
    <row r="10224" hidden="1">
      <c r="E10224" s="96"/>
    </row>
    <row r="10225" hidden="1">
      <c r="E10225" s="96"/>
    </row>
    <row r="10226" hidden="1">
      <c r="E10226" s="96"/>
    </row>
    <row r="10227" hidden="1">
      <c r="E10227" s="96"/>
    </row>
    <row r="10228" hidden="1">
      <c r="E10228" s="96"/>
    </row>
    <row r="10229" hidden="1">
      <c r="E10229" s="96"/>
    </row>
    <row r="10230" hidden="1">
      <c r="E10230" s="96"/>
    </row>
    <row r="10231" hidden="1">
      <c r="E10231" s="96"/>
    </row>
    <row r="10232" hidden="1">
      <c r="E10232" s="96"/>
    </row>
    <row r="10233" hidden="1">
      <c r="E10233" s="96"/>
    </row>
    <row r="10234" hidden="1">
      <c r="E10234" s="96"/>
    </row>
    <row r="10235" hidden="1">
      <c r="E10235" s="96"/>
    </row>
    <row r="10236" hidden="1">
      <c r="E10236" s="96"/>
    </row>
    <row r="10237" hidden="1">
      <c r="E10237" s="96"/>
    </row>
    <row r="10238" hidden="1">
      <c r="E10238" s="96"/>
    </row>
    <row r="10239" hidden="1">
      <c r="E10239" s="96"/>
    </row>
    <row r="10240" hidden="1">
      <c r="E10240" s="96"/>
    </row>
    <row r="10241" hidden="1">
      <c r="E10241" s="96"/>
    </row>
    <row r="10242" hidden="1">
      <c r="E10242" s="96"/>
    </row>
    <row r="10243" hidden="1">
      <c r="E10243" s="96"/>
    </row>
    <row r="10244" hidden="1">
      <c r="E10244" s="96"/>
    </row>
    <row r="10245" hidden="1">
      <c r="E10245" s="96"/>
    </row>
    <row r="10246" hidden="1">
      <c r="E10246" s="96"/>
    </row>
    <row r="10247" hidden="1">
      <c r="E10247" s="96"/>
    </row>
    <row r="10248" hidden="1">
      <c r="E10248" s="96"/>
    </row>
    <row r="10249" hidden="1">
      <c r="E10249" s="96"/>
    </row>
    <row r="10250" hidden="1">
      <c r="E10250" s="96"/>
    </row>
    <row r="10251" hidden="1">
      <c r="E10251" s="96"/>
    </row>
    <row r="10252" hidden="1">
      <c r="E10252" s="96"/>
    </row>
    <row r="10253" hidden="1">
      <c r="E10253" s="96"/>
    </row>
    <row r="10254" hidden="1">
      <c r="E10254" s="96"/>
    </row>
    <row r="10255" hidden="1">
      <c r="E10255" s="96"/>
    </row>
    <row r="10256" hidden="1">
      <c r="E10256" s="96"/>
    </row>
    <row r="10257" hidden="1">
      <c r="E10257" s="96"/>
    </row>
    <row r="10258" hidden="1">
      <c r="E10258" s="96"/>
    </row>
    <row r="10259" hidden="1">
      <c r="E10259" s="96"/>
    </row>
    <row r="10260" hidden="1">
      <c r="E10260" s="96"/>
    </row>
    <row r="10261" hidden="1">
      <c r="E10261" s="96"/>
    </row>
    <row r="10262" hidden="1">
      <c r="E10262" s="96"/>
    </row>
    <row r="10263" hidden="1">
      <c r="E10263" s="96"/>
    </row>
    <row r="10264" hidden="1">
      <c r="E10264" s="96"/>
    </row>
    <row r="10265" hidden="1">
      <c r="E10265" s="96"/>
    </row>
    <row r="10266" hidden="1">
      <c r="E10266" s="96"/>
    </row>
    <row r="10267" hidden="1">
      <c r="E10267" s="96"/>
    </row>
    <row r="10268" hidden="1">
      <c r="E10268" s="96"/>
    </row>
    <row r="10269" hidden="1">
      <c r="E10269" s="96"/>
    </row>
    <row r="10270" hidden="1">
      <c r="E10270" s="96"/>
    </row>
    <row r="10271" hidden="1">
      <c r="E10271" s="96"/>
    </row>
    <row r="10272" hidden="1">
      <c r="E10272" s="96"/>
    </row>
    <row r="10273" hidden="1">
      <c r="E10273" s="96"/>
    </row>
    <row r="10274" hidden="1">
      <c r="E10274" s="96"/>
    </row>
    <row r="10275" hidden="1">
      <c r="E10275" s="96"/>
    </row>
    <row r="10276" hidden="1">
      <c r="E10276" s="96"/>
    </row>
    <row r="10277" hidden="1">
      <c r="E10277" s="96"/>
    </row>
    <row r="10278" hidden="1">
      <c r="E10278" s="96"/>
    </row>
    <row r="10279" hidden="1">
      <c r="E10279" s="96"/>
    </row>
    <row r="10280" hidden="1">
      <c r="E10280" s="96"/>
    </row>
    <row r="10281" hidden="1">
      <c r="E10281" s="96"/>
    </row>
    <row r="10282" hidden="1">
      <c r="E10282" s="96"/>
    </row>
    <row r="10283" hidden="1">
      <c r="E10283" s="96"/>
    </row>
    <row r="10284" hidden="1">
      <c r="E10284" s="96"/>
    </row>
    <row r="10285" hidden="1">
      <c r="E10285" s="96"/>
    </row>
    <row r="10286" hidden="1">
      <c r="E10286" s="96"/>
    </row>
    <row r="10287" hidden="1">
      <c r="E10287" s="96"/>
    </row>
    <row r="10288" hidden="1">
      <c r="E10288" s="96"/>
    </row>
    <row r="10289" hidden="1">
      <c r="E10289" s="96"/>
    </row>
    <row r="10290" hidden="1">
      <c r="E10290" s="96"/>
    </row>
    <row r="10291" hidden="1">
      <c r="E10291" s="96"/>
    </row>
    <row r="10292" hidden="1">
      <c r="E10292" s="96"/>
    </row>
    <row r="10293" hidden="1">
      <c r="E10293" s="96"/>
    </row>
    <row r="10294" hidden="1">
      <c r="E10294" s="96"/>
    </row>
    <row r="10295" hidden="1">
      <c r="E10295" s="96"/>
    </row>
    <row r="10296" hidden="1">
      <c r="E10296" s="96"/>
    </row>
    <row r="10297" hidden="1">
      <c r="E10297" s="96"/>
    </row>
    <row r="10298" hidden="1">
      <c r="E10298" s="96"/>
    </row>
    <row r="10299" hidden="1">
      <c r="E10299" s="96"/>
    </row>
    <row r="10300" hidden="1">
      <c r="E10300" s="96"/>
    </row>
    <row r="10301" hidden="1">
      <c r="E10301" s="96"/>
    </row>
    <row r="10302" hidden="1">
      <c r="E10302" s="96"/>
    </row>
    <row r="10303" hidden="1">
      <c r="E10303" s="96"/>
    </row>
    <row r="10304" hidden="1">
      <c r="E10304" s="96"/>
    </row>
    <row r="10305" hidden="1">
      <c r="E10305" s="96"/>
    </row>
    <row r="10306" hidden="1">
      <c r="E10306" s="96"/>
    </row>
    <row r="10307" hidden="1">
      <c r="E10307" s="96"/>
    </row>
    <row r="10308" hidden="1">
      <c r="E10308" s="96"/>
    </row>
    <row r="10309" hidden="1">
      <c r="E10309" s="96"/>
    </row>
    <row r="10310" hidden="1">
      <c r="E10310" s="96"/>
    </row>
    <row r="10311" hidden="1">
      <c r="E10311" s="96"/>
    </row>
    <row r="10312" hidden="1">
      <c r="E10312" s="96"/>
    </row>
    <row r="10313" hidden="1">
      <c r="E10313" s="96"/>
    </row>
    <row r="10314" hidden="1">
      <c r="E10314" s="96"/>
    </row>
    <row r="10315" hidden="1">
      <c r="E10315" s="96"/>
    </row>
    <row r="10316" hidden="1">
      <c r="E10316" s="96"/>
    </row>
    <row r="10317" hidden="1">
      <c r="E10317" s="96"/>
    </row>
    <row r="10318" hidden="1">
      <c r="E10318" s="96"/>
    </row>
    <row r="10319" hidden="1">
      <c r="E10319" s="96"/>
    </row>
    <row r="10320" hidden="1">
      <c r="E10320" s="96"/>
    </row>
    <row r="10321" hidden="1">
      <c r="E10321" s="96"/>
    </row>
    <row r="10322" hidden="1">
      <c r="E10322" s="96"/>
    </row>
    <row r="10323" hidden="1">
      <c r="E10323" s="96"/>
    </row>
    <row r="10324" hidden="1">
      <c r="E10324" s="96"/>
    </row>
    <row r="10325" hidden="1">
      <c r="E10325" s="96"/>
    </row>
    <row r="10326" hidden="1">
      <c r="E10326" s="96"/>
    </row>
    <row r="10327" hidden="1">
      <c r="E10327" s="96"/>
    </row>
    <row r="10328" hidden="1">
      <c r="E10328" s="96"/>
    </row>
    <row r="10329" hidden="1">
      <c r="E10329" s="96"/>
    </row>
    <row r="10330" hidden="1">
      <c r="E10330" s="96"/>
    </row>
    <row r="10331" hidden="1">
      <c r="E10331" s="96"/>
    </row>
    <row r="10332" hidden="1">
      <c r="E10332" s="96"/>
    </row>
    <row r="10333" hidden="1">
      <c r="E10333" s="96"/>
    </row>
    <row r="10334" hidden="1">
      <c r="E10334" s="96"/>
    </row>
    <row r="10335" hidden="1">
      <c r="E10335" s="96"/>
    </row>
    <row r="10336" hidden="1">
      <c r="E10336" s="96"/>
    </row>
    <row r="10337" hidden="1">
      <c r="E10337" s="96"/>
    </row>
    <row r="10338" hidden="1">
      <c r="E10338" s="96"/>
    </row>
    <row r="10339" hidden="1">
      <c r="E10339" s="96"/>
    </row>
    <row r="10340" hidden="1">
      <c r="E10340" s="96"/>
    </row>
    <row r="10341" hidden="1">
      <c r="E10341" s="96"/>
    </row>
    <row r="10342" hidden="1">
      <c r="E10342" s="96"/>
    </row>
    <row r="10343" hidden="1">
      <c r="E10343" s="96"/>
    </row>
    <row r="10344" hidden="1">
      <c r="E10344" s="96"/>
    </row>
    <row r="10345" hidden="1">
      <c r="E10345" s="96"/>
    </row>
    <row r="10346" hidden="1">
      <c r="E10346" s="96"/>
    </row>
    <row r="10347" hidden="1">
      <c r="E10347" s="96"/>
    </row>
    <row r="10348" hidden="1">
      <c r="E10348" s="96"/>
    </row>
    <row r="10349" hidden="1">
      <c r="E10349" s="96"/>
    </row>
    <row r="10350" hidden="1">
      <c r="E10350" s="96"/>
    </row>
    <row r="10351" hidden="1">
      <c r="E10351" s="96"/>
    </row>
    <row r="10352" hidden="1">
      <c r="E10352" s="96"/>
    </row>
    <row r="10353" hidden="1">
      <c r="E10353" s="96"/>
    </row>
    <row r="10354" hidden="1">
      <c r="E10354" s="96"/>
    </row>
    <row r="10355" hidden="1">
      <c r="E10355" s="96"/>
    </row>
    <row r="10356" hidden="1">
      <c r="E10356" s="96"/>
    </row>
    <row r="10357" hidden="1">
      <c r="E10357" s="96"/>
    </row>
    <row r="10358" hidden="1">
      <c r="E10358" s="96"/>
    </row>
    <row r="10359" hidden="1">
      <c r="E10359" s="96"/>
    </row>
    <row r="10360" hidden="1">
      <c r="E10360" s="96"/>
    </row>
    <row r="10361" hidden="1">
      <c r="E10361" s="96"/>
    </row>
    <row r="10362" hidden="1">
      <c r="E10362" s="96"/>
    </row>
    <row r="10363" hidden="1">
      <c r="E10363" s="96"/>
    </row>
    <row r="10364" hidden="1">
      <c r="E10364" s="96"/>
    </row>
    <row r="10365" hidden="1">
      <c r="E10365" s="96"/>
    </row>
    <row r="10366" hidden="1">
      <c r="E10366" s="96"/>
    </row>
    <row r="10367" hidden="1">
      <c r="E10367" s="96"/>
    </row>
    <row r="10368" hidden="1">
      <c r="E10368" s="96"/>
    </row>
    <row r="10369" hidden="1">
      <c r="E10369" s="96"/>
    </row>
    <row r="10370" hidden="1">
      <c r="E10370" s="96"/>
    </row>
    <row r="10371" hidden="1">
      <c r="E10371" s="96"/>
    </row>
    <row r="10372" hidden="1">
      <c r="E10372" s="96"/>
    </row>
    <row r="10373" hidden="1">
      <c r="E10373" s="96"/>
    </row>
    <row r="10374" hidden="1">
      <c r="E10374" s="96"/>
    </row>
    <row r="10375" hidden="1">
      <c r="E10375" s="96"/>
    </row>
    <row r="10376" hidden="1">
      <c r="E10376" s="96"/>
    </row>
    <row r="10377" hidden="1">
      <c r="E10377" s="96"/>
    </row>
    <row r="10378" hidden="1">
      <c r="E10378" s="96"/>
    </row>
    <row r="10379" hidden="1">
      <c r="E10379" s="96"/>
    </row>
    <row r="10380" hidden="1">
      <c r="E10380" s="96"/>
    </row>
    <row r="10381" hidden="1">
      <c r="E10381" s="96"/>
    </row>
    <row r="10382" hidden="1">
      <c r="E10382" s="96"/>
    </row>
    <row r="10383" hidden="1">
      <c r="E10383" s="96"/>
    </row>
    <row r="10384" hidden="1">
      <c r="E10384" s="96"/>
    </row>
    <row r="10385" hidden="1">
      <c r="E10385" s="96"/>
    </row>
    <row r="10386" hidden="1">
      <c r="E10386" s="96"/>
    </row>
    <row r="10387" hidden="1">
      <c r="E10387" s="96"/>
    </row>
    <row r="10388" hidden="1">
      <c r="E10388" s="96"/>
    </row>
    <row r="10389" hidden="1">
      <c r="E10389" s="96"/>
    </row>
    <row r="10390" hidden="1">
      <c r="E10390" s="96"/>
    </row>
    <row r="10391" hidden="1">
      <c r="E10391" s="96"/>
    </row>
    <row r="10392" hidden="1">
      <c r="E10392" s="96"/>
    </row>
    <row r="10393" hidden="1">
      <c r="E10393" s="96"/>
    </row>
    <row r="10394" hidden="1">
      <c r="E10394" s="96"/>
    </row>
    <row r="10395" hidden="1">
      <c r="E10395" s="96"/>
    </row>
    <row r="10396" hidden="1">
      <c r="E10396" s="96"/>
    </row>
    <row r="10397" hidden="1">
      <c r="E10397" s="96"/>
    </row>
    <row r="10398" hidden="1">
      <c r="E10398" s="96"/>
    </row>
    <row r="10399" hidden="1">
      <c r="E10399" s="96"/>
    </row>
    <row r="10400" hidden="1">
      <c r="E10400" s="96"/>
    </row>
    <row r="10401" hidden="1">
      <c r="E10401" s="96"/>
    </row>
    <row r="10402" hidden="1">
      <c r="E10402" s="96"/>
    </row>
    <row r="10403" hidden="1">
      <c r="E10403" s="96"/>
    </row>
    <row r="10404" hidden="1">
      <c r="E10404" s="96"/>
    </row>
    <row r="10405" hidden="1">
      <c r="E10405" s="96"/>
    </row>
    <row r="10406" hidden="1">
      <c r="E10406" s="96"/>
    </row>
    <row r="10407" hidden="1">
      <c r="E10407" s="96"/>
    </row>
    <row r="10408" hidden="1">
      <c r="E10408" s="96"/>
    </row>
    <row r="10409" hidden="1">
      <c r="E10409" s="96"/>
    </row>
    <row r="10410" hidden="1">
      <c r="E10410" s="96"/>
    </row>
    <row r="10411" hidden="1">
      <c r="E10411" s="96"/>
    </row>
    <row r="10412" hidden="1">
      <c r="E10412" s="96"/>
    </row>
    <row r="10413" hidden="1">
      <c r="E10413" s="96"/>
    </row>
    <row r="10414" hidden="1">
      <c r="E10414" s="96"/>
    </row>
    <row r="10415" hidden="1">
      <c r="E10415" s="96"/>
    </row>
    <row r="10416" hidden="1">
      <c r="E10416" s="96"/>
    </row>
    <row r="10417" hidden="1">
      <c r="E10417" s="96"/>
    </row>
    <row r="10418" hidden="1">
      <c r="E10418" s="96"/>
    </row>
    <row r="10419" hidden="1">
      <c r="E10419" s="96"/>
    </row>
    <row r="10420" hidden="1">
      <c r="E10420" s="96"/>
    </row>
    <row r="10421" hidden="1">
      <c r="E10421" s="96"/>
    </row>
    <row r="10422" hidden="1">
      <c r="E10422" s="96"/>
    </row>
    <row r="10423" hidden="1">
      <c r="E10423" s="96"/>
    </row>
    <row r="10424" hidden="1">
      <c r="E10424" s="96"/>
    </row>
    <row r="10425" hidden="1">
      <c r="E10425" s="96"/>
    </row>
    <row r="10426" hidden="1">
      <c r="E10426" s="96"/>
    </row>
    <row r="10427" hidden="1">
      <c r="E10427" s="96"/>
    </row>
    <row r="10428" hidden="1">
      <c r="E10428" s="96"/>
    </row>
    <row r="10429" hidden="1">
      <c r="E10429" s="96"/>
    </row>
    <row r="10430" hidden="1">
      <c r="E10430" s="96"/>
    </row>
    <row r="10431" hidden="1">
      <c r="E10431" s="96"/>
    </row>
    <row r="10432" hidden="1">
      <c r="E10432" s="96"/>
    </row>
    <row r="10433" hidden="1">
      <c r="E10433" s="96"/>
    </row>
    <row r="10434" hidden="1">
      <c r="E10434" s="96"/>
    </row>
    <row r="10435" hidden="1">
      <c r="E10435" s="96"/>
    </row>
    <row r="10436" hidden="1">
      <c r="E10436" s="96"/>
    </row>
    <row r="10437" hidden="1">
      <c r="E10437" s="96"/>
    </row>
    <row r="10438" hidden="1">
      <c r="E10438" s="96"/>
    </row>
    <row r="10439" hidden="1">
      <c r="E10439" s="96"/>
    </row>
    <row r="10440" hidden="1">
      <c r="E10440" s="96"/>
    </row>
    <row r="10441" hidden="1">
      <c r="E10441" s="96"/>
    </row>
    <row r="10442" hidden="1">
      <c r="E10442" s="96"/>
    </row>
    <row r="10443" hidden="1">
      <c r="E10443" s="96"/>
    </row>
    <row r="10444" hidden="1">
      <c r="E10444" s="96"/>
    </row>
    <row r="10445" hidden="1">
      <c r="E10445" s="96"/>
    </row>
    <row r="10446" hidden="1">
      <c r="E10446" s="96"/>
    </row>
    <row r="10447" hidden="1">
      <c r="E10447" s="96"/>
    </row>
    <row r="10448" hidden="1">
      <c r="E10448" s="96"/>
    </row>
    <row r="10449" hidden="1">
      <c r="E10449" s="96"/>
    </row>
    <row r="10450" hidden="1">
      <c r="E10450" s="96"/>
    </row>
    <row r="10451" hidden="1">
      <c r="E10451" s="96"/>
    </row>
    <row r="10452" hidden="1">
      <c r="E10452" s="96"/>
    </row>
    <row r="10453" hidden="1">
      <c r="E10453" s="96"/>
    </row>
    <row r="10454" hidden="1">
      <c r="E10454" s="96"/>
    </row>
    <row r="10455" hidden="1">
      <c r="E10455" s="96"/>
    </row>
    <row r="10456" hidden="1">
      <c r="E10456" s="96"/>
    </row>
    <row r="10457" hidden="1">
      <c r="E10457" s="96"/>
    </row>
    <row r="10458" hidden="1">
      <c r="E10458" s="96"/>
    </row>
    <row r="10459" hidden="1">
      <c r="E10459" s="96"/>
    </row>
    <row r="10460" hidden="1">
      <c r="E10460" s="96"/>
    </row>
    <row r="10461" hidden="1">
      <c r="E10461" s="96"/>
    </row>
    <row r="10462" hidden="1">
      <c r="E10462" s="96"/>
    </row>
    <row r="10463" hidden="1">
      <c r="E10463" s="96"/>
    </row>
    <row r="10464" hidden="1">
      <c r="E10464" s="96"/>
    </row>
    <row r="10465" hidden="1">
      <c r="E10465" s="96"/>
    </row>
    <row r="10466" hidden="1">
      <c r="E10466" s="96"/>
    </row>
    <row r="10467" hidden="1">
      <c r="E10467" s="96"/>
    </row>
    <row r="10468" hidden="1">
      <c r="E10468" s="96"/>
    </row>
    <row r="10469" hidden="1">
      <c r="E10469" s="96"/>
    </row>
    <row r="10470" hidden="1">
      <c r="E10470" s="96"/>
    </row>
    <row r="10471" hidden="1">
      <c r="E10471" s="96"/>
    </row>
    <row r="10472" hidden="1">
      <c r="E10472" s="96"/>
    </row>
    <row r="10473" hidden="1">
      <c r="E10473" s="96"/>
    </row>
    <row r="10474" hidden="1">
      <c r="E10474" s="96"/>
    </row>
    <row r="10475" hidden="1">
      <c r="E10475" s="96"/>
    </row>
    <row r="10476" hidden="1">
      <c r="E10476" s="96"/>
    </row>
    <row r="10477" hidden="1">
      <c r="E10477" s="96"/>
    </row>
    <row r="10478" hidden="1">
      <c r="E10478" s="96"/>
    </row>
    <row r="10479" hidden="1">
      <c r="E10479" s="96"/>
    </row>
    <row r="10480" hidden="1">
      <c r="E10480" s="96"/>
    </row>
    <row r="10481" hidden="1">
      <c r="E10481" s="96"/>
    </row>
    <row r="10482" hidden="1">
      <c r="E10482" s="96"/>
    </row>
    <row r="10483" hidden="1">
      <c r="E10483" s="96"/>
    </row>
    <row r="10484" hidden="1">
      <c r="E10484" s="96"/>
    </row>
    <row r="10485" hidden="1">
      <c r="E10485" s="96"/>
    </row>
    <row r="10486" hidden="1">
      <c r="E10486" s="96"/>
    </row>
    <row r="10487" hidden="1">
      <c r="E10487" s="96"/>
    </row>
    <row r="10488" hidden="1">
      <c r="E10488" s="96"/>
    </row>
    <row r="10489" hidden="1">
      <c r="E10489" s="96"/>
    </row>
    <row r="10490" hidden="1">
      <c r="E10490" s="96"/>
    </row>
    <row r="10491" hidden="1">
      <c r="E10491" s="96"/>
    </row>
    <row r="10492" hidden="1">
      <c r="E10492" s="96"/>
    </row>
    <row r="10493" hidden="1">
      <c r="E10493" s="96"/>
    </row>
    <row r="10494" hidden="1">
      <c r="E10494" s="96"/>
    </row>
    <row r="10495" hidden="1">
      <c r="E10495" s="96"/>
    </row>
    <row r="10496" hidden="1">
      <c r="E10496" s="96"/>
    </row>
    <row r="10497" hidden="1">
      <c r="E10497" s="96"/>
    </row>
    <row r="10498" hidden="1">
      <c r="E10498" s="96"/>
    </row>
    <row r="10499" hidden="1">
      <c r="E10499" s="96"/>
    </row>
    <row r="10500" hidden="1">
      <c r="E10500" s="96"/>
    </row>
    <row r="10501" hidden="1">
      <c r="E10501" s="96"/>
    </row>
    <row r="10502" hidden="1">
      <c r="E10502" s="96"/>
    </row>
    <row r="10503" hidden="1">
      <c r="E10503" s="96"/>
    </row>
    <row r="10504" hidden="1">
      <c r="E10504" s="96"/>
    </row>
    <row r="10505" hidden="1">
      <c r="E10505" s="96"/>
    </row>
    <row r="10506" hidden="1">
      <c r="E10506" s="96"/>
    </row>
    <row r="10507" hidden="1">
      <c r="E10507" s="96"/>
    </row>
    <row r="10508" hidden="1">
      <c r="E10508" s="96"/>
    </row>
    <row r="10509" hidden="1">
      <c r="E10509" s="96"/>
    </row>
    <row r="10510" hidden="1">
      <c r="E10510" s="96"/>
    </row>
    <row r="10511" hidden="1">
      <c r="E10511" s="96"/>
    </row>
    <row r="10512" hidden="1">
      <c r="E10512" s="96"/>
    </row>
    <row r="10513" hidden="1">
      <c r="E10513" s="96"/>
    </row>
    <row r="10514" hidden="1">
      <c r="E10514" s="96"/>
    </row>
    <row r="10515" hidden="1">
      <c r="E10515" s="96"/>
    </row>
    <row r="10516" hidden="1">
      <c r="E10516" s="96"/>
    </row>
    <row r="10517" hidden="1">
      <c r="E10517" s="96"/>
    </row>
    <row r="10518" hidden="1">
      <c r="E10518" s="96"/>
    </row>
    <row r="10519" hidden="1">
      <c r="E10519" s="96"/>
    </row>
    <row r="10520" hidden="1">
      <c r="E10520" s="96"/>
    </row>
    <row r="10521" hidden="1">
      <c r="E10521" s="96"/>
    </row>
    <row r="10522" hidden="1">
      <c r="E10522" s="96"/>
    </row>
    <row r="10523" hidden="1">
      <c r="E10523" s="96"/>
    </row>
    <row r="10524" hidden="1">
      <c r="E10524" s="96"/>
    </row>
    <row r="10525" hidden="1">
      <c r="E10525" s="96"/>
    </row>
    <row r="10526" hidden="1">
      <c r="E10526" s="96"/>
    </row>
    <row r="10527" hidden="1">
      <c r="E10527" s="96"/>
    </row>
    <row r="10528" hidden="1">
      <c r="E10528" s="96"/>
    </row>
    <row r="10529" hidden="1">
      <c r="E10529" s="96"/>
    </row>
    <row r="10530" hidden="1">
      <c r="E10530" s="96"/>
    </row>
    <row r="10531" hidden="1">
      <c r="E10531" s="96"/>
    </row>
    <row r="10532" hidden="1">
      <c r="E10532" s="96"/>
    </row>
    <row r="10533" hidden="1">
      <c r="E10533" s="96"/>
    </row>
    <row r="10534" hidden="1">
      <c r="E10534" s="96"/>
    </row>
    <row r="10535" hidden="1">
      <c r="E10535" s="96"/>
    </row>
    <row r="10536" hidden="1">
      <c r="E10536" s="96"/>
    </row>
    <row r="10537" hidden="1">
      <c r="E10537" s="96"/>
    </row>
    <row r="10538" hidden="1">
      <c r="E10538" s="96"/>
    </row>
    <row r="10539" hidden="1">
      <c r="E10539" s="96"/>
    </row>
    <row r="10540" hidden="1">
      <c r="E10540" s="96"/>
    </row>
    <row r="10541" hidden="1">
      <c r="E10541" s="96"/>
    </row>
    <row r="10542" hidden="1">
      <c r="E10542" s="96"/>
    </row>
    <row r="10543" hidden="1">
      <c r="E10543" s="96"/>
    </row>
    <row r="10544" hidden="1">
      <c r="E10544" s="96"/>
    </row>
    <row r="10545" hidden="1">
      <c r="E10545" s="96"/>
    </row>
    <row r="10546" hidden="1">
      <c r="E10546" s="96"/>
    </row>
    <row r="10547" hidden="1">
      <c r="E10547" s="96"/>
    </row>
    <row r="10548" hidden="1">
      <c r="E10548" s="96"/>
    </row>
    <row r="10549" hidden="1">
      <c r="E10549" s="96"/>
    </row>
    <row r="10550" hidden="1">
      <c r="E10550" s="96"/>
    </row>
    <row r="10551" hidden="1">
      <c r="E10551" s="96"/>
    </row>
    <row r="10552" hidden="1">
      <c r="E10552" s="96"/>
    </row>
    <row r="10553" hidden="1">
      <c r="E10553" s="96"/>
    </row>
    <row r="10554" hidden="1">
      <c r="E10554" s="96"/>
    </row>
    <row r="10555" hidden="1">
      <c r="E10555" s="96"/>
    </row>
    <row r="10556" hidden="1">
      <c r="E10556" s="96"/>
    </row>
    <row r="10557" hidden="1">
      <c r="E10557" s="96"/>
    </row>
    <row r="10558" hidden="1">
      <c r="E10558" s="96"/>
    </row>
    <row r="10559" hidden="1">
      <c r="E10559" s="96"/>
    </row>
    <row r="10560" hidden="1">
      <c r="E10560" s="96"/>
    </row>
    <row r="10561" hidden="1">
      <c r="E10561" s="96"/>
    </row>
    <row r="10562" hidden="1">
      <c r="E10562" s="96"/>
    </row>
    <row r="10563" hidden="1">
      <c r="E10563" s="96"/>
    </row>
    <row r="10564" hidden="1">
      <c r="E10564" s="96"/>
    </row>
    <row r="10565" hidden="1">
      <c r="E10565" s="96"/>
    </row>
    <row r="10566" hidden="1">
      <c r="E10566" s="96"/>
    </row>
    <row r="10567" hidden="1">
      <c r="E10567" s="96"/>
    </row>
    <row r="10568" hidden="1">
      <c r="E10568" s="96"/>
    </row>
    <row r="10569" hidden="1">
      <c r="E10569" s="96"/>
    </row>
    <row r="10570" hidden="1">
      <c r="E10570" s="96"/>
    </row>
    <row r="10571" hidden="1">
      <c r="E10571" s="96"/>
    </row>
    <row r="10572" hidden="1">
      <c r="E10572" s="96"/>
    </row>
    <row r="10573" hidden="1">
      <c r="E10573" s="96"/>
    </row>
    <row r="10574" hidden="1">
      <c r="E10574" s="96"/>
    </row>
    <row r="10575" hidden="1">
      <c r="E10575" s="96"/>
    </row>
    <row r="10576" hidden="1">
      <c r="E10576" s="96"/>
    </row>
    <row r="10577" hidden="1">
      <c r="E10577" s="96"/>
    </row>
    <row r="10578" hidden="1">
      <c r="E10578" s="96"/>
    </row>
    <row r="10579" hidden="1">
      <c r="E10579" s="96"/>
    </row>
    <row r="10580" hidden="1">
      <c r="E10580" s="96"/>
    </row>
    <row r="10581" hidden="1">
      <c r="E10581" s="96"/>
    </row>
    <row r="10582" hidden="1">
      <c r="E10582" s="96"/>
    </row>
    <row r="10583" hidden="1">
      <c r="E10583" s="96"/>
    </row>
    <row r="10584" hidden="1">
      <c r="E10584" s="96"/>
    </row>
    <row r="10585" hidden="1">
      <c r="E10585" s="96"/>
    </row>
    <row r="10586" hidden="1">
      <c r="E10586" s="96"/>
    </row>
    <row r="10587" hidden="1">
      <c r="E10587" s="96"/>
    </row>
    <row r="10588" hidden="1">
      <c r="E10588" s="96"/>
    </row>
    <row r="10589" hidden="1">
      <c r="E10589" s="96"/>
    </row>
    <row r="10590" hidden="1">
      <c r="E10590" s="96"/>
    </row>
    <row r="10591" hidden="1">
      <c r="E10591" s="96"/>
    </row>
    <row r="10592" hidden="1">
      <c r="E10592" s="96"/>
    </row>
    <row r="10593" hidden="1">
      <c r="E10593" s="96"/>
    </row>
    <row r="10594" hidden="1">
      <c r="E10594" s="96"/>
    </row>
    <row r="10595" hidden="1">
      <c r="E10595" s="96"/>
    </row>
    <row r="10596" hidden="1">
      <c r="E10596" s="96"/>
    </row>
    <row r="10597" hidden="1">
      <c r="E10597" s="96"/>
    </row>
    <row r="10598" hidden="1">
      <c r="E10598" s="96"/>
    </row>
    <row r="10599" hidden="1">
      <c r="E10599" s="96"/>
    </row>
    <row r="10600" hidden="1">
      <c r="E10600" s="96"/>
    </row>
    <row r="10601" hidden="1">
      <c r="E10601" s="96"/>
    </row>
    <row r="10602" hidden="1">
      <c r="E10602" s="96"/>
    </row>
    <row r="10603" hidden="1">
      <c r="E10603" s="96"/>
    </row>
    <row r="10604" hidden="1">
      <c r="E10604" s="96"/>
    </row>
    <row r="10605" hidden="1">
      <c r="E10605" s="96"/>
    </row>
    <row r="10606" hidden="1">
      <c r="E10606" s="96"/>
    </row>
    <row r="10607" hidden="1">
      <c r="E10607" s="96"/>
    </row>
    <row r="10608" hidden="1">
      <c r="E10608" s="96"/>
    </row>
    <row r="10609" hidden="1">
      <c r="E10609" s="96"/>
    </row>
    <row r="10610" hidden="1">
      <c r="E10610" s="96"/>
    </row>
    <row r="10611" hidden="1">
      <c r="E10611" s="96"/>
    </row>
    <row r="10612" hidden="1">
      <c r="E10612" s="96"/>
    </row>
    <row r="10613" hidden="1">
      <c r="E10613" s="96"/>
    </row>
    <row r="10614" hidden="1">
      <c r="E10614" s="96"/>
    </row>
    <row r="10615" hidden="1">
      <c r="E10615" s="96"/>
    </row>
    <row r="10616" hidden="1">
      <c r="E10616" s="96"/>
    </row>
    <row r="10617" hidden="1">
      <c r="E10617" s="96"/>
    </row>
    <row r="10618" hidden="1">
      <c r="E10618" s="96"/>
    </row>
    <row r="10619" hidden="1">
      <c r="E10619" s="96"/>
    </row>
    <row r="10620" hidden="1">
      <c r="E10620" s="96"/>
    </row>
    <row r="10621" hidden="1">
      <c r="E10621" s="96"/>
    </row>
    <row r="10622" hidden="1">
      <c r="E10622" s="96"/>
    </row>
    <row r="10623" hidden="1">
      <c r="E10623" s="96"/>
    </row>
    <row r="10624" hidden="1">
      <c r="E10624" s="96"/>
    </row>
    <row r="10625" hidden="1">
      <c r="E10625" s="96"/>
    </row>
    <row r="10626" hidden="1">
      <c r="E10626" s="96"/>
    </row>
    <row r="10627" hidden="1">
      <c r="E10627" s="96"/>
    </row>
    <row r="10628" hidden="1">
      <c r="E10628" s="96"/>
    </row>
    <row r="10629" hidden="1">
      <c r="E10629" s="96"/>
    </row>
    <row r="10630" hidden="1">
      <c r="E10630" s="96"/>
    </row>
    <row r="10631" hidden="1">
      <c r="E10631" s="96"/>
    </row>
    <row r="10632" hidden="1">
      <c r="E10632" s="96"/>
    </row>
    <row r="10633" hidden="1">
      <c r="E10633" s="96"/>
    </row>
    <row r="10634" hidden="1">
      <c r="E10634" s="96"/>
    </row>
    <row r="10635" hidden="1">
      <c r="E10635" s="96"/>
    </row>
    <row r="10636" hidden="1">
      <c r="E10636" s="96"/>
    </row>
    <row r="10637" hidden="1">
      <c r="E10637" s="96"/>
    </row>
    <row r="10638" hidden="1">
      <c r="E10638" s="96"/>
    </row>
    <row r="10639" hidden="1">
      <c r="E10639" s="96"/>
    </row>
    <row r="10640" hidden="1">
      <c r="E10640" s="96"/>
    </row>
    <row r="10641" hidden="1">
      <c r="E10641" s="96"/>
    </row>
    <row r="10642" hidden="1">
      <c r="E10642" s="96"/>
    </row>
    <row r="10643" hidden="1">
      <c r="E10643" s="96"/>
    </row>
    <row r="10644" hidden="1">
      <c r="E10644" s="96"/>
    </row>
    <row r="10645" hidden="1">
      <c r="E10645" s="96"/>
    </row>
    <row r="10646" hidden="1">
      <c r="E10646" s="96"/>
    </row>
    <row r="10647" hidden="1">
      <c r="E10647" s="96"/>
    </row>
    <row r="10648" hidden="1">
      <c r="E10648" s="96"/>
    </row>
    <row r="10649" hidden="1">
      <c r="E10649" s="96"/>
    </row>
    <row r="10650" hidden="1">
      <c r="E10650" s="96"/>
    </row>
    <row r="10651" hidden="1">
      <c r="E10651" s="96"/>
    </row>
    <row r="10652" hidden="1">
      <c r="E10652" s="96"/>
    </row>
    <row r="10653" hidden="1">
      <c r="E10653" s="96"/>
    </row>
    <row r="10654" hidden="1">
      <c r="E10654" s="96"/>
    </row>
    <row r="10655" hidden="1">
      <c r="E10655" s="96"/>
    </row>
    <row r="10656" hidden="1">
      <c r="E10656" s="96"/>
    </row>
    <row r="10657" hidden="1">
      <c r="E10657" s="96"/>
    </row>
    <row r="10658" hidden="1">
      <c r="E10658" s="96"/>
    </row>
    <row r="10659" hidden="1">
      <c r="E10659" s="96"/>
    </row>
    <row r="10660" hidden="1">
      <c r="E10660" s="96"/>
    </row>
    <row r="10661" hidden="1">
      <c r="E10661" s="96"/>
    </row>
    <row r="10662" hidden="1">
      <c r="E10662" s="96"/>
    </row>
    <row r="10663" hidden="1">
      <c r="E10663" s="96"/>
    </row>
    <row r="10664" hidden="1">
      <c r="E10664" s="96"/>
    </row>
    <row r="10665" hidden="1">
      <c r="E10665" s="96"/>
    </row>
    <row r="10666" hidden="1">
      <c r="E10666" s="96"/>
    </row>
    <row r="10667" hidden="1">
      <c r="E10667" s="96"/>
    </row>
    <row r="10668" hidden="1">
      <c r="E10668" s="96"/>
    </row>
    <row r="10669" hidden="1">
      <c r="E10669" s="96"/>
    </row>
    <row r="10670" hidden="1">
      <c r="E10670" s="96"/>
    </row>
    <row r="10671" hidden="1">
      <c r="E10671" s="96"/>
    </row>
    <row r="10672" hidden="1">
      <c r="E10672" s="96"/>
    </row>
    <row r="10673" hidden="1">
      <c r="E10673" s="96"/>
    </row>
    <row r="10674" hidden="1">
      <c r="E10674" s="96"/>
    </row>
    <row r="10675" hidden="1">
      <c r="E10675" s="96"/>
    </row>
    <row r="10676" hidden="1">
      <c r="E10676" s="96"/>
    </row>
    <row r="10677" hidden="1">
      <c r="E10677" s="96"/>
    </row>
    <row r="10678" hidden="1">
      <c r="E10678" s="96"/>
    </row>
    <row r="10679" hidden="1">
      <c r="E10679" s="96"/>
    </row>
    <row r="10680" hidden="1">
      <c r="E10680" s="96"/>
    </row>
    <row r="10681" hidden="1">
      <c r="E10681" s="96"/>
    </row>
    <row r="10682" hidden="1">
      <c r="E10682" s="96"/>
    </row>
    <row r="10683" hidden="1">
      <c r="E10683" s="96"/>
    </row>
    <row r="10684" hidden="1">
      <c r="E10684" s="96"/>
    </row>
    <row r="10685" hidden="1">
      <c r="E10685" s="96"/>
    </row>
    <row r="10686" hidden="1">
      <c r="E10686" s="96"/>
    </row>
    <row r="10687" hidden="1">
      <c r="E10687" s="96"/>
    </row>
    <row r="10688" hidden="1">
      <c r="E10688" s="96"/>
    </row>
    <row r="10689" hidden="1">
      <c r="E10689" s="96"/>
    </row>
    <row r="10690" hidden="1">
      <c r="E10690" s="96"/>
    </row>
    <row r="10691" hidden="1">
      <c r="E10691" s="96"/>
    </row>
    <row r="10692" hidden="1">
      <c r="E10692" s="96"/>
    </row>
    <row r="10693" hidden="1">
      <c r="E10693" s="96"/>
    </row>
    <row r="10694" hidden="1">
      <c r="E10694" s="96"/>
    </row>
    <row r="10695" hidden="1">
      <c r="E10695" s="96"/>
    </row>
    <row r="10696" hidden="1">
      <c r="E10696" s="96"/>
    </row>
    <row r="10697" hidden="1">
      <c r="E10697" s="96"/>
    </row>
    <row r="10698" hidden="1">
      <c r="E10698" s="96"/>
    </row>
    <row r="10699" hidden="1">
      <c r="E10699" s="96"/>
    </row>
    <row r="10700" hidden="1">
      <c r="E10700" s="96"/>
    </row>
    <row r="10701" hidden="1">
      <c r="E10701" s="96"/>
    </row>
    <row r="10702" hidden="1">
      <c r="E10702" s="96"/>
    </row>
    <row r="10703" hidden="1">
      <c r="E10703" s="96"/>
    </row>
    <row r="10704" hidden="1">
      <c r="E10704" s="96"/>
    </row>
    <row r="10705" hidden="1">
      <c r="E10705" s="96"/>
    </row>
    <row r="10706" hidden="1">
      <c r="E10706" s="96"/>
    </row>
    <row r="10707" hidden="1">
      <c r="E10707" s="96"/>
    </row>
    <row r="10708" hidden="1">
      <c r="E10708" s="96"/>
    </row>
    <row r="10709" hidden="1">
      <c r="E10709" s="96"/>
    </row>
    <row r="10710" hidden="1">
      <c r="E10710" s="96"/>
    </row>
    <row r="10711" hidden="1">
      <c r="E10711" s="96"/>
    </row>
    <row r="10712" hidden="1">
      <c r="E10712" s="96"/>
    </row>
    <row r="10713" hidden="1">
      <c r="E10713" s="96"/>
    </row>
    <row r="10714" hidden="1">
      <c r="E10714" s="96"/>
    </row>
    <row r="10715" hidden="1">
      <c r="E10715" s="96"/>
    </row>
    <row r="10716" hidden="1">
      <c r="E10716" s="96"/>
    </row>
    <row r="10717" hidden="1">
      <c r="E10717" s="96"/>
    </row>
    <row r="10718" hidden="1">
      <c r="E10718" s="96"/>
    </row>
    <row r="10719" hidden="1">
      <c r="E10719" s="96"/>
    </row>
    <row r="10720" hidden="1">
      <c r="E10720" s="96"/>
    </row>
    <row r="10721" hidden="1">
      <c r="E10721" s="96"/>
    </row>
    <row r="10722" hidden="1">
      <c r="E10722" s="96"/>
    </row>
    <row r="10723" hidden="1">
      <c r="E10723" s="96"/>
    </row>
    <row r="10724" hidden="1">
      <c r="E10724" s="96"/>
    </row>
    <row r="10725" hidden="1">
      <c r="E10725" s="96"/>
    </row>
    <row r="10726" hidden="1">
      <c r="E10726" s="96"/>
    </row>
    <row r="10727" hidden="1">
      <c r="E10727" s="96"/>
    </row>
    <row r="10728" hidden="1">
      <c r="E10728" s="96"/>
    </row>
    <row r="10729" hidden="1">
      <c r="E10729" s="96"/>
    </row>
    <row r="10730" hidden="1">
      <c r="E10730" s="96"/>
    </row>
    <row r="10731" hidden="1">
      <c r="E10731" s="96"/>
    </row>
    <row r="10732" hidden="1">
      <c r="E10732" s="96"/>
    </row>
    <row r="10733" hidden="1">
      <c r="E10733" s="96"/>
    </row>
    <row r="10734" hidden="1">
      <c r="E10734" s="96"/>
    </row>
    <row r="10735" hidden="1">
      <c r="E10735" s="96"/>
    </row>
    <row r="10736" hidden="1">
      <c r="E10736" s="96"/>
    </row>
    <row r="10737" hidden="1">
      <c r="E10737" s="96"/>
    </row>
    <row r="10738" hidden="1">
      <c r="E10738" s="96"/>
    </row>
    <row r="10739" hidden="1">
      <c r="E10739" s="96"/>
    </row>
    <row r="10740" hidden="1">
      <c r="E10740" s="96"/>
    </row>
    <row r="10741" hidden="1">
      <c r="E10741" s="96"/>
    </row>
    <row r="10742" hidden="1">
      <c r="E10742" s="96"/>
    </row>
    <row r="10743" hidden="1">
      <c r="E10743" s="96"/>
    </row>
    <row r="10744" hidden="1">
      <c r="E10744" s="96"/>
    </row>
    <row r="10745" hidden="1">
      <c r="E10745" s="96"/>
    </row>
    <row r="10746" hidden="1">
      <c r="E10746" s="96"/>
    </row>
    <row r="10747" hidden="1">
      <c r="E10747" s="96"/>
    </row>
    <row r="10748" hidden="1">
      <c r="E10748" s="96"/>
    </row>
    <row r="10749" hidden="1">
      <c r="E10749" s="96"/>
    </row>
    <row r="10750" hidden="1">
      <c r="E10750" s="96"/>
    </row>
    <row r="10751" hidden="1">
      <c r="E10751" s="96"/>
    </row>
    <row r="10752" hidden="1">
      <c r="E10752" s="96"/>
    </row>
    <row r="10753" hidden="1">
      <c r="E10753" s="96"/>
    </row>
    <row r="10754" hidden="1">
      <c r="E10754" s="96"/>
    </row>
    <row r="10755" hidden="1">
      <c r="E10755" s="96"/>
    </row>
    <row r="10756" hidden="1">
      <c r="E10756" s="96"/>
    </row>
    <row r="10757" hidden="1">
      <c r="E10757" s="96"/>
    </row>
    <row r="10758" hidden="1">
      <c r="E10758" s="96"/>
    </row>
    <row r="10759" hidden="1">
      <c r="E10759" s="96"/>
    </row>
    <row r="10760" hidden="1">
      <c r="E10760" s="96"/>
    </row>
    <row r="10761" hidden="1">
      <c r="E10761" s="96"/>
    </row>
    <row r="10762" hidden="1">
      <c r="E10762" s="96"/>
    </row>
    <row r="10763" hidden="1">
      <c r="E10763" s="96"/>
    </row>
    <row r="10764" hidden="1">
      <c r="E10764" s="96"/>
    </row>
    <row r="10765" hidden="1">
      <c r="E10765" s="96"/>
    </row>
    <row r="10766" hidden="1">
      <c r="E10766" s="96"/>
    </row>
    <row r="10767" hidden="1">
      <c r="E10767" s="96"/>
    </row>
    <row r="10768" hidden="1">
      <c r="E10768" s="96"/>
    </row>
    <row r="10769" hidden="1">
      <c r="E10769" s="96"/>
    </row>
    <row r="10770" hidden="1">
      <c r="E10770" s="96"/>
    </row>
    <row r="10771" hidden="1">
      <c r="E10771" s="96"/>
    </row>
    <row r="10772" hidden="1">
      <c r="E10772" s="96"/>
    </row>
    <row r="10773" hidden="1">
      <c r="E10773" s="96"/>
    </row>
    <row r="10774" hidden="1">
      <c r="E10774" s="96"/>
    </row>
    <row r="10775" hidden="1">
      <c r="E10775" s="96"/>
    </row>
    <row r="10776" hidden="1">
      <c r="E10776" s="96"/>
    </row>
    <row r="10777" hidden="1">
      <c r="E10777" s="96"/>
    </row>
    <row r="10778" hidden="1">
      <c r="E10778" s="96"/>
    </row>
    <row r="10779" hidden="1">
      <c r="E10779" s="96"/>
    </row>
    <row r="10780" hidden="1">
      <c r="E10780" s="96"/>
    </row>
    <row r="10781" hidden="1">
      <c r="E10781" s="96"/>
    </row>
    <row r="10782" hidden="1">
      <c r="E10782" s="96"/>
    </row>
    <row r="10783" hidden="1">
      <c r="E10783" s="96"/>
    </row>
    <row r="10784" hidden="1">
      <c r="E10784" s="96"/>
    </row>
    <row r="10785" hidden="1">
      <c r="E10785" s="96"/>
    </row>
    <row r="10786" hidden="1">
      <c r="E10786" s="96"/>
    </row>
    <row r="10787" hidden="1">
      <c r="E10787" s="96"/>
    </row>
    <row r="10788" hidden="1">
      <c r="E10788" s="96"/>
    </row>
    <row r="10789" hidden="1">
      <c r="E10789" s="96"/>
    </row>
    <row r="10790" hidden="1">
      <c r="E10790" s="96"/>
    </row>
    <row r="10791" hidden="1">
      <c r="E10791" s="96"/>
    </row>
    <row r="10792" hidden="1">
      <c r="E10792" s="96"/>
    </row>
    <row r="10793" hidden="1">
      <c r="E10793" s="96"/>
    </row>
    <row r="10794" hidden="1">
      <c r="E10794" s="96"/>
    </row>
    <row r="10795" hidden="1">
      <c r="E10795" s="96"/>
    </row>
    <row r="10796" hidden="1">
      <c r="E10796" s="96"/>
    </row>
    <row r="10797" hidden="1">
      <c r="E10797" s="96"/>
    </row>
    <row r="10798" hidden="1">
      <c r="E10798" s="96"/>
    </row>
    <row r="10799" hidden="1">
      <c r="E10799" s="96"/>
    </row>
    <row r="10800" hidden="1">
      <c r="E10800" s="96"/>
    </row>
    <row r="10801" hidden="1">
      <c r="E10801" s="96"/>
    </row>
    <row r="10802" hidden="1">
      <c r="E10802" s="96"/>
    </row>
    <row r="10803" hidden="1">
      <c r="E10803" s="96"/>
    </row>
    <row r="10804" hidden="1">
      <c r="E10804" s="96"/>
    </row>
    <row r="10805" hidden="1">
      <c r="E10805" s="96"/>
    </row>
    <row r="10806" hidden="1">
      <c r="E10806" s="96"/>
    </row>
    <row r="10807" hidden="1">
      <c r="E10807" s="96"/>
    </row>
    <row r="10808" hidden="1">
      <c r="E10808" s="96"/>
    </row>
    <row r="10809" hidden="1">
      <c r="E10809" s="96"/>
    </row>
    <row r="10810" hidden="1">
      <c r="E10810" s="96"/>
    </row>
    <row r="10811" hidden="1">
      <c r="E10811" s="96"/>
    </row>
    <row r="10812" hidden="1">
      <c r="E10812" s="96"/>
    </row>
    <row r="10813" hidden="1">
      <c r="E10813" s="96"/>
    </row>
    <row r="10814" hidden="1">
      <c r="E10814" s="96"/>
    </row>
    <row r="10815" hidden="1">
      <c r="E10815" s="96"/>
    </row>
    <row r="10816" hidden="1">
      <c r="E10816" s="96"/>
    </row>
    <row r="10817" hidden="1">
      <c r="E10817" s="96"/>
    </row>
    <row r="10818" hidden="1">
      <c r="E10818" s="96"/>
    </row>
    <row r="10819" hidden="1">
      <c r="E10819" s="96"/>
    </row>
    <row r="10820" hidden="1">
      <c r="E10820" s="96"/>
    </row>
    <row r="10821" hidden="1">
      <c r="E10821" s="96"/>
    </row>
    <row r="10822" hidden="1">
      <c r="E10822" s="96"/>
    </row>
    <row r="10823" hidden="1">
      <c r="E10823" s="96"/>
    </row>
    <row r="10824" hidden="1">
      <c r="E10824" s="96"/>
    </row>
    <row r="10825" hidden="1">
      <c r="E10825" s="96"/>
    </row>
    <row r="10826" hidden="1">
      <c r="E10826" s="96"/>
    </row>
    <row r="10827" hidden="1">
      <c r="E10827" s="96"/>
    </row>
    <row r="10828" hidden="1">
      <c r="E10828" s="96"/>
    </row>
    <row r="10829" hidden="1">
      <c r="E10829" s="96"/>
    </row>
    <row r="10830" hidden="1">
      <c r="E10830" s="96"/>
    </row>
    <row r="10831" hidden="1">
      <c r="E10831" s="96"/>
    </row>
    <row r="10832" hidden="1">
      <c r="E10832" s="96"/>
    </row>
    <row r="10833" hidden="1">
      <c r="E10833" s="96"/>
    </row>
    <row r="10834" hidden="1">
      <c r="E10834" s="96"/>
    </row>
    <row r="10835" hidden="1">
      <c r="E10835" s="96"/>
    </row>
    <row r="10836" hidden="1">
      <c r="E10836" s="96"/>
    </row>
    <row r="10837" hidden="1">
      <c r="E10837" s="96"/>
    </row>
    <row r="10838" hidden="1">
      <c r="E10838" s="96"/>
    </row>
    <row r="10839" hidden="1">
      <c r="E10839" s="96"/>
    </row>
    <row r="10840" hidden="1">
      <c r="E10840" s="96"/>
    </row>
    <row r="10841" hidden="1">
      <c r="E10841" s="96"/>
    </row>
    <row r="10842" hidden="1">
      <c r="E10842" s="96"/>
    </row>
    <row r="10843" hidden="1">
      <c r="E10843" s="96"/>
    </row>
    <row r="10844" hidden="1">
      <c r="E10844" s="96"/>
    </row>
    <row r="10845" hidden="1">
      <c r="E10845" s="96"/>
    </row>
    <row r="10846" hidden="1">
      <c r="E10846" s="96"/>
    </row>
    <row r="10847" hidden="1">
      <c r="E10847" s="96"/>
    </row>
    <row r="10848" hidden="1">
      <c r="E10848" s="96"/>
    </row>
    <row r="10849" hidden="1">
      <c r="E10849" s="96"/>
    </row>
    <row r="10850" hidden="1">
      <c r="E10850" s="96"/>
    </row>
    <row r="10851" hidden="1">
      <c r="E10851" s="96"/>
    </row>
    <row r="10852" hidden="1">
      <c r="E10852" s="96"/>
    </row>
    <row r="10853" hidden="1">
      <c r="E10853" s="96"/>
    </row>
    <row r="10854" hidden="1">
      <c r="E10854" s="96"/>
    </row>
    <row r="10855" hidden="1">
      <c r="E10855" s="96"/>
    </row>
    <row r="10856" hidden="1">
      <c r="E10856" s="96"/>
    </row>
    <row r="10857" hidden="1">
      <c r="E10857" s="96"/>
    </row>
    <row r="10858" hidden="1">
      <c r="E10858" s="96"/>
    </row>
    <row r="10859" hidden="1">
      <c r="E10859" s="96"/>
    </row>
    <row r="10860" hidden="1">
      <c r="E10860" s="96"/>
    </row>
    <row r="10861" hidden="1">
      <c r="E10861" s="96"/>
    </row>
    <row r="10862" hidden="1">
      <c r="E10862" s="96"/>
    </row>
    <row r="10863" hidden="1">
      <c r="E10863" s="96"/>
    </row>
    <row r="10864" hidden="1">
      <c r="E10864" s="96"/>
    </row>
    <row r="10865" hidden="1">
      <c r="E10865" s="96"/>
    </row>
    <row r="10866" hidden="1">
      <c r="E10866" s="96"/>
    </row>
    <row r="10867" hidden="1">
      <c r="E10867" s="96"/>
    </row>
    <row r="10868" hidden="1">
      <c r="E10868" s="96"/>
    </row>
    <row r="10869" hidden="1">
      <c r="E10869" s="96"/>
    </row>
    <row r="10870" hidden="1">
      <c r="E10870" s="96"/>
    </row>
    <row r="10871" hidden="1">
      <c r="E10871" s="96"/>
    </row>
    <row r="10872" hidden="1">
      <c r="E10872" s="96"/>
    </row>
    <row r="10873" hidden="1">
      <c r="E10873" s="96"/>
    </row>
    <row r="10874" hidden="1">
      <c r="E10874" s="96"/>
    </row>
    <row r="10875" hidden="1">
      <c r="E10875" s="96"/>
    </row>
    <row r="10876" hidden="1">
      <c r="E10876" s="96"/>
    </row>
    <row r="10877" hidden="1">
      <c r="E10877" s="96"/>
    </row>
    <row r="10878" hidden="1">
      <c r="E10878" s="96"/>
    </row>
    <row r="10879" hidden="1">
      <c r="E10879" s="96"/>
    </row>
    <row r="10880" hidden="1">
      <c r="E10880" s="96"/>
    </row>
    <row r="10881" hidden="1">
      <c r="E10881" s="96"/>
    </row>
    <row r="10882" hidden="1">
      <c r="E10882" s="96"/>
    </row>
    <row r="10883" hidden="1">
      <c r="E10883" s="96"/>
    </row>
    <row r="10884" hidden="1">
      <c r="E10884" s="96"/>
    </row>
    <row r="10885" hidden="1">
      <c r="E10885" s="96"/>
    </row>
    <row r="10886" hidden="1">
      <c r="E10886" s="96"/>
    </row>
    <row r="10887" hidden="1">
      <c r="E10887" s="96"/>
    </row>
    <row r="10888" hidden="1">
      <c r="E10888" s="96"/>
    </row>
    <row r="10889" hidden="1">
      <c r="E10889" s="96"/>
    </row>
    <row r="10890" hidden="1">
      <c r="E10890" s="96"/>
    </row>
    <row r="10891" hidden="1">
      <c r="E10891" s="96"/>
    </row>
    <row r="10892" hidden="1">
      <c r="E10892" s="96"/>
    </row>
    <row r="10893" hidden="1">
      <c r="E10893" s="96"/>
    </row>
    <row r="10894" hidden="1">
      <c r="E10894" s="96"/>
    </row>
    <row r="10895" hidden="1">
      <c r="E10895" s="96"/>
    </row>
    <row r="10896" hidden="1">
      <c r="E10896" s="96"/>
    </row>
    <row r="10897" hidden="1">
      <c r="E10897" s="96"/>
    </row>
    <row r="10898" hidden="1">
      <c r="E10898" s="96"/>
    </row>
    <row r="10899" hidden="1">
      <c r="E10899" s="96"/>
    </row>
    <row r="10900" hidden="1">
      <c r="E10900" s="96"/>
    </row>
    <row r="10901" hidden="1">
      <c r="E10901" s="96"/>
    </row>
    <row r="10902" hidden="1">
      <c r="E10902" s="96"/>
    </row>
    <row r="10903" hidden="1">
      <c r="E10903" s="96"/>
    </row>
    <row r="10904" hidden="1">
      <c r="E10904" s="96"/>
    </row>
    <row r="10905" hidden="1">
      <c r="E10905" s="96"/>
    </row>
    <row r="10906" hidden="1">
      <c r="E10906" s="96"/>
    </row>
    <row r="10907" hidden="1">
      <c r="E10907" s="96"/>
    </row>
    <row r="10908" hidden="1">
      <c r="E10908" s="96"/>
    </row>
    <row r="10909" hidden="1">
      <c r="E10909" s="96"/>
    </row>
    <row r="10910" hidden="1">
      <c r="E10910" s="96"/>
    </row>
    <row r="10911" hidden="1">
      <c r="E10911" s="96"/>
    </row>
    <row r="10912" hidden="1">
      <c r="E10912" s="96"/>
    </row>
    <row r="10913" hidden="1">
      <c r="E10913" s="96"/>
    </row>
    <row r="10914" hidden="1">
      <c r="E10914" s="96"/>
    </row>
    <row r="10915" hidden="1">
      <c r="E10915" s="96"/>
    </row>
    <row r="10916" hidden="1">
      <c r="E10916" s="96"/>
    </row>
    <row r="10917" hidden="1">
      <c r="E10917" s="96"/>
    </row>
    <row r="10918" hidden="1">
      <c r="E10918" s="96"/>
    </row>
    <row r="10919" hidden="1">
      <c r="E10919" s="96"/>
    </row>
    <row r="10920" hidden="1">
      <c r="E10920" s="96"/>
    </row>
    <row r="10921" hidden="1">
      <c r="E10921" s="96"/>
    </row>
    <row r="10922" hidden="1">
      <c r="E10922" s="96"/>
    </row>
    <row r="10923" hidden="1">
      <c r="E10923" s="96"/>
    </row>
    <row r="10924" hidden="1">
      <c r="E10924" s="96"/>
    </row>
    <row r="10925" hidden="1">
      <c r="E10925" s="96"/>
    </row>
    <row r="10926" hidden="1">
      <c r="E10926" s="96"/>
    </row>
    <row r="10927" hidden="1">
      <c r="E10927" s="96"/>
    </row>
    <row r="10928" hidden="1">
      <c r="E10928" s="96"/>
    </row>
    <row r="10929" hidden="1">
      <c r="E10929" s="96"/>
    </row>
    <row r="10930" hidden="1">
      <c r="E10930" s="96"/>
    </row>
    <row r="10931" hidden="1">
      <c r="E10931" s="96"/>
    </row>
    <row r="10932" hidden="1">
      <c r="E10932" s="96"/>
    </row>
    <row r="10933" hidden="1">
      <c r="E10933" s="96"/>
    </row>
    <row r="10934" hidden="1">
      <c r="E10934" s="96"/>
    </row>
    <row r="10935" hidden="1">
      <c r="E10935" s="96"/>
    </row>
    <row r="10936" hidden="1">
      <c r="E10936" s="96"/>
    </row>
    <row r="10937" hidden="1">
      <c r="E10937" s="96"/>
    </row>
    <row r="10938" hidden="1">
      <c r="E10938" s="96"/>
    </row>
    <row r="10939" hidden="1">
      <c r="E10939" s="96"/>
    </row>
    <row r="10940" hidden="1">
      <c r="E10940" s="96"/>
    </row>
    <row r="10941" hidden="1">
      <c r="E10941" s="96"/>
    </row>
    <row r="10942" hidden="1">
      <c r="E10942" s="96"/>
    </row>
    <row r="10943" hidden="1">
      <c r="E10943" s="96"/>
    </row>
    <row r="10944" hidden="1">
      <c r="E10944" s="96"/>
    </row>
    <row r="10945" hidden="1">
      <c r="E10945" s="96"/>
    </row>
    <row r="10946" hidden="1">
      <c r="E10946" s="96"/>
    </row>
    <row r="10947" hidden="1">
      <c r="E10947" s="96"/>
    </row>
    <row r="10948" hidden="1">
      <c r="E10948" s="96"/>
    </row>
    <row r="10949" hidden="1">
      <c r="E10949" s="96"/>
    </row>
    <row r="10950" hidden="1">
      <c r="E10950" s="96"/>
    </row>
    <row r="10951" hidden="1">
      <c r="E10951" s="96"/>
    </row>
    <row r="10952" hidden="1">
      <c r="E10952" s="96"/>
    </row>
    <row r="10953" hidden="1">
      <c r="E10953" s="96"/>
    </row>
    <row r="10954" hidden="1">
      <c r="E10954" s="96"/>
    </row>
    <row r="10955" hidden="1">
      <c r="E10955" s="96"/>
    </row>
    <row r="10956" hidden="1">
      <c r="E10956" s="96"/>
    </row>
    <row r="10957" hidden="1">
      <c r="E10957" s="96"/>
    </row>
    <row r="10958" hidden="1">
      <c r="E10958" s="96"/>
    </row>
    <row r="10959" hidden="1">
      <c r="E10959" s="96"/>
    </row>
    <row r="10960" hidden="1">
      <c r="E10960" s="96"/>
    </row>
    <row r="10961" hidden="1">
      <c r="E10961" s="96"/>
    </row>
    <row r="10962" hidden="1">
      <c r="E10962" s="96"/>
    </row>
    <row r="10963" hidden="1">
      <c r="E10963" s="96"/>
    </row>
    <row r="10964" hidden="1">
      <c r="E10964" s="96"/>
    </row>
    <row r="10965" hidden="1">
      <c r="E10965" s="96"/>
    </row>
    <row r="10966" hidden="1">
      <c r="E10966" s="96"/>
    </row>
    <row r="10967" hidden="1">
      <c r="E10967" s="96"/>
    </row>
    <row r="10968" hidden="1">
      <c r="E10968" s="96"/>
    </row>
    <row r="10969" hidden="1">
      <c r="E10969" s="96"/>
    </row>
    <row r="10970" hidden="1">
      <c r="E10970" s="96"/>
    </row>
    <row r="10971" hidden="1">
      <c r="E10971" s="96"/>
    </row>
    <row r="10972" hidden="1">
      <c r="E10972" s="96"/>
    </row>
    <row r="10973" hidden="1">
      <c r="E10973" s="96"/>
    </row>
    <row r="10974" hidden="1">
      <c r="E10974" s="96"/>
    </row>
    <row r="10975" hidden="1">
      <c r="E10975" s="96"/>
    </row>
    <row r="10976" hidden="1">
      <c r="E10976" s="96"/>
    </row>
    <row r="10977" hidden="1">
      <c r="E10977" s="96"/>
    </row>
    <row r="10978" hidden="1">
      <c r="E10978" s="96"/>
    </row>
    <row r="10979" hidden="1">
      <c r="E10979" s="96"/>
    </row>
    <row r="10980" hidden="1">
      <c r="E10980" s="96"/>
    </row>
    <row r="10981" hidden="1">
      <c r="E10981" s="96"/>
    </row>
    <row r="10982" hidden="1">
      <c r="E10982" s="96"/>
    </row>
    <row r="10983" hidden="1">
      <c r="E10983" s="96"/>
    </row>
    <row r="10984" hidden="1">
      <c r="E10984" s="96"/>
    </row>
    <row r="10985" hidden="1">
      <c r="E10985" s="96"/>
    </row>
    <row r="10986" hidden="1">
      <c r="E10986" s="96"/>
    </row>
    <row r="10987" hidden="1">
      <c r="E10987" s="96"/>
    </row>
    <row r="10988" hidden="1">
      <c r="E10988" s="96"/>
    </row>
    <row r="10989" hidden="1">
      <c r="E10989" s="96"/>
    </row>
    <row r="10990" hidden="1">
      <c r="E10990" s="96"/>
    </row>
    <row r="10991" hidden="1">
      <c r="E10991" s="96"/>
    </row>
    <row r="10992" hidden="1">
      <c r="E10992" s="96"/>
    </row>
    <row r="10993" hidden="1">
      <c r="E10993" s="96"/>
    </row>
    <row r="10994" hidden="1">
      <c r="E10994" s="96"/>
    </row>
    <row r="10995" hidden="1">
      <c r="E10995" s="96"/>
    </row>
    <row r="10996" hidden="1">
      <c r="E10996" s="96"/>
    </row>
    <row r="10997" hidden="1">
      <c r="E10997" s="96"/>
    </row>
    <row r="10998" hidden="1">
      <c r="E10998" s="96"/>
    </row>
    <row r="10999" hidden="1">
      <c r="E10999" s="96"/>
    </row>
    <row r="11000" hidden="1">
      <c r="E11000" s="96"/>
    </row>
    <row r="11001" hidden="1">
      <c r="E11001" s="96"/>
    </row>
    <row r="11002" hidden="1">
      <c r="E11002" s="96"/>
    </row>
    <row r="11003" hidden="1">
      <c r="E11003" s="96"/>
    </row>
    <row r="11004" hidden="1">
      <c r="E11004" s="96"/>
    </row>
    <row r="11005" hidden="1">
      <c r="E11005" s="96"/>
    </row>
    <row r="11006" hidden="1">
      <c r="E11006" s="96"/>
    </row>
    <row r="11007" hidden="1">
      <c r="E11007" s="96"/>
    </row>
    <row r="11008" hidden="1">
      <c r="E11008" s="96"/>
    </row>
    <row r="11009" hidden="1">
      <c r="E11009" s="96"/>
    </row>
    <row r="11010" hidden="1">
      <c r="E11010" s="96"/>
    </row>
    <row r="11011" hidden="1">
      <c r="E11011" s="96"/>
    </row>
    <row r="11012" hidden="1">
      <c r="E11012" s="96"/>
    </row>
    <row r="11013" hidden="1">
      <c r="E11013" s="96"/>
    </row>
    <row r="11014" hidden="1">
      <c r="E11014" s="96"/>
    </row>
    <row r="11015" hidden="1">
      <c r="E11015" s="96"/>
    </row>
    <row r="11016" hidden="1">
      <c r="E11016" s="96"/>
    </row>
    <row r="11017" hidden="1">
      <c r="E11017" s="96"/>
    </row>
    <row r="11018" hidden="1">
      <c r="E11018" s="96"/>
    </row>
    <row r="11019" hidden="1">
      <c r="E11019" s="96"/>
    </row>
    <row r="11020" hidden="1">
      <c r="E11020" s="96"/>
    </row>
    <row r="11021" hidden="1">
      <c r="E11021" s="96"/>
    </row>
    <row r="11022" hidden="1">
      <c r="E11022" s="96"/>
    </row>
    <row r="11023" hidden="1">
      <c r="E11023" s="96"/>
    </row>
    <row r="11024" hidden="1">
      <c r="E11024" s="96"/>
    </row>
    <row r="11025" hidden="1">
      <c r="E11025" s="96"/>
    </row>
    <row r="11026" hidden="1">
      <c r="E11026" s="96"/>
    </row>
    <row r="11027" hidden="1">
      <c r="E11027" s="96"/>
    </row>
    <row r="11028" hidden="1">
      <c r="E11028" s="96"/>
    </row>
    <row r="11029" hidden="1">
      <c r="E11029" s="96"/>
    </row>
    <row r="11030" hidden="1">
      <c r="E11030" s="96"/>
    </row>
    <row r="11031" hidden="1">
      <c r="E11031" s="96"/>
    </row>
    <row r="11032" hidden="1">
      <c r="E11032" s="96"/>
    </row>
    <row r="11033" hidden="1">
      <c r="E11033" s="96"/>
    </row>
    <row r="11034" hidden="1">
      <c r="E11034" s="96"/>
    </row>
    <row r="11035" hidden="1">
      <c r="E11035" s="96"/>
    </row>
    <row r="11036" hidden="1">
      <c r="E11036" s="96"/>
    </row>
    <row r="11037" hidden="1">
      <c r="E11037" s="96"/>
    </row>
    <row r="11038" hidden="1">
      <c r="E11038" s="96"/>
    </row>
    <row r="11039" hidden="1">
      <c r="E11039" s="96"/>
    </row>
    <row r="11040" hidden="1">
      <c r="E11040" s="96"/>
    </row>
    <row r="11041" hidden="1">
      <c r="E11041" s="96"/>
    </row>
    <row r="11042" hidden="1">
      <c r="E11042" s="96"/>
    </row>
    <row r="11043" hidden="1">
      <c r="E11043" s="96"/>
    </row>
    <row r="11044" hidden="1">
      <c r="E11044" s="96"/>
    </row>
    <row r="11045" hidden="1">
      <c r="E11045" s="96"/>
    </row>
    <row r="11046" hidden="1">
      <c r="E11046" s="96"/>
    </row>
    <row r="11047" hidden="1">
      <c r="E11047" s="96"/>
    </row>
    <row r="11048" hidden="1">
      <c r="E11048" s="96"/>
    </row>
    <row r="11049" hidden="1">
      <c r="E11049" s="96"/>
    </row>
    <row r="11050" hidden="1">
      <c r="E11050" s="96"/>
    </row>
    <row r="11051" hidden="1">
      <c r="E11051" s="96"/>
    </row>
    <row r="11052" hidden="1">
      <c r="E11052" s="96"/>
    </row>
    <row r="11053" hidden="1">
      <c r="E11053" s="96"/>
    </row>
    <row r="11054" hidden="1">
      <c r="E11054" s="96"/>
    </row>
    <row r="11055" hidden="1">
      <c r="E11055" s="96"/>
    </row>
    <row r="11056" hidden="1">
      <c r="E11056" s="96"/>
    </row>
    <row r="11057" hidden="1">
      <c r="E11057" s="96"/>
    </row>
    <row r="11058" hidden="1">
      <c r="E11058" s="96"/>
    </row>
    <row r="11059" hidden="1">
      <c r="E11059" s="96"/>
    </row>
    <row r="11060" hidden="1">
      <c r="E11060" s="96"/>
    </row>
    <row r="11061" hidden="1">
      <c r="E11061" s="96"/>
    </row>
    <row r="11062" hidden="1">
      <c r="E11062" s="96"/>
    </row>
    <row r="11063" hidden="1">
      <c r="E11063" s="96"/>
    </row>
    <row r="11064" hidden="1">
      <c r="E11064" s="96"/>
    </row>
    <row r="11065" hidden="1">
      <c r="E11065" s="96"/>
    </row>
    <row r="11066" hidden="1">
      <c r="E11066" s="96"/>
    </row>
    <row r="11067" hidden="1">
      <c r="E11067" s="96"/>
    </row>
    <row r="11068" hidden="1">
      <c r="E11068" s="96"/>
    </row>
    <row r="11069" hidden="1">
      <c r="E11069" s="96"/>
    </row>
    <row r="11070" hidden="1">
      <c r="E11070" s="96"/>
    </row>
    <row r="11071" hidden="1">
      <c r="E11071" s="96"/>
    </row>
    <row r="11072" hidden="1">
      <c r="E11072" s="96"/>
    </row>
    <row r="11073" hidden="1">
      <c r="E11073" s="96"/>
    </row>
    <row r="11074" hidden="1">
      <c r="E11074" s="96"/>
    </row>
    <row r="11075" hidden="1">
      <c r="E11075" s="96"/>
    </row>
    <row r="11076" hidden="1">
      <c r="E11076" s="96"/>
    </row>
    <row r="11077" hidden="1">
      <c r="E11077" s="96"/>
    </row>
    <row r="11078" hidden="1">
      <c r="E11078" s="96"/>
    </row>
    <row r="11079" hidden="1">
      <c r="E11079" s="96"/>
    </row>
    <row r="11080" hidden="1">
      <c r="E11080" s="96"/>
    </row>
    <row r="11081" hidden="1">
      <c r="E11081" s="96"/>
    </row>
    <row r="11082" hidden="1">
      <c r="E11082" s="96"/>
    </row>
    <row r="11083" hidden="1">
      <c r="E11083" s="96"/>
    </row>
    <row r="11084" hidden="1">
      <c r="E11084" s="96"/>
    </row>
    <row r="11085" hidden="1">
      <c r="E11085" s="96"/>
    </row>
    <row r="11086" hidden="1">
      <c r="E11086" s="96"/>
    </row>
    <row r="11087" hidden="1">
      <c r="E11087" s="96"/>
    </row>
    <row r="11088" hidden="1">
      <c r="E11088" s="96"/>
    </row>
    <row r="11089" hidden="1">
      <c r="E11089" s="96"/>
    </row>
    <row r="11090" hidden="1">
      <c r="E11090" s="96"/>
    </row>
    <row r="11091" hidden="1">
      <c r="E11091" s="96"/>
    </row>
    <row r="11092" hidden="1">
      <c r="E11092" s="96"/>
    </row>
    <row r="11093" hidden="1">
      <c r="E11093" s="96"/>
    </row>
    <row r="11094" hidden="1">
      <c r="E11094" s="96"/>
    </row>
    <row r="11095" hidden="1">
      <c r="E11095" s="96"/>
    </row>
    <row r="11096" hidden="1">
      <c r="E11096" s="96"/>
    </row>
    <row r="11097" hidden="1">
      <c r="E11097" s="96"/>
    </row>
    <row r="11098" hidden="1">
      <c r="E11098" s="96"/>
    </row>
    <row r="11099" hidden="1">
      <c r="E11099" s="96"/>
    </row>
    <row r="11100" hidden="1">
      <c r="E11100" s="96"/>
    </row>
    <row r="11101" hidden="1">
      <c r="E11101" s="96"/>
    </row>
    <row r="11102" hidden="1">
      <c r="E11102" s="96"/>
    </row>
    <row r="11103" hidden="1">
      <c r="E11103" s="96"/>
    </row>
    <row r="11104" hidden="1">
      <c r="E11104" s="96"/>
    </row>
    <row r="11105" hidden="1">
      <c r="E11105" s="96"/>
    </row>
    <row r="11106" hidden="1">
      <c r="E11106" s="96"/>
    </row>
    <row r="11107" hidden="1">
      <c r="E11107" s="96"/>
    </row>
    <row r="11108" hidden="1">
      <c r="E11108" s="96"/>
    </row>
    <row r="11109" hidden="1">
      <c r="E11109" s="96"/>
    </row>
    <row r="11110" hidden="1">
      <c r="E11110" s="96"/>
    </row>
    <row r="11111" hidden="1">
      <c r="E11111" s="96"/>
    </row>
    <row r="11112" hidden="1">
      <c r="E11112" s="96"/>
    </row>
    <row r="11113" hidden="1">
      <c r="E11113" s="96"/>
    </row>
    <row r="11114" hidden="1">
      <c r="E11114" s="96"/>
    </row>
    <row r="11115" hidden="1">
      <c r="E11115" s="96"/>
    </row>
    <row r="11116" hidden="1">
      <c r="E11116" s="96"/>
    </row>
    <row r="11117" hidden="1">
      <c r="E11117" s="96"/>
    </row>
    <row r="11118" hidden="1">
      <c r="E11118" s="96"/>
    </row>
    <row r="11119" hidden="1">
      <c r="E11119" s="96"/>
    </row>
    <row r="11120" hidden="1">
      <c r="E11120" s="96"/>
    </row>
    <row r="11121" hidden="1">
      <c r="E11121" s="96"/>
    </row>
    <row r="11122" hidden="1">
      <c r="E11122" s="96"/>
    </row>
    <row r="11123" hidden="1">
      <c r="E11123" s="96"/>
    </row>
    <row r="11124" hidden="1">
      <c r="E11124" s="96"/>
    </row>
    <row r="11125" hidden="1">
      <c r="E11125" s="96"/>
    </row>
    <row r="11126" hidden="1">
      <c r="E11126" s="96"/>
    </row>
    <row r="11127" hidden="1">
      <c r="E11127" s="96"/>
    </row>
    <row r="11128" hidden="1">
      <c r="E11128" s="96"/>
    </row>
    <row r="11129" hidden="1">
      <c r="E11129" s="96"/>
    </row>
    <row r="11130" hidden="1">
      <c r="E11130" s="96"/>
    </row>
    <row r="11131" hidden="1">
      <c r="E11131" s="96"/>
    </row>
    <row r="11132" hidden="1">
      <c r="E11132" s="96"/>
    </row>
    <row r="11133" hidden="1">
      <c r="E11133" s="96"/>
    </row>
    <row r="11134" hidden="1">
      <c r="E11134" s="96"/>
    </row>
    <row r="11135" hidden="1">
      <c r="E11135" s="96"/>
    </row>
    <row r="11136" hidden="1">
      <c r="E11136" s="96"/>
    </row>
    <row r="11137" hidden="1">
      <c r="E11137" s="96"/>
    </row>
    <row r="11138" hidden="1">
      <c r="E11138" s="96"/>
    </row>
    <row r="11139" hidden="1">
      <c r="E11139" s="96"/>
    </row>
    <row r="11140" hidden="1">
      <c r="E11140" s="96"/>
    </row>
    <row r="11141" hidden="1">
      <c r="E11141" s="96"/>
    </row>
    <row r="11142" hidden="1">
      <c r="E11142" s="96"/>
    </row>
    <row r="11143" hidden="1">
      <c r="E11143" s="96"/>
    </row>
    <row r="11144" hidden="1">
      <c r="E11144" s="96"/>
    </row>
    <row r="11145" hidden="1">
      <c r="E11145" s="96"/>
    </row>
    <row r="11146" hidden="1">
      <c r="E11146" s="96"/>
    </row>
    <row r="11147" hidden="1">
      <c r="E11147" s="96"/>
    </row>
    <row r="11148" hidden="1">
      <c r="E11148" s="96"/>
    </row>
    <row r="11149" hidden="1">
      <c r="E11149" s="96"/>
    </row>
    <row r="11150" hidden="1">
      <c r="E11150" s="96"/>
    </row>
    <row r="11151" hidden="1">
      <c r="E11151" s="96"/>
    </row>
    <row r="11152" hidden="1">
      <c r="E11152" s="96"/>
    </row>
    <row r="11153" hidden="1">
      <c r="E11153" s="96"/>
    </row>
    <row r="11154" hidden="1">
      <c r="E11154" s="96"/>
    </row>
    <row r="11155" hidden="1">
      <c r="E11155" s="96"/>
    </row>
    <row r="11156" hidden="1">
      <c r="E11156" s="96"/>
    </row>
    <row r="11157" hidden="1">
      <c r="E11157" s="96"/>
    </row>
    <row r="11158" hidden="1">
      <c r="E11158" s="96"/>
    </row>
    <row r="11159" hidden="1">
      <c r="E11159" s="96"/>
    </row>
    <row r="11160" hidden="1">
      <c r="E11160" s="96"/>
    </row>
    <row r="11161" hidden="1">
      <c r="E11161" s="96"/>
    </row>
    <row r="11162" hidden="1">
      <c r="E11162" s="96"/>
    </row>
    <row r="11163" hidden="1">
      <c r="E11163" s="96"/>
    </row>
    <row r="11164" hidden="1">
      <c r="E11164" s="96"/>
    </row>
    <row r="11165" hidden="1">
      <c r="E11165" s="96"/>
    </row>
    <row r="11166" hidden="1">
      <c r="E11166" s="96"/>
    </row>
    <row r="11167" hidden="1">
      <c r="E11167" s="96"/>
    </row>
    <row r="11168" hidden="1">
      <c r="E11168" s="96"/>
    </row>
    <row r="11169" hidden="1">
      <c r="E11169" s="96"/>
    </row>
    <row r="11170" hidden="1">
      <c r="E11170" s="96"/>
    </row>
    <row r="11171" hidden="1">
      <c r="E11171" s="96"/>
    </row>
    <row r="11172" hidden="1">
      <c r="E11172" s="96"/>
    </row>
    <row r="11173" hidden="1">
      <c r="E11173" s="96"/>
    </row>
    <row r="11174" hidden="1">
      <c r="E11174" s="96"/>
    </row>
    <row r="11175" hidden="1">
      <c r="E11175" s="96"/>
    </row>
    <row r="11176" hidden="1">
      <c r="E11176" s="96"/>
    </row>
    <row r="11177" hidden="1">
      <c r="E11177" s="96"/>
    </row>
    <row r="11178" hidden="1">
      <c r="E11178" s="96"/>
    </row>
    <row r="11179" hidden="1">
      <c r="E11179" s="96"/>
    </row>
    <row r="11180" hidden="1">
      <c r="E11180" s="96"/>
    </row>
    <row r="11181" hidden="1">
      <c r="E11181" s="96"/>
    </row>
    <row r="11182" hidden="1">
      <c r="E11182" s="96"/>
    </row>
    <row r="11183" hidden="1">
      <c r="E11183" s="96"/>
    </row>
    <row r="11184" hidden="1">
      <c r="E11184" s="96"/>
    </row>
    <row r="11185" hidden="1">
      <c r="E11185" s="96"/>
    </row>
    <row r="11186" hidden="1">
      <c r="E11186" s="96"/>
    </row>
    <row r="11187" hidden="1">
      <c r="E11187" s="96"/>
    </row>
    <row r="11188" hidden="1">
      <c r="E11188" s="96"/>
    </row>
    <row r="11189" hidden="1">
      <c r="E11189" s="96"/>
    </row>
    <row r="11190" hidden="1">
      <c r="E11190" s="96"/>
    </row>
    <row r="11191" hidden="1">
      <c r="E11191" s="96"/>
    </row>
    <row r="11192" hidden="1">
      <c r="E11192" s="96"/>
    </row>
    <row r="11193" hidden="1">
      <c r="E11193" s="96"/>
    </row>
    <row r="11194" hidden="1">
      <c r="E11194" s="96"/>
    </row>
    <row r="11195" hidden="1">
      <c r="E11195" s="96"/>
    </row>
    <row r="11196" hidden="1">
      <c r="E11196" s="96"/>
    </row>
    <row r="11197" hidden="1">
      <c r="E11197" s="96"/>
    </row>
    <row r="11198" hidden="1">
      <c r="E11198" s="96"/>
    </row>
    <row r="11199" hidden="1">
      <c r="E11199" s="96"/>
    </row>
    <row r="11200" hidden="1">
      <c r="E11200" s="96"/>
    </row>
    <row r="11201" hidden="1">
      <c r="E11201" s="96"/>
    </row>
    <row r="11202" hidden="1">
      <c r="E11202" s="96"/>
    </row>
    <row r="11203" hidden="1">
      <c r="E11203" s="96"/>
    </row>
    <row r="11204" hidden="1">
      <c r="E11204" s="96"/>
    </row>
    <row r="11205" hidden="1">
      <c r="E11205" s="96"/>
    </row>
    <row r="11206" hidden="1">
      <c r="E11206" s="96"/>
    </row>
    <row r="11207" hidden="1">
      <c r="E11207" s="96"/>
    </row>
    <row r="11208" hidden="1">
      <c r="E11208" s="96"/>
    </row>
    <row r="11209" hidden="1">
      <c r="E11209" s="96"/>
    </row>
    <row r="11210" hidden="1">
      <c r="E11210" s="96"/>
    </row>
    <row r="11211" hidden="1">
      <c r="E11211" s="96"/>
    </row>
    <row r="11212" hidden="1">
      <c r="E11212" s="96"/>
    </row>
    <row r="11213" hidden="1">
      <c r="E11213" s="96"/>
    </row>
    <row r="11214" hidden="1">
      <c r="E11214" s="96"/>
    </row>
    <row r="11215" hidden="1">
      <c r="E11215" s="96"/>
    </row>
    <row r="11216" hidden="1">
      <c r="E11216" s="96"/>
    </row>
    <row r="11217" hidden="1">
      <c r="E11217" s="96"/>
    </row>
    <row r="11218" hidden="1">
      <c r="E11218" s="96"/>
    </row>
    <row r="11219" hidden="1">
      <c r="E11219" s="96"/>
    </row>
    <row r="11220" hidden="1">
      <c r="E11220" s="96"/>
    </row>
    <row r="11221" hidden="1">
      <c r="E11221" s="96"/>
    </row>
    <row r="11222" hidden="1">
      <c r="E11222" s="96"/>
    </row>
    <row r="11223" hidden="1">
      <c r="E11223" s="96"/>
    </row>
    <row r="11224" hidden="1">
      <c r="E11224" s="96"/>
    </row>
    <row r="11225" hidden="1">
      <c r="E11225" s="96"/>
    </row>
    <row r="11226" hidden="1">
      <c r="E11226" s="96"/>
    </row>
    <row r="11227" hidden="1">
      <c r="E11227" s="96"/>
    </row>
    <row r="11228" hidden="1">
      <c r="E11228" s="96"/>
    </row>
    <row r="11229" hidden="1">
      <c r="E11229" s="96"/>
    </row>
    <row r="11230" hidden="1">
      <c r="E11230" s="96"/>
    </row>
    <row r="11231" hidden="1">
      <c r="E11231" s="96"/>
    </row>
    <row r="11232" hidden="1">
      <c r="E11232" s="96"/>
    </row>
    <row r="11233" hidden="1">
      <c r="E11233" s="96"/>
    </row>
    <row r="11234" hidden="1">
      <c r="E11234" s="96"/>
    </row>
    <row r="11235" hidden="1">
      <c r="E11235" s="96"/>
    </row>
    <row r="11236" hidden="1">
      <c r="E11236" s="96"/>
    </row>
    <row r="11237" hidden="1">
      <c r="E11237" s="96"/>
    </row>
    <row r="11238" hidden="1">
      <c r="E11238" s="96"/>
    </row>
    <row r="11239" hidden="1">
      <c r="E11239" s="96"/>
    </row>
    <row r="11240" hidden="1">
      <c r="E11240" s="96"/>
    </row>
    <row r="11241" hidden="1">
      <c r="E11241" s="96"/>
    </row>
    <row r="11242" hidden="1">
      <c r="E11242" s="96"/>
    </row>
    <row r="11243" hidden="1">
      <c r="E11243" s="96"/>
    </row>
    <row r="11244" hidden="1">
      <c r="E11244" s="96"/>
    </row>
    <row r="11245" hidden="1">
      <c r="E11245" s="96"/>
    </row>
    <row r="11246" hidden="1">
      <c r="E11246" s="96"/>
    </row>
    <row r="11247" hidden="1">
      <c r="E11247" s="96"/>
    </row>
    <row r="11248" hidden="1">
      <c r="E11248" s="96"/>
    </row>
    <row r="11249" hidden="1">
      <c r="E11249" s="96"/>
    </row>
    <row r="11250" hidden="1">
      <c r="E11250" s="96"/>
    </row>
    <row r="11251" hidden="1">
      <c r="E11251" s="96"/>
    </row>
    <row r="11252" hidden="1">
      <c r="E11252" s="96"/>
    </row>
    <row r="11253" hidden="1">
      <c r="E11253" s="96"/>
    </row>
    <row r="11254" hidden="1">
      <c r="E11254" s="96"/>
    </row>
    <row r="11255" hidden="1">
      <c r="E11255" s="96"/>
    </row>
    <row r="11256" hidden="1">
      <c r="E11256" s="96"/>
    </row>
    <row r="11257" hidden="1">
      <c r="E11257" s="96"/>
    </row>
    <row r="11258" hidden="1">
      <c r="E11258" s="96"/>
    </row>
    <row r="11259" hidden="1">
      <c r="E11259" s="96"/>
    </row>
    <row r="11260" hidden="1">
      <c r="E11260" s="96"/>
    </row>
    <row r="11261" hidden="1">
      <c r="E11261" s="96"/>
    </row>
    <row r="11262" hidden="1">
      <c r="E11262" s="96"/>
    </row>
    <row r="11263" hidden="1">
      <c r="E11263" s="96"/>
    </row>
    <row r="11264" hidden="1">
      <c r="E11264" s="96"/>
    </row>
    <row r="11265" hidden="1">
      <c r="E11265" s="96"/>
    </row>
    <row r="11266" hidden="1">
      <c r="E11266" s="96"/>
    </row>
    <row r="11267" hidden="1">
      <c r="E11267" s="96"/>
    </row>
    <row r="11268" hidden="1">
      <c r="E11268" s="96"/>
    </row>
    <row r="11269" hidden="1">
      <c r="E11269" s="96"/>
    </row>
    <row r="11270" hidden="1">
      <c r="E11270" s="96"/>
    </row>
    <row r="11271" hidden="1">
      <c r="E11271" s="96"/>
    </row>
    <row r="11272" hidden="1">
      <c r="E11272" s="96"/>
    </row>
    <row r="11273" hidden="1">
      <c r="E11273" s="96"/>
    </row>
    <row r="11274" hidden="1">
      <c r="E11274" s="96"/>
    </row>
    <row r="11275" hidden="1">
      <c r="E11275" s="96"/>
    </row>
    <row r="11276" hidden="1">
      <c r="E11276" s="96"/>
    </row>
    <row r="11277" hidden="1">
      <c r="E11277" s="96"/>
    </row>
    <row r="11278" hidden="1">
      <c r="E11278" s="96"/>
    </row>
    <row r="11279" hidden="1">
      <c r="E11279" s="96"/>
    </row>
    <row r="11280" hidden="1">
      <c r="E11280" s="96"/>
    </row>
    <row r="11281" hidden="1">
      <c r="E11281" s="96"/>
    </row>
    <row r="11282" hidden="1">
      <c r="E11282" s="96"/>
    </row>
    <row r="11283" hidden="1">
      <c r="E11283" s="96"/>
    </row>
    <row r="11284" hidden="1">
      <c r="E11284" s="96"/>
    </row>
    <row r="11285" hidden="1">
      <c r="E11285" s="96"/>
    </row>
    <row r="11286" hidden="1">
      <c r="E11286" s="96"/>
    </row>
    <row r="11287" hidden="1">
      <c r="E11287" s="96"/>
    </row>
    <row r="11288" hidden="1">
      <c r="E11288" s="96"/>
    </row>
    <row r="11289" hidden="1">
      <c r="E11289" s="96"/>
    </row>
    <row r="11290" hidden="1">
      <c r="E11290" s="96"/>
    </row>
    <row r="11291" hidden="1">
      <c r="E11291" s="96"/>
    </row>
    <row r="11292" hidden="1">
      <c r="E11292" s="96"/>
    </row>
    <row r="11293" hidden="1">
      <c r="E11293" s="96"/>
    </row>
    <row r="11294" hidden="1">
      <c r="E11294" s="96"/>
    </row>
    <row r="11295" hidden="1">
      <c r="E11295" s="96"/>
    </row>
    <row r="11296" hidden="1">
      <c r="E11296" s="96"/>
    </row>
    <row r="11297" hidden="1">
      <c r="E11297" s="96"/>
    </row>
    <row r="11298" hidden="1">
      <c r="E11298" s="96"/>
    </row>
    <row r="11299" hidden="1">
      <c r="E11299" s="96"/>
    </row>
    <row r="11300" hidden="1">
      <c r="E11300" s="96"/>
    </row>
    <row r="11301" hidden="1">
      <c r="E11301" s="96"/>
    </row>
    <row r="11302" hidden="1">
      <c r="E11302" s="96"/>
    </row>
    <row r="11303" hidden="1">
      <c r="E11303" s="96"/>
    </row>
    <row r="11304" hidden="1">
      <c r="E11304" s="96"/>
    </row>
    <row r="11305" hidden="1">
      <c r="E11305" s="96"/>
    </row>
    <row r="11306" hidden="1">
      <c r="E11306" s="96"/>
    </row>
    <row r="11307" hidden="1">
      <c r="E11307" s="96"/>
    </row>
    <row r="11308" hidden="1">
      <c r="E11308" s="96"/>
    </row>
    <row r="11309" hidden="1">
      <c r="E11309" s="96"/>
    </row>
    <row r="11310" hidden="1">
      <c r="E11310" s="96"/>
    </row>
    <row r="11311" hidden="1">
      <c r="E11311" s="96"/>
    </row>
    <row r="11312" hidden="1">
      <c r="E11312" s="96"/>
    </row>
    <row r="11313" hidden="1">
      <c r="E11313" s="96"/>
    </row>
    <row r="11314" hidden="1">
      <c r="E11314" s="96"/>
    </row>
    <row r="11315" hidden="1">
      <c r="E11315" s="96"/>
    </row>
    <row r="11316" hidden="1">
      <c r="E11316" s="96"/>
    </row>
    <row r="11317" hidden="1">
      <c r="E11317" s="96"/>
    </row>
    <row r="11318" hidden="1">
      <c r="E11318" s="96"/>
    </row>
    <row r="11319" hidden="1">
      <c r="E11319" s="96"/>
    </row>
    <row r="11320" hidden="1">
      <c r="E11320" s="96"/>
    </row>
    <row r="11321" hidden="1">
      <c r="E11321" s="96"/>
    </row>
    <row r="11322" hidden="1">
      <c r="E11322" s="96"/>
    </row>
    <row r="11323" hidden="1">
      <c r="E11323" s="96"/>
    </row>
    <row r="11324" hidden="1">
      <c r="E11324" s="96"/>
    </row>
    <row r="11325" hidden="1">
      <c r="E11325" s="96"/>
    </row>
    <row r="11326" hidden="1">
      <c r="E11326" s="96"/>
    </row>
    <row r="11327" hidden="1">
      <c r="E11327" s="96"/>
    </row>
    <row r="11328" hidden="1">
      <c r="E11328" s="96"/>
    </row>
    <row r="11329" hidden="1">
      <c r="E11329" s="96"/>
    </row>
    <row r="11330" hidden="1">
      <c r="E11330" s="96"/>
    </row>
    <row r="11331" hidden="1">
      <c r="E11331" s="96"/>
    </row>
    <row r="11332" hidden="1">
      <c r="E11332" s="96"/>
    </row>
    <row r="11333" hidden="1">
      <c r="E11333" s="96"/>
    </row>
    <row r="11334" hidden="1">
      <c r="E11334" s="96"/>
    </row>
    <row r="11335" hidden="1">
      <c r="E11335" s="96"/>
    </row>
    <row r="11336" hidden="1">
      <c r="E11336" s="96"/>
    </row>
    <row r="11337" hidden="1">
      <c r="E11337" s="96"/>
    </row>
    <row r="11338" hidden="1">
      <c r="E11338" s="96"/>
    </row>
    <row r="11339" hidden="1">
      <c r="E11339" s="96"/>
    </row>
    <row r="11340" hidden="1">
      <c r="E11340" s="96"/>
    </row>
    <row r="11341" hidden="1">
      <c r="E11341" s="96"/>
    </row>
    <row r="11342" hidden="1">
      <c r="E11342" s="96"/>
    </row>
    <row r="11343" hidden="1">
      <c r="E11343" s="96"/>
    </row>
    <row r="11344" hidden="1">
      <c r="E11344" s="96"/>
    </row>
    <row r="11345" hidden="1">
      <c r="E11345" s="96"/>
    </row>
    <row r="11346" hidden="1">
      <c r="E11346" s="96"/>
    </row>
    <row r="11347" hidden="1">
      <c r="E11347" s="96"/>
    </row>
    <row r="11348" hidden="1">
      <c r="E11348" s="96"/>
    </row>
    <row r="11349" hidden="1">
      <c r="E11349" s="96"/>
    </row>
    <row r="11350" hidden="1">
      <c r="E11350" s="96"/>
    </row>
    <row r="11351" hidden="1">
      <c r="E11351" s="96"/>
    </row>
    <row r="11352" hidden="1">
      <c r="E11352" s="96"/>
    </row>
    <row r="11353" hidden="1">
      <c r="E11353" s="96"/>
    </row>
    <row r="11354" hidden="1">
      <c r="E11354" s="96"/>
    </row>
    <row r="11355" hidden="1">
      <c r="E11355" s="96"/>
    </row>
    <row r="11356" hidden="1">
      <c r="E11356" s="96"/>
    </row>
    <row r="11357" hidden="1">
      <c r="E11357" s="96"/>
    </row>
    <row r="11358" hidden="1">
      <c r="E11358" s="96"/>
    </row>
    <row r="11359" hidden="1">
      <c r="E11359" s="96"/>
    </row>
    <row r="11360" hidden="1">
      <c r="E11360" s="96"/>
    </row>
    <row r="11361" hidden="1">
      <c r="E11361" s="96"/>
    </row>
    <row r="11362" hidden="1">
      <c r="E11362" s="96"/>
    </row>
    <row r="11363" hidden="1">
      <c r="E11363" s="96"/>
    </row>
    <row r="11364" hidden="1">
      <c r="E11364" s="96"/>
    </row>
    <row r="11365" hidden="1">
      <c r="E11365" s="96"/>
    </row>
    <row r="11366" hidden="1">
      <c r="E11366" s="96"/>
    </row>
    <row r="11367" hidden="1">
      <c r="E11367" s="96"/>
    </row>
    <row r="11368" hidden="1">
      <c r="E11368" s="96"/>
    </row>
    <row r="11369" hidden="1">
      <c r="E11369" s="96"/>
    </row>
    <row r="11370" hidden="1">
      <c r="E11370" s="96"/>
    </row>
    <row r="11371" hidden="1">
      <c r="E11371" s="96"/>
    </row>
    <row r="11372" hidden="1">
      <c r="E11372" s="96"/>
    </row>
    <row r="11373" hidden="1">
      <c r="E11373" s="96"/>
    </row>
    <row r="11374" hidden="1">
      <c r="E11374" s="96"/>
    </row>
    <row r="11375" hidden="1">
      <c r="E11375" s="96"/>
    </row>
    <row r="11376" hidden="1">
      <c r="E11376" s="96"/>
    </row>
    <row r="11377" hidden="1">
      <c r="E11377" s="96"/>
    </row>
    <row r="11378" hidden="1">
      <c r="E11378" s="96"/>
    </row>
    <row r="11379" hidden="1">
      <c r="E11379" s="96"/>
    </row>
    <row r="11380" hidden="1">
      <c r="E11380" s="96"/>
    </row>
    <row r="11381" hidden="1">
      <c r="E11381" s="96"/>
    </row>
    <row r="11382" hidden="1">
      <c r="E11382" s="96"/>
    </row>
    <row r="11383" hidden="1">
      <c r="E11383" s="96"/>
    </row>
    <row r="11384" hidden="1">
      <c r="E11384" s="96"/>
    </row>
    <row r="11385" hidden="1">
      <c r="E11385" s="96"/>
    </row>
    <row r="11386" hidden="1">
      <c r="E11386" s="96"/>
    </row>
    <row r="11387" hidden="1">
      <c r="E11387" s="96"/>
    </row>
    <row r="11388" hidden="1">
      <c r="E11388" s="96"/>
    </row>
    <row r="11389" hidden="1">
      <c r="E11389" s="96"/>
    </row>
    <row r="11390" hidden="1">
      <c r="E11390" s="96"/>
    </row>
    <row r="11391" hidden="1">
      <c r="E11391" s="96"/>
    </row>
    <row r="11392" hidden="1">
      <c r="E11392" s="96"/>
    </row>
    <row r="11393" hidden="1">
      <c r="E11393" s="96"/>
    </row>
    <row r="11394" hidden="1">
      <c r="E11394" s="96"/>
    </row>
    <row r="11395" hidden="1">
      <c r="E11395" s="96"/>
    </row>
    <row r="11396" hidden="1">
      <c r="E11396" s="96"/>
    </row>
    <row r="11397" hidden="1">
      <c r="E11397" s="96"/>
    </row>
    <row r="11398" hidden="1">
      <c r="E11398" s="96"/>
    </row>
    <row r="11399" hidden="1">
      <c r="E11399" s="96"/>
    </row>
    <row r="11400" hidden="1">
      <c r="E11400" s="96"/>
    </row>
    <row r="11401" hidden="1">
      <c r="E11401" s="96"/>
    </row>
    <row r="11402" hidden="1">
      <c r="E11402" s="96"/>
    </row>
    <row r="11403" hidden="1">
      <c r="E11403" s="96"/>
    </row>
    <row r="11404" hidden="1">
      <c r="E11404" s="96"/>
    </row>
    <row r="11405" hidden="1">
      <c r="E11405" s="96"/>
    </row>
    <row r="11406" hidden="1">
      <c r="E11406" s="96"/>
    </row>
    <row r="11407" hidden="1">
      <c r="E11407" s="96"/>
    </row>
    <row r="11408" hidden="1">
      <c r="E11408" s="96"/>
    </row>
    <row r="11409" hidden="1">
      <c r="E11409" s="96"/>
    </row>
    <row r="11410" hidden="1">
      <c r="E11410" s="96"/>
    </row>
    <row r="11411" hidden="1">
      <c r="E11411" s="96"/>
    </row>
    <row r="11412" hidden="1">
      <c r="E11412" s="96"/>
    </row>
    <row r="11413" hidden="1">
      <c r="E11413" s="96"/>
    </row>
    <row r="11414" hidden="1">
      <c r="E11414" s="96"/>
    </row>
    <row r="11415" hidden="1">
      <c r="E11415" s="96"/>
    </row>
    <row r="11416" hidden="1">
      <c r="E11416" s="96"/>
    </row>
    <row r="11417" hidden="1">
      <c r="E11417" s="96"/>
    </row>
    <row r="11418" hidden="1">
      <c r="E11418" s="96"/>
    </row>
    <row r="11419" hidden="1">
      <c r="E11419" s="96"/>
    </row>
    <row r="11420" hidden="1">
      <c r="E11420" s="96"/>
    </row>
    <row r="11421" hidden="1">
      <c r="E11421" s="96"/>
    </row>
    <row r="11422" hidden="1">
      <c r="E11422" s="96"/>
    </row>
    <row r="11423" hidden="1">
      <c r="E11423" s="96"/>
    </row>
    <row r="11424" hidden="1">
      <c r="E11424" s="96"/>
    </row>
    <row r="11425" hidden="1">
      <c r="E11425" s="96"/>
    </row>
    <row r="11426" hidden="1">
      <c r="E11426" s="96"/>
    </row>
    <row r="11427" hidden="1">
      <c r="E11427" s="96"/>
    </row>
    <row r="11428" hidden="1">
      <c r="E11428" s="96"/>
    </row>
    <row r="11429" hidden="1">
      <c r="E11429" s="96"/>
    </row>
    <row r="11430" hidden="1">
      <c r="E11430" s="96"/>
    </row>
    <row r="11431" hidden="1">
      <c r="E11431" s="96"/>
    </row>
    <row r="11432" hidden="1">
      <c r="E11432" s="96"/>
    </row>
    <row r="11433" hidden="1">
      <c r="E11433" s="96"/>
    </row>
    <row r="11434" hidden="1">
      <c r="E11434" s="96"/>
    </row>
    <row r="11435" hidden="1">
      <c r="E11435" s="96"/>
    </row>
    <row r="11436" hidden="1">
      <c r="E11436" s="96"/>
    </row>
    <row r="11437" hidden="1">
      <c r="E11437" s="96"/>
    </row>
    <row r="11438" hidden="1">
      <c r="E11438" s="96"/>
    </row>
    <row r="11439" hidden="1">
      <c r="E11439" s="96"/>
    </row>
    <row r="11440" hidden="1">
      <c r="E11440" s="96"/>
    </row>
    <row r="11441" hidden="1">
      <c r="E11441" s="96"/>
    </row>
    <row r="11442" hidden="1">
      <c r="E11442" s="96"/>
    </row>
    <row r="11443" hidden="1">
      <c r="E11443" s="96"/>
    </row>
    <row r="11444" hidden="1">
      <c r="E11444" s="96"/>
    </row>
    <row r="11445" hidden="1">
      <c r="E11445" s="96"/>
    </row>
    <row r="11446" hidden="1">
      <c r="E11446" s="96"/>
    </row>
    <row r="11447" hidden="1">
      <c r="E11447" s="96"/>
    </row>
    <row r="11448" hidden="1">
      <c r="E11448" s="96"/>
    </row>
    <row r="11449" hidden="1">
      <c r="E11449" s="96"/>
    </row>
    <row r="11450" hidden="1">
      <c r="E11450" s="96"/>
    </row>
    <row r="11451" hidden="1">
      <c r="E11451" s="96"/>
    </row>
    <row r="11452" hidden="1">
      <c r="E11452" s="96"/>
    </row>
    <row r="11453" hidden="1">
      <c r="E11453" s="96"/>
    </row>
    <row r="11454" hidden="1">
      <c r="E11454" s="96"/>
    </row>
    <row r="11455" hidden="1">
      <c r="E11455" s="96"/>
    </row>
    <row r="11456" hidden="1">
      <c r="E11456" s="96"/>
    </row>
    <row r="11457" hidden="1">
      <c r="E11457" s="96"/>
    </row>
    <row r="11458" hidden="1">
      <c r="E11458" s="96"/>
    </row>
    <row r="11459" hidden="1">
      <c r="E11459" s="96"/>
    </row>
    <row r="11460" hidden="1">
      <c r="E11460" s="96"/>
    </row>
    <row r="11461" hidden="1">
      <c r="E11461" s="96"/>
    </row>
    <row r="11462" hidden="1">
      <c r="E11462" s="96"/>
    </row>
    <row r="11463" hidden="1">
      <c r="E11463" s="96"/>
    </row>
    <row r="11464" hidden="1">
      <c r="E11464" s="96"/>
    </row>
    <row r="11465" hidden="1">
      <c r="E11465" s="96"/>
    </row>
    <row r="11466" hidden="1">
      <c r="E11466" s="96"/>
    </row>
    <row r="11467" hidden="1">
      <c r="E11467" s="96"/>
    </row>
    <row r="11468" hidden="1">
      <c r="E11468" s="96"/>
    </row>
    <row r="11469" hidden="1">
      <c r="E11469" s="96"/>
    </row>
    <row r="11470" hidden="1">
      <c r="E11470" s="96"/>
    </row>
    <row r="11471" hidden="1">
      <c r="E11471" s="96"/>
    </row>
    <row r="11472" hidden="1">
      <c r="E11472" s="96"/>
    </row>
    <row r="11473" hidden="1">
      <c r="E11473" s="96"/>
    </row>
    <row r="11474" hidden="1">
      <c r="E11474" s="96"/>
    </row>
    <row r="11475" hidden="1">
      <c r="E11475" s="96"/>
    </row>
    <row r="11476" hidden="1">
      <c r="E11476" s="96"/>
    </row>
    <row r="11477" hidden="1">
      <c r="E11477" s="96"/>
    </row>
    <row r="11478" hidden="1">
      <c r="E11478" s="96"/>
    </row>
    <row r="11479" hidden="1">
      <c r="E11479" s="96"/>
    </row>
    <row r="11480" hidden="1">
      <c r="E11480" s="96"/>
    </row>
    <row r="11481" hidden="1">
      <c r="E11481" s="96"/>
    </row>
    <row r="11482" hidden="1">
      <c r="E11482" s="96"/>
    </row>
    <row r="11483" hidden="1">
      <c r="E11483" s="96"/>
    </row>
    <row r="11484" hidden="1">
      <c r="E11484" s="96"/>
    </row>
    <row r="11485" hidden="1">
      <c r="E11485" s="96"/>
    </row>
    <row r="11486" hidden="1">
      <c r="E11486" s="96"/>
    </row>
    <row r="11487" hidden="1">
      <c r="E11487" s="96"/>
    </row>
    <row r="11488" hidden="1">
      <c r="E11488" s="96"/>
    </row>
    <row r="11489" hidden="1">
      <c r="E11489" s="96"/>
    </row>
    <row r="11490" hidden="1">
      <c r="E11490" s="96"/>
    </row>
    <row r="11491" hidden="1">
      <c r="E11491" s="96"/>
    </row>
    <row r="11492" hidden="1">
      <c r="E11492" s="96"/>
    </row>
    <row r="11493" hidden="1">
      <c r="E11493" s="96"/>
    </row>
    <row r="11494" hidden="1">
      <c r="E11494" s="96"/>
    </row>
    <row r="11495" hidden="1">
      <c r="E11495" s="96"/>
    </row>
    <row r="11496" hidden="1">
      <c r="E11496" s="96"/>
    </row>
    <row r="11497" hidden="1">
      <c r="E11497" s="96"/>
    </row>
    <row r="11498" hidden="1">
      <c r="E11498" s="96"/>
    </row>
    <row r="11499" hidden="1">
      <c r="E11499" s="96"/>
    </row>
    <row r="11500" hidden="1">
      <c r="E11500" s="96"/>
    </row>
    <row r="11501" hidden="1">
      <c r="E11501" s="96"/>
    </row>
    <row r="11502" hidden="1">
      <c r="E11502" s="96"/>
    </row>
    <row r="11503" hidden="1">
      <c r="E11503" s="96"/>
    </row>
    <row r="11504" hidden="1">
      <c r="E11504" s="96"/>
    </row>
    <row r="11505" hidden="1">
      <c r="E11505" s="96"/>
    </row>
    <row r="11506" hidden="1">
      <c r="E11506" s="96"/>
    </row>
    <row r="11507" hidden="1">
      <c r="E11507" s="96"/>
    </row>
    <row r="11508" hidden="1">
      <c r="E11508" s="96"/>
    </row>
    <row r="11509" hidden="1">
      <c r="E11509" s="96"/>
    </row>
    <row r="11510" hidden="1">
      <c r="E11510" s="96"/>
    </row>
    <row r="11511" hidden="1">
      <c r="E11511" s="96"/>
    </row>
    <row r="11512" hidden="1">
      <c r="E11512" s="96"/>
    </row>
    <row r="11513" hidden="1">
      <c r="E11513" s="96"/>
    </row>
    <row r="11514" hidden="1">
      <c r="E11514" s="96"/>
    </row>
    <row r="11515" hidden="1">
      <c r="E11515" s="96"/>
    </row>
    <row r="11516" hidden="1">
      <c r="E11516" s="96"/>
    </row>
    <row r="11517" hidden="1">
      <c r="E11517" s="96"/>
    </row>
    <row r="11518" hidden="1">
      <c r="E11518" s="96"/>
    </row>
    <row r="11519" hidden="1">
      <c r="E11519" s="96"/>
    </row>
    <row r="11520" hidden="1">
      <c r="E11520" s="96"/>
    </row>
    <row r="11521" hidden="1">
      <c r="E11521" s="96"/>
    </row>
    <row r="11522" hidden="1">
      <c r="E11522" s="96"/>
    </row>
    <row r="11523" hidden="1">
      <c r="E11523" s="96"/>
    </row>
    <row r="11524" hidden="1">
      <c r="E11524" s="96"/>
    </row>
    <row r="11525" hidden="1">
      <c r="E11525" s="96"/>
    </row>
    <row r="11526" hidden="1">
      <c r="E11526" s="96"/>
    </row>
    <row r="11527" hidden="1">
      <c r="E11527" s="96"/>
    </row>
    <row r="11528" hidden="1">
      <c r="E11528" s="96"/>
    </row>
    <row r="11529" hidden="1">
      <c r="E11529" s="96"/>
    </row>
    <row r="11530" hidden="1">
      <c r="E11530" s="96"/>
    </row>
    <row r="11531" hidden="1">
      <c r="E11531" s="96"/>
    </row>
    <row r="11532" hidden="1">
      <c r="E11532" s="96"/>
    </row>
    <row r="11533" hidden="1">
      <c r="E11533" s="96"/>
    </row>
    <row r="11534" hidden="1">
      <c r="E11534" s="96"/>
    </row>
    <row r="11535" hidden="1">
      <c r="E11535" s="96"/>
    </row>
    <row r="11536" hidden="1">
      <c r="E11536" s="96"/>
    </row>
    <row r="11537" hidden="1">
      <c r="E11537" s="96"/>
    </row>
    <row r="11538" hidden="1">
      <c r="E11538" s="96"/>
    </row>
    <row r="11539" hidden="1">
      <c r="E11539" s="96"/>
    </row>
    <row r="11540" hidden="1">
      <c r="E11540" s="96"/>
    </row>
    <row r="11541" hidden="1">
      <c r="E11541" s="96"/>
    </row>
    <row r="11542" hidden="1">
      <c r="E11542" s="96"/>
    </row>
    <row r="11543" hidden="1">
      <c r="E11543" s="96"/>
    </row>
    <row r="11544" hidden="1">
      <c r="E11544" s="96"/>
    </row>
    <row r="11545" hidden="1">
      <c r="E11545" s="96"/>
    </row>
    <row r="11546" hidden="1">
      <c r="E11546" s="96"/>
    </row>
    <row r="11547" hidden="1">
      <c r="E11547" s="96"/>
    </row>
    <row r="11548" hidden="1">
      <c r="E11548" s="96"/>
    </row>
    <row r="11549" hidden="1">
      <c r="E11549" s="96"/>
    </row>
    <row r="11550" hidden="1">
      <c r="E11550" s="96"/>
    </row>
    <row r="11551" hidden="1">
      <c r="E11551" s="96"/>
    </row>
    <row r="11552" hidden="1">
      <c r="E11552" s="96"/>
    </row>
    <row r="11553" hidden="1">
      <c r="E11553" s="96"/>
    </row>
    <row r="11554" hidden="1">
      <c r="E11554" s="96"/>
    </row>
    <row r="11555" hidden="1">
      <c r="E11555" s="96"/>
    </row>
    <row r="11556" hidden="1">
      <c r="E11556" s="96"/>
    </row>
    <row r="11557" hidden="1">
      <c r="E11557" s="96"/>
    </row>
    <row r="11558" hidden="1">
      <c r="E11558" s="96"/>
    </row>
    <row r="11559" hidden="1">
      <c r="E11559" s="96"/>
    </row>
    <row r="11560" hidden="1">
      <c r="E11560" s="96"/>
    </row>
    <row r="11561" hidden="1">
      <c r="E11561" s="96"/>
    </row>
    <row r="11562" hidden="1">
      <c r="E11562" s="96"/>
    </row>
    <row r="11563" hidden="1">
      <c r="E11563" s="96"/>
    </row>
    <row r="11564" hidden="1">
      <c r="E11564" s="96"/>
    </row>
    <row r="11565" hidden="1">
      <c r="E11565" s="96"/>
    </row>
    <row r="11566" hidden="1">
      <c r="E11566" s="96"/>
    </row>
    <row r="11567" hidden="1">
      <c r="E11567" s="96"/>
    </row>
    <row r="11568" hidden="1">
      <c r="E11568" s="96"/>
    </row>
    <row r="11569" hidden="1">
      <c r="E11569" s="96"/>
    </row>
    <row r="11570" hidden="1">
      <c r="E11570" s="96"/>
    </row>
    <row r="11571" hidden="1">
      <c r="E11571" s="96"/>
    </row>
    <row r="11572" hidden="1">
      <c r="E11572" s="96"/>
    </row>
    <row r="11573" hidden="1">
      <c r="E11573" s="96"/>
    </row>
    <row r="11574" hidden="1">
      <c r="E11574" s="96"/>
    </row>
    <row r="11575" hidden="1">
      <c r="E11575" s="96"/>
    </row>
    <row r="11576" hidden="1">
      <c r="E11576" s="96"/>
    </row>
    <row r="11577" hidden="1">
      <c r="E11577" s="96"/>
    </row>
    <row r="11578" hidden="1">
      <c r="E11578" s="96"/>
    </row>
    <row r="11579" hidden="1">
      <c r="E11579" s="96"/>
    </row>
    <row r="11580" hidden="1">
      <c r="E11580" s="96"/>
    </row>
    <row r="11581" hidden="1">
      <c r="E11581" s="96"/>
    </row>
    <row r="11582" hidden="1">
      <c r="E11582" s="96"/>
    </row>
    <row r="11583" hidden="1">
      <c r="E11583" s="96"/>
    </row>
    <row r="11584" hidden="1">
      <c r="E11584" s="96"/>
    </row>
    <row r="11585" hidden="1">
      <c r="E11585" s="96"/>
    </row>
    <row r="11586" hidden="1">
      <c r="E11586" s="96"/>
    </row>
    <row r="11587" hidden="1">
      <c r="E11587" s="96"/>
    </row>
    <row r="11588" hidden="1">
      <c r="E11588" s="96"/>
    </row>
    <row r="11589" hidden="1">
      <c r="E11589" s="96"/>
    </row>
    <row r="11590" hidden="1">
      <c r="E11590" s="96"/>
    </row>
    <row r="11591" hidden="1">
      <c r="E11591" s="96"/>
    </row>
    <row r="11592" hidden="1">
      <c r="E11592" s="96"/>
    </row>
    <row r="11593" hidden="1">
      <c r="E11593" s="96"/>
    </row>
    <row r="11594" hidden="1">
      <c r="E11594" s="96"/>
    </row>
    <row r="11595" hidden="1">
      <c r="E11595" s="96"/>
    </row>
    <row r="11596" hidden="1">
      <c r="E11596" s="96"/>
    </row>
    <row r="11597" hidden="1">
      <c r="E11597" s="96"/>
    </row>
    <row r="11598" hidden="1">
      <c r="E11598" s="96"/>
    </row>
    <row r="11599" hidden="1">
      <c r="E11599" s="96"/>
    </row>
    <row r="11600" hidden="1">
      <c r="E11600" s="96"/>
    </row>
    <row r="11601" hidden="1">
      <c r="E11601" s="96"/>
    </row>
    <row r="11602" hidden="1">
      <c r="E11602" s="96"/>
    </row>
    <row r="11603" hidden="1">
      <c r="E11603" s="96"/>
    </row>
    <row r="11604" hidden="1">
      <c r="E11604" s="96"/>
    </row>
    <row r="11605" hidden="1">
      <c r="E11605" s="96"/>
    </row>
    <row r="11606" hidden="1">
      <c r="E11606" s="96"/>
    </row>
    <row r="11607" hidden="1">
      <c r="E11607" s="96"/>
    </row>
    <row r="11608" hidden="1">
      <c r="E11608" s="96"/>
    </row>
    <row r="11609" hidden="1">
      <c r="E11609" s="96"/>
    </row>
    <row r="11610" hidden="1">
      <c r="E11610" s="96"/>
    </row>
    <row r="11611" hidden="1">
      <c r="E11611" s="96"/>
    </row>
    <row r="11612" hidden="1">
      <c r="E11612" s="96"/>
    </row>
    <row r="11613" hidden="1">
      <c r="E11613" s="96"/>
    </row>
    <row r="11614" hidden="1">
      <c r="E11614" s="96"/>
    </row>
    <row r="11615" hidden="1">
      <c r="E11615" s="96"/>
    </row>
    <row r="11616" hidden="1">
      <c r="E11616" s="96"/>
    </row>
    <row r="11617" hidden="1">
      <c r="E11617" s="96"/>
    </row>
    <row r="11618" hidden="1">
      <c r="E11618" s="96"/>
    </row>
    <row r="11619" hidden="1">
      <c r="E11619" s="96"/>
    </row>
    <row r="11620" hidden="1">
      <c r="E11620" s="96"/>
    </row>
    <row r="11621" hidden="1">
      <c r="E11621" s="96"/>
    </row>
    <row r="11622" hidden="1">
      <c r="E11622" s="96"/>
    </row>
    <row r="11623" hidden="1">
      <c r="E11623" s="96"/>
    </row>
    <row r="11624" hidden="1">
      <c r="E11624" s="96"/>
    </row>
    <row r="11625" hidden="1">
      <c r="E11625" s="96"/>
    </row>
    <row r="11626" hidden="1">
      <c r="E11626" s="96"/>
    </row>
    <row r="11627" hidden="1">
      <c r="E11627" s="96"/>
    </row>
    <row r="11628" hidden="1">
      <c r="E11628" s="96"/>
    </row>
    <row r="11629" hidden="1">
      <c r="E11629" s="96"/>
    </row>
    <row r="11630" hidden="1">
      <c r="E11630" s="96"/>
    </row>
    <row r="11631" hidden="1">
      <c r="E11631" s="96"/>
    </row>
    <row r="11632" hidden="1">
      <c r="E11632" s="96"/>
    </row>
    <row r="11633" hidden="1">
      <c r="E11633" s="96"/>
    </row>
    <row r="11634" hidden="1">
      <c r="E11634" s="96"/>
    </row>
    <row r="11635" hidden="1">
      <c r="E11635" s="96"/>
    </row>
    <row r="11636" hidden="1">
      <c r="E11636" s="96"/>
    </row>
    <row r="11637" hidden="1">
      <c r="E11637" s="96"/>
    </row>
    <row r="11638" hidden="1">
      <c r="E11638" s="96"/>
    </row>
    <row r="11639" hidden="1">
      <c r="E11639" s="96"/>
    </row>
    <row r="11640" hidden="1">
      <c r="E11640" s="96"/>
    </row>
    <row r="11641" hidden="1">
      <c r="E11641" s="96"/>
    </row>
    <row r="11642" hidden="1">
      <c r="E11642" s="96"/>
    </row>
    <row r="11643" hidden="1">
      <c r="E11643" s="96"/>
    </row>
    <row r="11644" hidden="1">
      <c r="E11644" s="96"/>
    </row>
    <row r="11645" hidden="1">
      <c r="E11645" s="96"/>
    </row>
    <row r="11646" hidden="1">
      <c r="E11646" s="96"/>
    </row>
    <row r="11647" hidden="1">
      <c r="E11647" s="96"/>
    </row>
    <row r="11648" hidden="1">
      <c r="E11648" s="96"/>
    </row>
    <row r="11649" hidden="1">
      <c r="E11649" s="96"/>
    </row>
    <row r="11650" hidden="1">
      <c r="E11650" s="96"/>
    </row>
    <row r="11651" hidden="1">
      <c r="E11651" s="96"/>
    </row>
    <row r="11652" hidden="1">
      <c r="E11652" s="96"/>
    </row>
    <row r="11653" hidden="1">
      <c r="E11653" s="96"/>
    </row>
    <row r="11654" hidden="1">
      <c r="E11654" s="96"/>
    </row>
    <row r="11655" hidden="1">
      <c r="E11655" s="96"/>
    </row>
    <row r="11656" hidden="1">
      <c r="E11656" s="96"/>
    </row>
    <row r="11657" hidden="1">
      <c r="E11657" s="96"/>
    </row>
    <row r="11658" hidden="1">
      <c r="E11658" s="96"/>
    </row>
    <row r="11659" hidden="1">
      <c r="E11659" s="96"/>
    </row>
    <row r="11660" hidden="1">
      <c r="E11660" s="96"/>
    </row>
    <row r="11661" hidden="1">
      <c r="E11661" s="96"/>
    </row>
    <row r="11662" hidden="1">
      <c r="E11662" s="96"/>
    </row>
    <row r="11663" hidden="1">
      <c r="E11663" s="96"/>
    </row>
    <row r="11664" hidden="1">
      <c r="E11664" s="96"/>
    </row>
    <row r="11665" hidden="1">
      <c r="E11665" s="96"/>
    </row>
    <row r="11666" hidden="1">
      <c r="E11666" s="96"/>
    </row>
    <row r="11667" hidden="1">
      <c r="E11667" s="96"/>
    </row>
    <row r="11668" hidden="1">
      <c r="E11668" s="96"/>
    </row>
    <row r="11669" hidden="1">
      <c r="E11669" s="96"/>
    </row>
    <row r="11670" hidden="1">
      <c r="E11670" s="96"/>
    </row>
    <row r="11671" hidden="1">
      <c r="E11671" s="96"/>
    </row>
    <row r="11672" hidden="1">
      <c r="E11672" s="96"/>
    </row>
    <row r="11673" hidden="1">
      <c r="E11673" s="96"/>
    </row>
    <row r="11674" hidden="1">
      <c r="E11674" s="96"/>
    </row>
    <row r="11675" hidden="1">
      <c r="E11675" s="96"/>
    </row>
    <row r="11676" hidden="1">
      <c r="E11676" s="96"/>
    </row>
    <row r="11677" hidden="1">
      <c r="E11677" s="96"/>
    </row>
    <row r="11678" hidden="1">
      <c r="E11678" s="96"/>
    </row>
    <row r="11679" hidden="1">
      <c r="E11679" s="96"/>
    </row>
    <row r="11680" hidden="1">
      <c r="E11680" s="96"/>
    </row>
    <row r="11681" hidden="1">
      <c r="E11681" s="96"/>
    </row>
    <row r="11682" hidden="1">
      <c r="E11682" s="96"/>
    </row>
    <row r="11683" hidden="1">
      <c r="E11683" s="96"/>
    </row>
    <row r="11684" hidden="1">
      <c r="E11684" s="96"/>
    </row>
    <row r="11685" hidden="1">
      <c r="E11685" s="96"/>
    </row>
    <row r="11686" hidden="1">
      <c r="E11686" s="96"/>
    </row>
    <row r="11687" hidden="1">
      <c r="E11687" s="96"/>
    </row>
    <row r="11688" hidden="1">
      <c r="E11688" s="96"/>
    </row>
    <row r="11689" hidden="1">
      <c r="E11689" s="96"/>
    </row>
    <row r="11690" hidden="1">
      <c r="E11690" s="96"/>
    </row>
    <row r="11691" hidden="1">
      <c r="E11691" s="96"/>
    </row>
    <row r="11692" hidden="1">
      <c r="E11692" s="96"/>
    </row>
    <row r="11693" hidden="1">
      <c r="E11693" s="96"/>
    </row>
    <row r="11694" hidden="1">
      <c r="E11694" s="96"/>
    </row>
    <row r="11695" hidden="1">
      <c r="E11695" s="96"/>
    </row>
    <row r="11696" hidden="1">
      <c r="E11696" s="96"/>
    </row>
    <row r="11697" hidden="1">
      <c r="E11697" s="96"/>
    </row>
    <row r="11698" hidden="1">
      <c r="E11698" s="96"/>
    </row>
    <row r="11699" hidden="1">
      <c r="E11699" s="96"/>
    </row>
    <row r="11700" hidden="1">
      <c r="E11700" s="96"/>
    </row>
    <row r="11701" hidden="1">
      <c r="E11701" s="96"/>
    </row>
    <row r="11702" hidden="1">
      <c r="E11702" s="96"/>
    </row>
    <row r="11703" hidden="1">
      <c r="E11703" s="96"/>
    </row>
    <row r="11704" hidden="1">
      <c r="E11704" s="96"/>
    </row>
    <row r="11705" hidden="1">
      <c r="E11705" s="96"/>
    </row>
    <row r="11706" hidden="1">
      <c r="E11706" s="96"/>
    </row>
    <row r="11707" hidden="1">
      <c r="E11707" s="96"/>
    </row>
    <row r="11708" hidden="1">
      <c r="E11708" s="96"/>
    </row>
    <row r="11709" hidden="1">
      <c r="E11709" s="96"/>
    </row>
    <row r="11710" hidden="1">
      <c r="E11710" s="96"/>
    </row>
    <row r="11711" hidden="1">
      <c r="E11711" s="96"/>
    </row>
    <row r="11712" hidden="1">
      <c r="E11712" s="96"/>
    </row>
    <row r="11713" hidden="1">
      <c r="E11713" s="96"/>
    </row>
    <row r="11714" hidden="1">
      <c r="E11714" s="96"/>
    </row>
    <row r="11715" hidden="1">
      <c r="E11715" s="96"/>
    </row>
    <row r="11716" hidden="1">
      <c r="E11716" s="96"/>
    </row>
    <row r="11717" hidden="1">
      <c r="E11717" s="96"/>
    </row>
    <row r="11718" hidden="1">
      <c r="E11718" s="96"/>
    </row>
    <row r="11719" hidden="1">
      <c r="E11719" s="96"/>
    </row>
    <row r="11720" hidden="1">
      <c r="E11720" s="96"/>
    </row>
    <row r="11721" hidden="1">
      <c r="E11721" s="96"/>
    </row>
    <row r="11722" hidden="1">
      <c r="E11722" s="96"/>
    </row>
    <row r="11723" hidden="1">
      <c r="E11723" s="96"/>
    </row>
    <row r="11724" hidden="1">
      <c r="E11724" s="96"/>
    </row>
    <row r="11725" hidden="1">
      <c r="E11725" s="96"/>
    </row>
    <row r="11726" hidden="1">
      <c r="E11726" s="96"/>
    </row>
    <row r="11727" hidden="1">
      <c r="E11727" s="96"/>
    </row>
    <row r="11728" hidden="1">
      <c r="E11728" s="96"/>
    </row>
    <row r="11729" hidden="1">
      <c r="E11729" s="96"/>
    </row>
    <row r="11730" hidden="1">
      <c r="E11730" s="96"/>
    </row>
    <row r="11731" hidden="1">
      <c r="E11731" s="96"/>
    </row>
    <row r="11732" hidden="1">
      <c r="E11732" s="96"/>
    </row>
    <row r="11733" hidden="1">
      <c r="E11733" s="96"/>
    </row>
    <row r="11734" hidden="1">
      <c r="E11734" s="96"/>
    </row>
    <row r="11735" hidden="1">
      <c r="E11735" s="96"/>
    </row>
    <row r="11736" hidden="1">
      <c r="E11736" s="96"/>
    </row>
    <row r="11737" hidden="1">
      <c r="E11737" s="96"/>
    </row>
    <row r="11738" hidden="1">
      <c r="E11738" s="96"/>
    </row>
    <row r="11739" hidden="1">
      <c r="E11739" s="96"/>
    </row>
    <row r="11740" hidden="1">
      <c r="E11740" s="96"/>
    </row>
    <row r="11741" hidden="1">
      <c r="E11741" s="96"/>
    </row>
    <row r="11742" hidden="1">
      <c r="E11742" s="96"/>
    </row>
    <row r="11743" hidden="1">
      <c r="E11743" s="96"/>
    </row>
    <row r="11744" hidden="1">
      <c r="E11744" s="96"/>
    </row>
    <row r="11745" hidden="1">
      <c r="E11745" s="96"/>
    </row>
    <row r="11746" hidden="1">
      <c r="E11746" s="96"/>
    </row>
    <row r="11747" hidden="1">
      <c r="E11747" s="96"/>
    </row>
    <row r="11748" hidden="1">
      <c r="E11748" s="96"/>
    </row>
    <row r="11749" hidden="1">
      <c r="E11749" s="96"/>
    </row>
    <row r="11750" hidden="1">
      <c r="E11750" s="96"/>
    </row>
    <row r="11751" hidden="1">
      <c r="E11751" s="96"/>
    </row>
    <row r="11752" hidden="1">
      <c r="E11752" s="96"/>
    </row>
    <row r="11753" hidden="1">
      <c r="E11753" s="96"/>
    </row>
    <row r="11754" hidden="1">
      <c r="E11754" s="96"/>
    </row>
    <row r="11755" hidden="1">
      <c r="E11755" s="96"/>
    </row>
    <row r="11756" hidden="1">
      <c r="E11756" s="96"/>
    </row>
    <row r="11757" hidden="1">
      <c r="E11757" s="96"/>
    </row>
    <row r="11758" hidden="1">
      <c r="E11758" s="96"/>
    </row>
    <row r="11759" hidden="1">
      <c r="E11759" s="96"/>
    </row>
    <row r="11760" hidden="1">
      <c r="E11760" s="96"/>
    </row>
    <row r="11761" hidden="1">
      <c r="E11761" s="96"/>
    </row>
    <row r="11762" hidden="1">
      <c r="E11762" s="96"/>
    </row>
    <row r="11763" hidden="1">
      <c r="E11763" s="96"/>
    </row>
    <row r="11764" hidden="1">
      <c r="E11764" s="96"/>
    </row>
    <row r="11765" hidden="1">
      <c r="E11765" s="96"/>
    </row>
    <row r="11766" hidden="1">
      <c r="E11766" s="96"/>
    </row>
    <row r="11767" hidden="1">
      <c r="E11767" s="96"/>
    </row>
    <row r="11768" hidden="1">
      <c r="E11768" s="96"/>
    </row>
    <row r="11769" hidden="1">
      <c r="E11769" s="96"/>
    </row>
    <row r="11770" hidden="1">
      <c r="E11770" s="96"/>
    </row>
    <row r="11771" hidden="1">
      <c r="E11771" s="96"/>
    </row>
    <row r="11772" hidden="1">
      <c r="E11772" s="96"/>
    </row>
    <row r="11773" hidden="1">
      <c r="E11773" s="96"/>
    </row>
    <row r="11774" hidden="1">
      <c r="E11774" s="96"/>
    </row>
    <row r="11775" hidden="1">
      <c r="E11775" s="96"/>
    </row>
    <row r="11776" hidden="1">
      <c r="E11776" s="96"/>
    </row>
    <row r="11777" hidden="1">
      <c r="E11777" s="96"/>
    </row>
    <row r="11778" hidden="1">
      <c r="E11778" s="96"/>
    </row>
    <row r="11779" hidden="1">
      <c r="E11779" s="96"/>
    </row>
    <row r="11780" hidden="1">
      <c r="E11780" s="96"/>
    </row>
    <row r="11781" hidden="1">
      <c r="E11781" s="96"/>
    </row>
    <row r="11782" hidden="1">
      <c r="E11782" s="96"/>
    </row>
    <row r="11783" hidden="1">
      <c r="E11783" s="96"/>
    </row>
    <row r="11784" hidden="1">
      <c r="E11784" s="96"/>
    </row>
    <row r="11785" hidden="1">
      <c r="E11785" s="96"/>
    </row>
    <row r="11786" hidden="1">
      <c r="E11786" s="96"/>
    </row>
    <row r="11787" hidden="1">
      <c r="E11787" s="96"/>
    </row>
    <row r="11788" hidden="1">
      <c r="E11788" s="96"/>
    </row>
    <row r="11789" hidden="1">
      <c r="E11789" s="96"/>
    </row>
    <row r="11790" hidden="1">
      <c r="E11790" s="96"/>
    </row>
    <row r="11791" hidden="1">
      <c r="E11791" s="96"/>
    </row>
    <row r="11792" hidden="1">
      <c r="E11792" s="96"/>
    </row>
    <row r="11793" hidden="1">
      <c r="E11793" s="96"/>
    </row>
    <row r="11794" hidden="1">
      <c r="E11794" s="96"/>
    </row>
    <row r="11795" hidden="1">
      <c r="E11795" s="96"/>
    </row>
    <row r="11796" hidden="1">
      <c r="E11796" s="96"/>
    </row>
    <row r="11797" hidden="1">
      <c r="E11797" s="96"/>
    </row>
    <row r="11798" hidden="1">
      <c r="E11798" s="96"/>
    </row>
    <row r="11799" hidden="1">
      <c r="E11799" s="96"/>
    </row>
    <row r="11800" hidden="1">
      <c r="E11800" s="96"/>
    </row>
    <row r="11801" hidden="1">
      <c r="E11801" s="96"/>
    </row>
    <row r="11802" hidden="1">
      <c r="E11802" s="96"/>
    </row>
    <row r="11803" hidden="1">
      <c r="E11803" s="96"/>
    </row>
    <row r="11804" hidden="1">
      <c r="E11804" s="96"/>
    </row>
    <row r="11805" hidden="1">
      <c r="E11805" s="96"/>
    </row>
    <row r="11806" hidden="1">
      <c r="E11806" s="96"/>
    </row>
    <row r="11807" hidden="1">
      <c r="E11807" s="96"/>
    </row>
    <row r="11808" hidden="1">
      <c r="E11808" s="96"/>
    </row>
    <row r="11809" hidden="1">
      <c r="E11809" s="96"/>
    </row>
    <row r="11810" hidden="1">
      <c r="E11810" s="96"/>
    </row>
    <row r="11811" hidden="1">
      <c r="E11811" s="96"/>
    </row>
    <row r="11812" hidden="1">
      <c r="E11812" s="96"/>
    </row>
    <row r="11813" hidden="1">
      <c r="E11813" s="96"/>
    </row>
    <row r="11814" hidden="1">
      <c r="E11814" s="96"/>
    </row>
    <row r="11815" hidden="1">
      <c r="E11815" s="96"/>
    </row>
    <row r="11816" hidden="1">
      <c r="E11816" s="96"/>
    </row>
    <row r="11817" hidden="1">
      <c r="E11817" s="96"/>
    </row>
    <row r="11818" hidden="1">
      <c r="E11818" s="96"/>
    </row>
    <row r="11819" hidden="1">
      <c r="E11819" s="96"/>
    </row>
    <row r="11820" hidden="1">
      <c r="E11820" s="96"/>
    </row>
    <row r="11821" hidden="1">
      <c r="E11821" s="96"/>
    </row>
    <row r="11822" hidden="1">
      <c r="E11822" s="96"/>
    </row>
    <row r="11823" hidden="1">
      <c r="E11823" s="96"/>
    </row>
    <row r="11824" hidden="1">
      <c r="E11824" s="96"/>
    </row>
    <row r="11825" hidden="1">
      <c r="E11825" s="96"/>
    </row>
    <row r="11826" hidden="1">
      <c r="E11826" s="96"/>
    </row>
    <row r="11827" hidden="1">
      <c r="E11827" s="96"/>
    </row>
    <row r="11828" hidden="1">
      <c r="E11828" s="96"/>
    </row>
    <row r="11829" hidden="1">
      <c r="E11829" s="96"/>
    </row>
    <row r="11830" hidden="1">
      <c r="E11830" s="96"/>
    </row>
    <row r="11831" hidden="1">
      <c r="E11831" s="96"/>
    </row>
    <row r="11832" hidden="1">
      <c r="E11832" s="96"/>
    </row>
    <row r="11833" hidden="1">
      <c r="E11833" s="96"/>
    </row>
    <row r="11834" hidden="1">
      <c r="E11834" s="96"/>
    </row>
    <row r="11835" hidden="1">
      <c r="E11835" s="96"/>
    </row>
    <row r="11836" hidden="1">
      <c r="E11836" s="96"/>
    </row>
    <row r="11837" hidden="1">
      <c r="E11837" s="96"/>
    </row>
    <row r="11838" hidden="1">
      <c r="E11838" s="96"/>
    </row>
    <row r="11839" hidden="1">
      <c r="E11839" s="96"/>
    </row>
    <row r="11840" hidden="1">
      <c r="E11840" s="96"/>
    </row>
    <row r="11841" hidden="1">
      <c r="E11841" s="96"/>
    </row>
    <row r="11842" hidden="1">
      <c r="E11842" s="96"/>
    </row>
    <row r="11843" hidden="1">
      <c r="E11843" s="96"/>
    </row>
    <row r="11844" hidden="1">
      <c r="E11844" s="96"/>
    </row>
    <row r="11845" hidden="1">
      <c r="E11845" s="96"/>
    </row>
    <row r="11846" hidden="1">
      <c r="E11846" s="96"/>
    </row>
    <row r="11847" hidden="1">
      <c r="E11847" s="96"/>
    </row>
    <row r="11848" hidden="1">
      <c r="E11848" s="96"/>
    </row>
    <row r="11849" hidden="1">
      <c r="E11849" s="96"/>
    </row>
    <row r="11850" hidden="1">
      <c r="E11850" s="96"/>
    </row>
    <row r="11851" hidden="1">
      <c r="E11851" s="96"/>
    </row>
    <row r="11852" hidden="1">
      <c r="E11852" s="96"/>
    </row>
    <row r="11853" hidden="1">
      <c r="E11853" s="96"/>
    </row>
    <row r="11854" hidden="1">
      <c r="E11854" s="96"/>
    </row>
    <row r="11855" hidden="1">
      <c r="E11855" s="96"/>
    </row>
    <row r="11856" hidden="1">
      <c r="E11856" s="96"/>
    </row>
    <row r="11857" hidden="1">
      <c r="E11857" s="96"/>
    </row>
    <row r="11858" hidden="1">
      <c r="E11858" s="96"/>
    </row>
    <row r="11859" hidden="1">
      <c r="E11859" s="96"/>
    </row>
    <row r="11860" hidden="1">
      <c r="E11860" s="96"/>
    </row>
    <row r="11861" hidden="1">
      <c r="E11861" s="96"/>
    </row>
    <row r="11862" hidden="1">
      <c r="E11862" s="96"/>
    </row>
    <row r="11863" hidden="1">
      <c r="E11863" s="96"/>
    </row>
    <row r="11864" hidden="1">
      <c r="E11864" s="96"/>
    </row>
    <row r="11865" hidden="1">
      <c r="E11865" s="96"/>
    </row>
    <row r="11866" hidden="1">
      <c r="E11866" s="96"/>
    </row>
    <row r="11867" hidden="1">
      <c r="E11867" s="96"/>
    </row>
    <row r="11868" hidden="1">
      <c r="E11868" s="96"/>
    </row>
    <row r="11869" hidden="1">
      <c r="E11869" s="96"/>
    </row>
    <row r="11870" hidden="1">
      <c r="E11870" s="96"/>
    </row>
    <row r="11871" hidden="1">
      <c r="E11871" s="96"/>
    </row>
    <row r="11872" hidden="1">
      <c r="E11872" s="96"/>
    </row>
    <row r="11873" hidden="1">
      <c r="E11873" s="96"/>
    </row>
    <row r="11874" hidden="1">
      <c r="E11874" s="96"/>
    </row>
    <row r="11875" hidden="1">
      <c r="E11875" s="96"/>
    </row>
    <row r="11876" hidden="1">
      <c r="E11876" s="96"/>
    </row>
    <row r="11877" hidden="1">
      <c r="E11877" s="96"/>
    </row>
    <row r="11878" hidden="1">
      <c r="E11878" s="96"/>
    </row>
    <row r="11879" hidden="1">
      <c r="E11879" s="96"/>
    </row>
    <row r="11880" hidden="1">
      <c r="E11880" s="96"/>
    </row>
    <row r="11881" hidden="1">
      <c r="E11881" s="96"/>
    </row>
    <row r="11882" hidden="1">
      <c r="E11882" s="96"/>
    </row>
    <row r="11883" hidden="1">
      <c r="E11883" s="96"/>
    </row>
    <row r="11884" hidden="1">
      <c r="E11884" s="96"/>
    </row>
    <row r="11885" hidden="1">
      <c r="E11885" s="96"/>
    </row>
    <row r="11886" hidden="1">
      <c r="E11886" s="96"/>
    </row>
    <row r="11887" hidden="1">
      <c r="E11887" s="96"/>
    </row>
    <row r="11888" hidden="1">
      <c r="E11888" s="96"/>
    </row>
    <row r="11889" hidden="1">
      <c r="E11889" s="96"/>
    </row>
    <row r="11890" hidden="1">
      <c r="E11890" s="96"/>
    </row>
    <row r="11891" hidden="1">
      <c r="E11891" s="96"/>
    </row>
    <row r="11892" hidden="1">
      <c r="E11892" s="96"/>
    </row>
    <row r="11893" hidden="1">
      <c r="E11893" s="96"/>
    </row>
    <row r="11894" hidden="1">
      <c r="E11894" s="96"/>
    </row>
    <row r="11895" hidden="1">
      <c r="E11895" s="96"/>
    </row>
    <row r="11896" hidden="1">
      <c r="E11896" s="96"/>
    </row>
    <row r="11897" hidden="1">
      <c r="E11897" s="96"/>
    </row>
    <row r="11898" hidden="1">
      <c r="E11898" s="96"/>
    </row>
    <row r="11899" hidden="1">
      <c r="E11899" s="96"/>
    </row>
    <row r="11900" hidden="1">
      <c r="E11900" s="96"/>
    </row>
    <row r="11901" hidden="1">
      <c r="E11901" s="96"/>
    </row>
    <row r="11902" hidden="1">
      <c r="E11902" s="96"/>
    </row>
    <row r="11903" hidden="1">
      <c r="E11903" s="96"/>
    </row>
    <row r="11904" hidden="1">
      <c r="E11904" s="96"/>
    </row>
    <row r="11905" hidden="1">
      <c r="E11905" s="96"/>
    </row>
    <row r="11906" hidden="1">
      <c r="E11906" s="96"/>
    </row>
    <row r="11907" hidden="1">
      <c r="E11907" s="96"/>
    </row>
    <row r="11908" hidden="1">
      <c r="E11908" s="96"/>
    </row>
    <row r="11909" hidden="1">
      <c r="E11909" s="96"/>
    </row>
    <row r="11910" hidden="1">
      <c r="E11910" s="96"/>
    </row>
    <row r="11911" hidden="1">
      <c r="E11911" s="96"/>
    </row>
    <row r="11912" hidden="1">
      <c r="E11912" s="96"/>
    </row>
    <row r="11913" hidden="1">
      <c r="E11913" s="96"/>
    </row>
    <row r="11914" hidden="1">
      <c r="E11914" s="96"/>
    </row>
    <row r="11915" hidden="1">
      <c r="E11915" s="96"/>
    </row>
    <row r="11916" hidden="1">
      <c r="E11916" s="96"/>
    </row>
    <row r="11917" hidden="1">
      <c r="E11917" s="96"/>
    </row>
    <row r="11918" hidden="1">
      <c r="E11918" s="96"/>
    </row>
    <row r="11919" hidden="1">
      <c r="E11919" s="96"/>
    </row>
    <row r="11920" hidden="1">
      <c r="E11920" s="96"/>
    </row>
    <row r="11921" hidden="1">
      <c r="E11921" s="96"/>
    </row>
    <row r="11922" hidden="1">
      <c r="E11922" s="96"/>
    </row>
    <row r="11923" hidden="1">
      <c r="E11923" s="96"/>
    </row>
    <row r="11924" hidden="1">
      <c r="E11924" s="96"/>
    </row>
    <row r="11925" hidden="1">
      <c r="E11925" s="96"/>
    </row>
    <row r="11926" hidden="1">
      <c r="E11926" s="96"/>
    </row>
    <row r="11927" hidden="1">
      <c r="E11927" s="96"/>
    </row>
    <row r="11928" hidden="1">
      <c r="E11928" s="96"/>
    </row>
    <row r="11929" hidden="1">
      <c r="E11929" s="96"/>
    </row>
    <row r="11930" hidden="1">
      <c r="E11930" s="96"/>
    </row>
    <row r="11931" hidden="1">
      <c r="E11931" s="96"/>
    </row>
    <row r="11932" hidden="1">
      <c r="E11932" s="96"/>
    </row>
    <row r="11933" hidden="1">
      <c r="E11933" s="96"/>
    </row>
    <row r="11934" hidden="1">
      <c r="E11934" s="96"/>
    </row>
    <row r="11935" hidden="1">
      <c r="E11935" s="96"/>
    </row>
    <row r="11936" hidden="1">
      <c r="E11936" s="96"/>
    </row>
    <row r="11937" hidden="1">
      <c r="E11937" s="96"/>
    </row>
    <row r="11938" hidden="1">
      <c r="E11938" s="96"/>
    </row>
    <row r="11939" hidden="1">
      <c r="E11939" s="96"/>
    </row>
    <row r="11940" hidden="1">
      <c r="E11940" s="96"/>
    </row>
    <row r="11941" hidden="1">
      <c r="E11941" s="96"/>
    </row>
    <row r="11942" hidden="1">
      <c r="E11942" s="96"/>
    </row>
    <row r="11943" hidden="1">
      <c r="E11943" s="96"/>
    </row>
    <row r="11944" hidden="1">
      <c r="E11944" s="96"/>
    </row>
    <row r="11945" hidden="1">
      <c r="E11945" s="96"/>
    </row>
    <row r="11946" hidden="1">
      <c r="E11946" s="96"/>
    </row>
    <row r="11947" hidden="1">
      <c r="E11947" s="96"/>
    </row>
    <row r="11948" hidden="1">
      <c r="E11948" s="96"/>
    </row>
    <row r="11949" hidden="1">
      <c r="E11949" s="96"/>
    </row>
    <row r="11950" hidden="1">
      <c r="E11950" s="96"/>
    </row>
    <row r="11951" hidden="1">
      <c r="E11951" s="96"/>
    </row>
    <row r="11952" hidden="1">
      <c r="E11952" s="96"/>
    </row>
    <row r="11953" hidden="1">
      <c r="E11953" s="96"/>
    </row>
    <row r="11954" hidden="1">
      <c r="E11954" s="96"/>
    </row>
    <row r="11955" hidden="1">
      <c r="E11955" s="96"/>
    </row>
    <row r="11956" hidden="1">
      <c r="E11956" s="96"/>
    </row>
    <row r="11957" hidden="1">
      <c r="E11957" s="96"/>
    </row>
    <row r="11958" hidden="1">
      <c r="E11958" s="96"/>
    </row>
    <row r="11959" hidden="1">
      <c r="E11959" s="96"/>
    </row>
    <row r="11960" hidden="1">
      <c r="E11960" s="96"/>
    </row>
    <row r="11961" hidden="1">
      <c r="E11961" s="96"/>
    </row>
    <row r="11962" hidden="1">
      <c r="E11962" s="96"/>
    </row>
    <row r="11963" hidden="1">
      <c r="E11963" s="96"/>
    </row>
    <row r="11964" hidden="1">
      <c r="E11964" s="96"/>
    </row>
    <row r="11965" hidden="1">
      <c r="E11965" s="96"/>
    </row>
    <row r="11966" hidden="1">
      <c r="E11966" s="96"/>
    </row>
    <row r="11967" hidden="1">
      <c r="E11967" s="96"/>
    </row>
    <row r="11968" hidden="1">
      <c r="E11968" s="96"/>
    </row>
    <row r="11969" hidden="1">
      <c r="E11969" s="96"/>
    </row>
    <row r="11970" hidden="1">
      <c r="E11970" s="96"/>
    </row>
    <row r="11971" hidden="1">
      <c r="E11971" s="96"/>
    </row>
    <row r="11972" hidden="1">
      <c r="E11972" s="96"/>
    </row>
    <row r="11973" hidden="1">
      <c r="E11973" s="96"/>
    </row>
    <row r="11974" hidden="1">
      <c r="E11974" s="96"/>
    </row>
    <row r="11975" hidden="1">
      <c r="E11975" s="96"/>
    </row>
    <row r="11976" hidden="1">
      <c r="E11976" s="96"/>
    </row>
    <row r="11977" hidden="1">
      <c r="E11977" s="96"/>
    </row>
    <row r="11978" hidden="1">
      <c r="E11978" s="96"/>
    </row>
    <row r="11979" hidden="1">
      <c r="E11979" s="96"/>
    </row>
    <row r="11980" hidden="1">
      <c r="E11980" s="96"/>
    </row>
    <row r="11981" hidden="1">
      <c r="E11981" s="96"/>
    </row>
    <row r="11982" hidden="1">
      <c r="E11982" s="96"/>
    </row>
    <row r="11983" hidden="1">
      <c r="E11983" s="96"/>
    </row>
    <row r="11984" hidden="1">
      <c r="E11984" s="96"/>
    </row>
    <row r="11985" hidden="1">
      <c r="E11985" s="96"/>
    </row>
    <row r="11986" hidden="1">
      <c r="E11986" s="96"/>
    </row>
    <row r="11987" hidden="1">
      <c r="E11987" s="96"/>
    </row>
    <row r="11988" hidden="1">
      <c r="E11988" s="96"/>
    </row>
    <row r="11989" hidden="1">
      <c r="E11989" s="96"/>
    </row>
    <row r="11990" hidden="1">
      <c r="E11990" s="96"/>
    </row>
    <row r="11991" hidden="1">
      <c r="E11991" s="96"/>
    </row>
    <row r="11992" hidden="1">
      <c r="E11992" s="96"/>
    </row>
    <row r="11993" hidden="1">
      <c r="E11993" s="96"/>
    </row>
    <row r="11994" hidden="1">
      <c r="E11994" s="96"/>
    </row>
    <row r="11995" hidden="1">
      <c r="E11995" s="96"/>
    </row>
    <row r="11996" hidden="1">
      <c r="E11996" s="96"/>
    </row>
    <row r="11997" hidden="1">
      <c r="E11997" s="96"/>
    </row>
    <row r="11998" hidden="1">
      <c r="E11998" s="96"/>
    </row>
    <row r="11999" hidden="1">
      <c r="E11999" s="96"/>
    </row>
    <row r="12000" hidden="1">
      <c r="E12000" s="96"/>
    </row>
    <row r="12001" hidden="1">
      <c r="E12001" s="96"/>
    </row>
    <row r="12002" hidden="1">
      <c r="E12002" s="96"/>
    </row>
    <row r="12003" hidden="1">
      <c r="E12003" s="96"/>
    </row>
    <row r="12004" hidden="1">
      <c r="E12004" s="96"/>
    </row>
    <row r="12005" hidden="1">
      <c r="E12005" s="96"/>
    </row>
    <row r="12006" hidden="1">
      <c r="E12006" s="96"/>
    </row>
    <row r="12007" hidden="1">
      <c r="E12007" s="96"/>
    </row>
    <row r="12008" hidden="1">
      <c r="E12008" s="96"/>
    </row>
    <row r="12009" hidden="1">
      <c r="E12009" s="96"/>
    </row>
    <row r="12010" hidden="1">
      <c r="E12010" s="96"/>
    </row>
    <row r="12011" hidden="1">
      <c r="E12011" s="96"/>
    </row>
    <row r="12012" hidden="1">
      <c r="E12012" s="96"/>
    </row>
    <row r="12013" hidden="1">
      <c r="E12013" s="96"/>
    </row>
    <row r="12014" hidden="1">
      <c r="E12014" s="96"/>
    </row>
    <row r="12015" hidden="1">
      <c r="E12015" s="96"/>
    </row>
    <row r="12016" hidden="1">
      <c r="E12016" s="96"/>
    </row>
    <row r="12017" hidden="1">
      <c r="E12017" s="96"/>
    </row>
    <row r="12018" hidden="1">
      <c r="E12018" s="96"/>
    </row>
    <row r="12019" hidden="1">
      <c r="E12019" s="96"/>
    </row>
    <row r="12020" hidden="1">
      <c r="E12020" s="96"/>
    </row>
    <row r="12021" hidden="1">
      <c r="E12021" s="96"/>
    </row>
    <row r="12022" hidden="1">
      <c r="E12022" s="96"/>
    </row>
    <row r="12023" hidden="1">
      <c r="E12023" s="96"/>
    </row>
    <row r="12024" hidden="1">
      <c r="E12024" s="96"/>
    </row>
    <row r="12025" hidden="1">
      <c r="E12025" s="96"/>
    </row>
    <row r="12026" hidden="1">
      <c r="E12026" s="96"/>
    </row>
    <row r="12027" hidden="1">
      <c r="E12027" s="96"/>
    </row>
    <row r="12028" hidden="1">
      <c r="E12028" s="96"/>
    </row>
    <row r="12029" hidden="1">
      <c r="E12029" s="96"/>
    </row>
    <row r="12030" hidden="1">
      <c r="E12030" s="96"/>
    </row>
    <row r="12031" hidden="1">
      <c r="E12031" s="96"/>
    </row>
    <row r="12032" hidden="1">
      <c r="E12032" s="96"/>
    </row>
    <row r="12033" hidden="1">
      <c r="E12033" s="96"/>
    </row>
    <row r="12034" hidden="1">
      <c r="E12034" s="96"/>
    </row>
    <row r="12035" hidden="1">
      <c r="E12035" s="96"/>
    </row>
    <row r="12036" hidden="1">
      <c r="E12036" s="96"/>
    </row>
    <row r="12037" hidden="1">
      <c r="E12037" s="96"/>
    </row>
    <row r="12038" hidden="1">
      <c r="E12038" s="96"/>
    </row>
    <row r="12039" hidden="1">
      <c r="E12039" s="96"/>
    </row>
    <row r="12040" hidden="1">
      <c r="E12040" s="96"/>
    </row>
    <row r="12041" hidden="1">
      <c r="E12041" s="96"/>
    </row>
    <row r="12042" hidden="1">
      <c r="E12042" s="96"/>
    </row>
    <row r="12043" hidden="1">
      <c r="E12043" s="96"/>
    </row>
    <row r="12044" hidden="1">
      <c r="E12044" s="96"/>
    </row>
    <row r="12045" hidden="1">
      <c r="E12045" s="96"/>
    </row>
    <row r="12046" hidden="1">
      <c r="E12046" s="96"/>
    </row>
    <row r="12047" hidden="1">
      <c r="E12047" s="96"/>
    </row>
    <row r="12048" hidden="1">
      <c r="E12048" s="96"/>
    </row>
    <row r="12049" hidden="1">
      <c r="E12049" s="96"/>
    </row>
    <row r="12050" hidden="1">
      <c r="E12050" s="96"/>
    </row>
    <row r="12051" hidden="1">
      <c r="E12051" s="96"/>
    </row>
    <row r="12052" hidden="1">
      <c r="E12052" s="96"/>
    </row>
    <row r="12053" hidden="1">
      <c r="E12053" s="96"/>
    </row>
    <row r="12054" hidden="1">
      <c r="E12054" s="96"/>
    </row>
    <row r="12055" hidden="1">
      <c r="E12055" s="96"/>
    </row>
    <row r="12056" hidden="1">
      <c r="E12056" s="96"/>
    </row>
    <row r="12057" hidden="1">
      <c r="E12057" s="96"/>
    </row>
    <row r="12058" hidden="1">
      <c r="E12058" s="96"/>
    </row>
    <row r="12059" hidden="1">
      <c r="E12059" s="96"/>
    </row>
    <row r="12060" hidden="1">
      <c r="E12060" s="96"/>
    </row>
    <row r="12061" hidden="1">
      <c r="E12061" s="96"/>
    </row>
    <row r="12062" hidden="1">
      <c r="E12062" s="96"/>
    </row>
    <row r="12063" hidden="1">
      <c r="E12063" s="96"/>
    </row>
    <row r="12064" hidden="1">
      <c r="E12064" s="96"/>
    </row>
    <row r="12065" hidden="1">
      <c r="E12065" s="96"/>
    </row>
    <row r="12066" hidden="1">
      <c r="E12066" s="96"/>
    </row>
    <row r="12067" hidden="1">
      <c r="E12067" s="96"/>
    </row>
    <row r="12068" hidden="1">
      <c r="E12068" s="96"/>
    </row>
    <row r="12069" hidden="1">
      <c r="E12069" s="96"/>
    </row>
    <row r="12070" hidden="1">
      <c r="E12070" s="96"/>
    </row>
    <row r="12071" hidden="1">
      <c r="E12071" s="96"/>
    </row>
    <row r="12072" hidden="1">
      <c r="E12072" s="96"/>
    </row>
    <row r="12073" hidden="1">
      <c r="E12073" s="96"/>
    </row>
    <row r="12074" hidden="1">
      <c r="E12074" s="96"/>
    </row>
    <row r="12075" hidden="1">
      <c r="E12075" s="96"/>
    </row>
    <row r="12076" hidden="1">
      <c r="E12076" s="96"/>
    </row>
    <row r="12077" hidden="1">
      <c r="E12077" s="96"/>
    </row>
    <row r="12078" hidden="1">
      <c r="E12078" s="96"/>
    </row>
    <row r="12079" hidden="1">
      <c r="E12079" s="96"/>
    </row>
    <row r="12080" hidden="1">
      <c r="E12080" s="96"/>
    </row>
    <row r="12081" hidden="1">
      <c r="E12081" s="96"/>
    </row>
    <row r="12082" hidden="1">
      <c r="E12082" s="96"/>
    </row>
    <row r="12083" hidden="1">
      <c r="E12083" s="96"/>
    </row>
    <row r="12084" hidden="1">
      <c r="E12084" s="96"/>
    </row>
    <row r="12085" hidden="1">
      <c r="E12085" s="96"/>
    </row>
    <row r="12086" hidden="1">
      <c r="E12086" s="96"/>
    </row>
    <row r="12087" hidden="1">
      <c r="E12087" s="96"/>
    </row>
    <row r="12088" hidden="1">
      <c r="E12088" s="96"/>
    </row>
    <row r="12089" hidden="1">
      <c r="E12089" s="96"/>
    </row>
    <row r="12090" hidden="1">
      <c r="E12090" s="96"/>
    </row>
    <row r="12091" hidden="1">
      <c r="E12091" s="96"/>
    </row>
    <row r="12092" hidden="1">
      <c r="E12092" s="96"/>
    </row>
    <row r="12093" hidden="1">
      <c r="E12093" s="96"/>
    </row>
    <row r="12094" hidden="1">
      <c r="E12094" s="96"/>
    </row>
    <row r="12095" hidden="1">
      <c r="E12095" s="96"/>
    </row>
    <row r="12096" hidden="1">
      <c r="E12096" s="96"/>
    </row>
    <row r="12097" hidden="1">
      <c r="E12097" s="96"/>
    </row>
    <row r="12098" hidden="1">
      <c r="E12098" s="96"/>
    </row>
    <row r="12099" hidden="1">
      <c r="E12099" s="96"/>
    </row>
    <row r="12100" hidden="1">
      <c r="E12100" s="96"/>
    </row>
    <row r="12101" hidden="1">
      <c r="E12101" s="96"/>
    </row>
    <row r="12102" hidden="1">
      <c r="E12102" s="96"/>
    </row>
    <row r="12103" hidden="1">
      <c r="E12103" s="96"/>
    </row>
    <row r="12104" hidden="1">
      <c r="E12104" s="96"/>
    </row>
    <row r="12105" hidden="1">
      <c r="E12105" s="96"/>
    </row>
    <row r="12106" hidden="1">
      <c r="E12106" s="96"/>
    </row>
    <row r="12107" hidden="1">
      <c r="E12107" s="96"/>
    </row>
    <row r="12108" hidden="1">
      <c r="E12108" s="96"/>
    </row>
    <row r="12109" hidden="1">
      <c r="E12109" s="96"/>
    </row>
    <row r="12110" hidden="1">
      <c r="E12110" s="96"/>
    </row>
    <row r="12111" hidden="1">
      <c r="E12111" s="96"/>
    </row>
    <row r="12112" hidden="1">
      <c r="E12112" s="96"/>
    </row>
    <row r="12113" hidden="1">
      <c r="E12113" s="96"/>
    </row>
    <row r="12114" hidden="1">
      <c r="E12114" s="96"/>
    </row>
    <row r="12115" hidden="1">
      <c r="E12115" s="96"/>
    </row>
    <row r="12116" hidden="1">
      <c r="E12116" s="96"/>
    </row>
    <row r="12117" hidden="1">
      <c r="E12117" s="96"/>
    </row>
    <row r="12118" hidden="1">
      <c r="E12118" s="96"/>
    </row>
    <row r="12119" hidden="1">
      <c r="E12119" s="96"/>
    </row>
    <row r="12120" hidden="1">
      <c r="E12120" s="96"/>
    </row>
    <row r="12121" hidden="1">
      <c r="E12121" s="96"/>
    </row>
    <row r="12122" hidden="1">
      <c r="E12122" s="96"/>
    </row>
    <row r="12123" hidden="1">
      <c r="E12123" s="96"/>
    </row>
    <row r="12124" hidden="1">
      <c r="E12124" s="96"/>
    </row>
    <row r="12125" hidden="1">
      <c r="E12125" s="96"/>
    </row>
    <row r="12126" hidden="1">
      <c r="E12126" s="96"/>
    </row>
    <row r="12127" hidden="1">
      <c r="E12127" s="96"/>
    </row>
    <row r="12128" hidden="1">
      <c r="E12128" s="96"/>
    </row>
    <row r="12129" hidden="1">
      <c r="E12129" s="96"/>
    </row>
    <row r="12130" hidden="1">
      <c r="E12130" s="96"/>
    </row>
    <row r="12131" hidden="1">
      <c r="E12131" s="96"/>
    </row>
    <row r="12132" hidden="1">
      <c r="E12132" s="96"/>
    </row>
    <row r="12133" hidden="1">
      <c r="E12133" s="96"/>
    </row>
    <row r="12134" hidden="1">
      <c r="E12134" s="96"/>
    </row>
    <row r="12135" hidden="1">
      <c r="E12135" s="96"/>
    </row>
    <row r="12136" hidden="1">
      <c r="E12136" s="96"/>
    </row>
    <row r="12137" hidden="1">
      <c r="E12137" s="96"/>
    </row>
    <row r="12138" hidden="1">
      <c r="E12138" s="96"/>
    </row>
    <row r="12139" hidden="1">
      <c r="E12139" s="96"/>
    </row>
    <row r="12140" hidden="1">
      <c r="E12140" s="96"/>
    </row>
    <row r="12141" hidden="1">
      <c r="E12141" s="96"/>
    </row>
    <row r="12142" hidden="1">
      <c r="E12142" s="96"/>
    </row>
    <row r="12143" hidden="1">
      <c r="E12143" s="96"/>
    </row>
    <row r="12144" hidden="1">
      <c r="E12144" s="96"/>
    </row>
    <row r="12145" hidden="1">
      <c r="E12145" s="96"/>
    </row>
    <row r="12146" hidden="1">
      <c r="E12146" s="96"/>
    </row>
    <row r="12147" hidden="1">
      <c r="E12147" s="96"/>
    </row>
    <row r="12148" hidden="1">
      <c r="E12148" s="96"/>
    </row>
    <row r="12149" hidden="1">
      <c r="E12149" s="96"/>
    </row>
    <row r="12150" hidden="1">
      <c r="E12150" s="96"/>
    </row>
    <row r="12151" hidden="1">
      <c r="E12151" s="96"/>
    </row>
    <row r="12152" hidden="1">
      <c r="E12152" s="96"/>
    </row>
    <row r="12153" hidden="1">
      <c r="E12153" s="96"/>
    </row>
    <row r="12154" hidden="1">
      <c r="E12154" s="96"/>
    </row>
    <row r="12155" hidden="1">
      <c r="E12155" s="96"/>
    </row>
    <row r="12156" hidden="1">
      <c r="E12156" s="96"/>
    </row>
    <row r="12157" hidden="1">
      <c r="E12157" s="96"/>
    </row>
    <row r="12158" hidden="1">
      <c r="E12158" s="96"/>
    </row>
    <row r="12159" hidden="1">
      <c r="E12159" s="96"/>
    </row>
    <row r="12160" hidden="1">
      <c r="E12160" s="96"/>
    </row>
    <row r="12161" hidden="1">
      <c r="E12161" s="96"/>
    </row>
    <row r="12162" hidden="1">
      <c r="E12162" s="96"/>
    </row>
    <row r="12163" hidden="1">
      <c r="E12163" s="96"/>
    </row>
    <row r="12164" hidden="1">
      <c r="E12164" s="96"/>
    </row>
    <row r="12165" hidden="1">
      <c r="E12165" s="96"/>
    </row>
    <row r="12166" hidden="1">
      <c r="E12166" s="96"/>
    </row>
    <row r="12167" hidden="1">
      <c r="E12167" s="96"/>
    </row>
    <row r="12168" hidden="1">
      <c r="E12168" s="96"/>
    </row>
    <row r="12169" hidden="1">
      <c r="E12169" s="96"/>
    </row>
    <row r="12170" hidden="1">
      <c r="E12170" s="96"/>
    </row>
    <row r="12171" hidden="1">
      <c r="E12171" s="96"/>
    </row>
    <row r="12172" hidden="1">
      <c r="E12172" s="96"/>
    </row>
    <row r="12173" hidden="1">
      <c r="E12173" s="96"/>
    </row>
    <row r="12174" hidden="1">
      <c r="E12174" s="96"/>
    </row>
    <row r="12175" hidden="1">
      <c r="E12175" s="96"/>
    </row>
    <row r="12176" hidden="1">
      <c r="E12176" s="96"/>
    </row>
    <row r="12177" hidden="1">
      <c r="E12177" s="96"/>
    </row>
    <row r="12178" hidden="1">
      <c r="E12178" s="96"/>
    </row>
    <row r="12179" hidden="1">
      <c r="E12179" s="96"/>
    </row>
    <row r="12180" hidden="1">
      <c r="E12180" s="96"/>
    </row>
    <row r="12181" hidden="1">
      <c r="E12181" s="96"/>
    </row>
    <row r="12182" hidden="1">
      <c r="E12182" s="96"/>
    </row>
    <row r="12183" hidden="1">
      <c r="E12183" s="96"/>
    </row>
    <row r="12184" hidden="1">
      <c r="E12184" s="96"/>
    </row>
    <row r="12185" hidden="1">
      <c r="E12185" s="96"/>
    </row>
    <row r="12186" hidden="1">
      <c r="E12186" s="96"/>
    </row>
    <row r="12187" hidden="1">
      <c r="E12187" s="96"/>
    </row>
    <row r="12188" hidden="1">
      <c r="E12188" s="96"/>
    </row>
    <row r="12189" hidden="1">
      <c r="E12189" s="96"/>
    </row>
    <row r="12190" hidden="1">
      <c r="E12190" s="96"/>
    </row>
    <row r="12191" hidden="1">
      <c r="E12191" s="96"/>
    </row>
    <row r="12192" hidden="1">
      <c r="E12192" s="96"/>
    </row>
    <row r="12193" hidden="1">
      <c r="E12193" s="96"/>
    </row>
    <row r="12194" hidden="1">
      <c r="E12194" s="96"/>
    </row>
    <row r="12195" hidden="1">
      <c r="E12195" s="96"/>
    </row>
    <row r="12196" hidden="1">
      <c r="E12196" s="96"/>
    </row>
    <row r="12197" hidden="1">
      <c r="E12197" s="96"/>
    </row>
    <row r="12198" hidden="1">
      <c r="E12198" s="96"/>
    </row>
    <row r="12199" hidden="1">
      <c r="E12199" s="96"/>
    </row>
    <row r="12200" hidden="1">
      <c r="E12200" s="96"/>
    </row>
    <row r="12201" hidden="1">
      <c r="E12201" s="96"/>
    </row>
    <row r="12202" hidden="1">
      <c r="E12202" s="96"/>
    </row>
    <row r="12203" hidden="1">
      <c r="E12203" s="96"/>
    </row>
    <row r="12204" hidden="1">
      <c r="E12204" s="96"/>
    </row>
    <row r="12205" hidden="1">
      <c r="E12205" s="96"/>
    </row>
    <row r="12206" hidden="1">
      <c r="E12206" s="96"/>
    </row>
    <row r="12207" hidden="1">
      <c r="E12207" s="96"/>
    </row>
    <row r="12208" hidden="1">
      <c r="E12208" s="96"/>
    </row>
    <row r="12209" hidden="1">
      <c r="E12209" s="96"/>
    </row>
    <row r="12210" hidden="1">
      <c r="E12210" s="96"/>
    </row>
    <row r="12211" hidden="1">
      <c r="E12211" s="96"/>
    </row>
    <row r="12212" hidden="1">
      <c r="E12212" s="96"/>
    </row>
    <row r="12213" hidden="1">
      <c r="E12213" s="96"/>
    </row>
    <row r="12214" hidden="1">
      <c r="E12214" s="96"/>
    </row>
    <row r="12215" hidden="1">
      <c r="E12215" s="96"/>
    </row>
    <row r="12216" hidden="1">
      <c r="E12216" s="96"/>
    </row>
    <row r="12217" hidden="1">
      <c r="E12217" s="96"/>
    </row>
    <row r="12218" hidden="1">
      <c r="E12218" s="96"/>
    </row>
    <row r="12219" hidden="1">
      <c r="E12219" s="96"/>
    </row>
    <row r="12220" hidden="1">
      <c r="E12220" s="96"/>
    </row>
    <row r="12221" hidden="1">
      <c r="E12221" s="96"/>
    </row>
    <row r="12222" hidden="1">
      <c r="E12222" s="96"/>
    </row>
    <row r="12223" hidden="1">
      <c r="E12223" s="96"/>
    </row>
    <row r="12224" hidden="1">
      <c r="E12224" s="96"/>
    </row>
    <row r="12225" hidden="1">
      <c r="E12225" s="96"/>
    </row>
    <row r="12226" hidden="1">
      <c r="E12226" s="96"/>
    </row>
    <row r="12227" hidden="1">
      <c r="E12227" s="96"/>
    </row>
    <row r="12228" hidden="1">
      <c r="E12228" s="96"/>
    </row>
    <row r="12229" hidden="1">
      <c r="E12229" s="96"/>
    </row>
    <row r="12230" hidden="1">
      <c r="E12230" s="96"/>
    </row>
    <row r="12231" hidden="1">
      <c r="E12231" s="96"/>
    </row>
    <row r="12232" hidden="1">
      <c r="E12232" s="96"/>
    </row>
    <row r="12233" hidden="1">
      <c r="E12233" s="96"/>
    </row>
    <row r="12234" hidden="1">
      <c r="E12234" s="96"/>
    </row>
    <row r="12235" hidden="1">
      <c r="E12235" s="96"/>
    </row>
    <row r="12236" hidden="1">
      <c r="E12236" s="96"/>
    </row>
    <row r="12237" hidden="1">
      <c r="E12237" s="96"/>
    </row>
    <row r="12238" hidden="1">
      <c r="E12238" s="96"/>
    </row>
    <row r="12239" hidden="1">
      <c r="E12239" s="96"/>
    </row>
    <row r="12240" hidden="1">
      <c r="E12240" s="96"/>
    </row>
    <row r="12241" hidden="1">
      <c r="E12241" s="96"/>
    </row>
    <row r="12242" hidden="1">
      <c r="E12242" s="96"/>
    </row>
    <row r="12243" hidden="1">
      <c r="E12243" s="96"/>
    </row>
    <row r="12244" hidden="1">
      <c r="E12244" s="96"/>
    </row>
    <row r="12245" hidden="1">
      <c r="E12245" s="96"/>
    </row>
    <row r="12246" hidden="1">
      <c r="E12246" s="96"/>
    </row>
    <row r="12247" hidden="1">
      <c r="E12247" s="96"/>
    </row>
    <row r="12248" hidden="1">
      <c r="E12248" s="96"/>
    </row>
    <row r="12249" hidden="1">
      <c r="E12249" s="96"/>
    </row>
    <row r="12250" hidden="1">
      <c r="E12250" s="96"/>
    </row>
    <row r="12251" hidden="1">
      <c r="E12251" s="96"/>
    </row>
    <row r="12252" hidden="1">
      <c r="E12252" s="96"/>
    </row>
    <row r="12253" hidden="1">
      <c r="E12253" s="96"/>
    </row>
    <row r="12254" hidden="1">
      <c r="E12254" s="96"/>
    </row>
    <row r="12255" hidden="1">
      <c r="E12255" s="96"/>
    </row>
    <row r="12256" hidden="1">
      <c r="E12256" s="96"/>
    </row>
    <row r="12257" hidden="1">
      <c r="E12257" s="96"/>
    </row>
    <row r="12258" hidden="1">
      <c r="E12258" s="96"/>
    </row>
    <row r="12259" hidden="1">
      <c r="E12259" s="96"/>
    </row>
    <row r="12260" hidden="1">
      <c r="E12260" s="96"/>
    </row>
    <row r="12261" hidden="1">
      <c r="E12261" s="96"/>
    </row>
    <row r="12262" hidden="1">
      <c r="E12262" s="96"/>
    </row>
    <row r="12263" hidden="1">
      <c r="E12263" s="96"/>
    </row>
    <row r="12264" hidden="1">
      <c r="E12264" s="96"/>
    </row>
    <row r="12265" hidden="1">
      <c r="E12265" s="96"/>
    </row>
    <row r="12266" hidden="1">
      <c r="E12266" s="96"/>
    </row>
    <row r="12267" hidden="1">
      <c r="E12267" s="96"/>
    </row>
    <row r="12268" hidden="1">
      <c r="E12268" s="96"/>
    </row>
    <row r="12269" hidden="1">
      <c r="E12269" s="96"/>
    </row>
    <row r="12270" hidden="1">
      <c r="E12270" s="96"/>
    </row>
    <row r="12271" hidden="1">
      <c r="E12271" s="96"/>
    </row>
    <row r="12272" hidden="1">
      <c r="E12272" s="96"/>
    </row>
    <row r="12273" hidden="1">
      <c r="E12273" s="96"/>
    </row>
    <row r="12274" hidden="1">
      <c r="E12274" s="96"/>
    </row>
    <row r="12275" hidden="1">
      <c r="E12275" s="96"/>
    </row>
    <row r="12276" hidden="1">
      <c r="E12276" s="96"/>
    </row>
    <row r="12277" hidden="1">
      <c r="E12277" s="96"/>
    </row>
    <row r="12278" hidden="1">
      <c r="E12278" s="96"/>
    </row>
    <row r="12279" hidden="1">
      <c r="E12279" s="96"/>
    </row>
    <row r="12280" hidden="1">
      <c r="E12280" s="96"/>
    </row>
    <row r="12281" hidden="1">
      <c r="E12281" s="96"/>
    </row>
    <row r="12282" hidden="1">
      <c r="E12282" s="96"/>
    </row>
    <row r="12283" hidden="1">
      <c r="E12283" s="96"/>
    </row>
    <row r="12284" hidden="1">
      <c r="E12284" s="96"/>
    </row>
    <row r="12285" hidden="1">
      <c r="E12285" s="96"/>
    </row>
    <row r="12286" hidden="1">
      <c r="E12286" s="96"/>
    </row>
    <row r="12287" hidden="1">
      <c r="E12287" s="96"/>
    </row>
    <row r="12288" hidden="1">
      <c r="E12288" s="96"/>
    </row>
    <row r="12289" hidden="1">
      <c r="E12289" s="96"/>
    </row>
    <row r="12290" hidden="1">
      <c r="E12290" s="96"/>
    </row>
    <row r="12291" hidden="1">
      <c r="E12291" s="96"/>
    </row>
    <row r="12292" hidden="1">
      <c r="E12292" s="96"/>
    </row>
    <row r="12293" hidden="1">
      <c r="E12293" s="96"/>
    </row>
    <row r="12294" hidden="1">
      <c r="E12294" s="96"/>
    </row>
    <row r="12295" hidden="1">
      <c r="E12295" s="96"/>
    </row>
    <row r="12296" hidden="1">
      <c r="E12296" s="96"/>
    </row>
    <row r="12297" hidden="1">
      <c r="E12297" s="96"/>
    </row>
    <row r="12298" hidden="1">
      <c r="E12298" s="96"/>
    </row>
    <row r="12299" hidden="1">
      <c r="E12299" s="96"/>
    </row>
    <row r="12300" hidden="1">
      <c r="E12300" s="96"/>
    </row>
    <row r="12301" hidden="1">
      <c r="E12301" s="96"/>
    </row>
    <row r="12302" hidden="1">
      <c r="E12302" s="96"/>
    </row>
    <row r="12303" hidden="1">
      <c r="E12303" s="96"/>
    </row>
    <row r="12304" hidden="1">
      <c r="E12304" s="96"/>
    </row>
    <row r="12305" hidden="1">
      <c r="E12305" s="96"/>
    </row>
    <row r="12306" hidden="1">
      <c r="E12306" s="96"/>
    </row>
    <row r="12307" hidden="1">
      <c r="E12307" s="96"/>
    </row>
    <row r="12308" hidden="1">
      <c r="E12308" s="96"/>
    </row>
    <row r="12309" hidden="1">
      <c r="E12309" s="96"/>
    </row>
    <row r="12310" hidden="1">
      <c r="E12310" s="96"/>
    </row>
    <row r="12311" hidden="1">
      <c r="E12311" s="96"/>
    </row>
    <row r="12312" hidden="1">
      <c r="E12312" s="96"/>
    </row>
    <row r="12313" hidden="1">
      <c r="E12313" s="96"/>
    </row>
    <row r="12314" hidden="1">
      <c r="E12314" s="96"/>
    </row>
    <row r="12315" hidden="1">
      <c r="E12315" s="96"/>
    </row>
    <row r="12316" hidden="1">
      <c r="E12316" s="96"/>
    </row>
    <row r="12317" hidden="1">
      <c r="E12317" s="96"/>
    </row>
    <row r="12318" hidden="1">
      <c r="E12318" s="96"/>
    </row>
    <row r="12319" hidden="1">
      <c r="E12319" s="96"/>
    </row>
    <row r="12320" hidden="1">
      <c r="E12320" s="96"/>
    </row>
    <row r="12321" hidden="1">
      <c r="E12321" s="96"/>
    </row>
    <row r="12322" hidden="1">
      <c r="E12322" s="96"/>
    </row>
    <row r="12323" hidden="1">
      <c r="E12323" s="96"/>
    </row>
    <row r="12324" hidden="1">
      <c r="E12324" s="96"/>
    </row>
    <row r="12325" hidden="1">
      <c r="E12325" s="96"/>
    </row>
    <row r="12326" hidden="1">
      <c r="E12326" s="96"/>
    </row>
    <row r="12327" hidden="1">
      <c r="E12327" s="96"/>
    </row>
    <row r="12328" hidden="1">
      <c r="E12328" s="96"/>
    </row>
    <row r="12329" hidden="1">
      <c r="E12329" s="96"/>
    </row>
    <row r="12330" hidden="1">
      <c r="E12330" s="96"/>
    </row>
    <row r="12331" hidden="1">
      <c r="E12331" s="96"/>
    </row>
    <row r="12332" hidden="1">
      <c r="E12332" s="96"/>
    </row>
    <row r="12333" hidden="1">
      <c r="E12333" s="96"/>
    </row>
    <row r="12334" hidden="1">
      <c r="E12334" s="96"/>
    </row>
    <row r="12335" hidden="1">
      <c r="E12335" s="96"/>
    </row>
    <row r="12336" hidden="1">
      <c r="E12336" s="96"/>
    </row>
    <row r="12337" hidden="1">
      <c r="E12337" s="96"/>
    </row>
    <row r="12338" hidden="1">
      <c r="E12338" s="96"/>
    </row>
    <row r="12339" hidden="1">
      <c r="E12339" s="96"/>
    </row>
    <row r="12340" hidden="1">
      <c r="E12340" s="96"/>
    </row>
    <row r="12341" hidden="1">
      <c r="E12341" s="96"/>
    </row>
    <row r="12342" hidden="1">
      <c r="E12342" s="96"/>
    </row>
    <row r="12343" hidden="1">
      <c r="E12343" s="96"/>
    </row>
    <row r="12344" hidden="1">
      <c r="E12344" s="96"/>
    </row>
    <row r="12345" hidden="1">
      <c r="E12345" s="96"/>
    </row>
    <row r="12346" hidden="1">
      <c r="E12346" s="96"/>
    </row>
    <row r="12347" hidden="1">
      <c r="E12347" s="96"/>
    </row>
    <row r="12348" hidden="1">
      <c r="E12348" s="96"/>
    </row>
    <row r="12349" hidden="1">
      <c r="E12349" s="96"/>
    </row>
    <row r="12350" hidden="1">
      <c r="E12350" s="96"/>
    </row>
    <row r="12351" hidden="1">
      <c r="E12351" s="96"/>
    </row>
    <row r="12352" hidden="1">
      <c r="E12352" s="96"/>
    </row>
    <row r="12353" hidden="1">
      <c r="E12353" s="96"/>
    </row>
    <row r="12354" hidden="1">
      <c r="E12354" s="96"/>
    </row>
    <row r="12355" hidden="1">
      <c r="E12355" s="96"/>
    </row>
    <row r="12356" hidden="1">
      <c r="E12356" s="96"/>
    </row>
    <row r="12357" hidden="1">
      <c r="E12357" s="96"/>
    </row>
    <row r="12358" hidden="1">
      <c r="E12358" s="96"/>
    </row>
    <row r="12359" hidden="1">
      <c r="E12359" s="96"/>
    </row>
    <row r="12360" hidden="1">
      <c r="E12360" s="96"/>
    </row>
    <row r="12361" hidden="1">
      <c r="E12361" s="96"/>
    </row>
    <row r="12362" hidden="1">
      <c r="E12362" s="96"/>
    </row>
    <row r="12363" hidden="1">
      <c r="E12363" s="96"/>
    </row>
    <row r="12364" hidden="1">
      <c r="E12364" s="96"/>
    </row>
    <row r="12365" hidden="1">
      <c r="E12365" s="96"/>
    </row>
    <row r="12366" hidden="1">
      <c r="E12366" s="96"/>
    </row>
    <row r="12367" hidden="1">
      <c r="E12367" s="96"/>
    </row>
    <row r="12368" hidden="1">
      <c r="E12368" s="96"/>
    </row>
    <row r="12369" hidden="1">
      <c r="E12369" s="96"/>
    </row>
    <row r="12370" hidden="1">
      <c r="E12370" s="96"/>
    </row>
    <row r="12371" hidden="1">
      <c r="E12371" s="96"/>
    </row>
    <row r="12372" hidden="1">
      <c r="E12372" s="96"/>
    </row>
    <row r="12373" hidden="1">
      <c r="E12373" s="96"/>
    </row>
    <row r="12374" hidden="1">
      <c r="E12374" s="96"/>
    </row>
    <row r="12375" hidden="1">
      <c r="E12375" s="96"/>
    </row>
    <row r="12376" hidden="1">
      <c r="E12376" s="96"/>
    </row>
    <row r="12377" hidden="1">
      <c r="E12377" s="96"/>
    </row>
    <row r="12378" hidden="1">
      <c r="E12378" s="96"/>
    </row>
    <row r="12379" hidden="1">
      <c r="E12379" s="96"/>
    </row>
    <row r="12380" hidden="1">
      <c r="E12380" s="96"/>
    </row>
    <row r="12381" hidden="1">
      <c r="E12381" s="96"/>
    </row>
    <row r="12382" hidden="1">
      <c r="E12382" s="96"/>
    </row>
    <row r="12383" hidden="1">
      <c r="E12383" s="96"/>
    </row>
    <row r="12384" hidden="1">
      <c r="E12384" s="96"/>
    </row>
    <row r="12385" hidden="1">
      <c r="E12385" s="96"/>
    </row>
    <row r="12386" hidden="1">
      <c r="E12386" s="96"/>
    </row>
    <row r="12387" hidden="1">
      <c r="E12387" s="96"/>
    </row>
    <row r="12388" hidden="1">
      <c r="E12388" s="96"/>
    </row>
    <row r="12389" hidden="1">
      <c r="E12389" s="96"/>
    </row>
    <row r="12390" hidden="1">
      <c r="E12390" s="96"/>
    </row>
    <row r="12391" hidden="1">
      <c r="E12391" s="96"/>
    </row>
    <row r="12392" hidden="1">
      <c r="E12392" s="96"/>
    </row>
    <row r="12393" hidden="1">
      <c r="E12393" s="96"/>
    </row>
    <row r="12394" hidden="1">
      <c r="E12394" s="96"/>
    </row>
    <row r="12395" hidden="1">
      <c r="E12395" s="96"/>
    </row>
    <row r="12396" hidden="1">
      <c r="E12396" s="96"/>
    </row>
    <row r="12397" hidden="1">
      <c r="E12397" s="96"/>
    </row>
    <row r="12398" hidden="1">
      <c r="E12398" s="96"/>
    </row>
    <row r="12399" hidden="1">
      <c r="E12399" s="96"/>
    </row>
    <row r="12400" hidden="1">
      <c r="E12400" s="96"/>
    </row>
    <row r="12401" hidden="1">
      <c r="E12401" s="96"/>
    </row>
    <row r="12402" hidden="1">
      <c r="E12402" s="96"/>
    </row>
    <row r="12403" hidden="1">
      <c r="E12403" s="96"/>
    </row>
    <row r="12404" hidden="1">
      <c r="E12404" s="96"/>
    </row>
    <row r="12405" hidden="1">
      <c r="E12405" s="96"/>
    </row>
    <row r="12406" hidden="1">
      <c r="E12406" s="96"/>
    </row>
    <row r="12407" hidden="1">
      <c r="E12407" s="96"/>
    </row>
    <row r="12408" hidden="1">
      <c r="E12408" s="96"/>
    </row>
    <row r="12409" hidden="1">
      <c r="E12409" s="96"/>
    </row>
    <row r="12410" hidden="1">
      <c r="E12410" s="96"/>
    </row>
    <row r="12411" hidden="1">
      <c r="E12411" s="96"/>
    </row>
    <row r="12412" hidden="1">
      <c r="E12412" s="96"/>
    </row>
    <row r="12413" hidden="1">
      <c r="E12413" s="96"/>
    </row>
    <row r="12414" hidden="1">
      <c r="E12414" s="96"/>
    </row>
    <row r="12415" hidden="1">
      <c r="E12415" s="96"/>
    </row>
    <row r="12416" hidden="1">
      <c r="E12416" s="96"/>
    </row>
    <row r="12417" hidden="1">
      <c r="E12417" s="96"/>
    </row>
    <row r="12418" hidden="1">
      <c r="E12418" s="96"/>
    </row>
    <row r="12419" hidden="1">
      <c r="E12419" s="96"/>
    </row>
    <row r="12420" hidden="1">
      <c r="E12420" s="96"/>
    </row>
    <row r="12421" hidden="1">
      <c r="E12421" s="96"/>
    </row>
    <row r="12422" hidden="1">
      <c r="E12422" s="96"/>
    </row>
    <row r="12423" hidden="1">
      <c r="E12423" s="96"/>
    </row>
    <row r="12424" hidden="1">
      <c r="E12424" s="96"/>
    </row>
    <row r="12425" hidden="1">
      <c r="E12425" s="96"/>
    </row>
    <row r="12426" hidden="1">
      <c r="E12426" s="96"/>
    </row>
    <row r="12427" hidden="1">
      <c r="E12427" s="96"/>
    </row>
    <row r="12428" hidden="1">
      <c r="E12428" s="96"/>
    </row>
    <row r="12429" hidden="1">
      <c r="E12429" s="96"/>
    </row>
    <row r="12430" hidden="1">
      <c r="E12430" s="96"/>
    </row>
    <row r="12431" hidden="1">
      <c r="E12431" s="96"/>
    </row>
    <row r="12432" hidden="1">
      <c r="E12432" s="96"/>
    </row>
    <row r="12433" hidden="1">
      <c r="E12433" s="96"/>
    </row>
    <row r="12434" hidden="1">
      <c r="E12434" s="96"/>
    </row>
    <row r="12435" hidden="1">
      <c r="E12435" s="96"/>
    </row>
    <row r="12436" hidden="1">
      <c r="E12436" s="96"/>
    </row>
    <row r="12437" hidden="1">
      <c r="E12437" s="96"/>
    </row>
    <row r="12438" hidden="1">
      <c r="E12438" s="96"/>
    </row>
    <row r="12439" hidden="1">
      <c r="E12439" s="96"/>
    </row>
    <row r="12440" hidden="1">
      <c r="E12440" s="96"/>
    </row>
    <row r="12441" hidden="1">
      <c r="E12441" s="96"/>
    </row>
    <row r="12442" hidden="1">
      <c r="E12442" s="96"/>
    </row>
    <row r="12443" hidden="1">
      <c r="E12443" s="96"/>
    </row>
    <row r="12444" hidden="1">
      <c r="E12444" s="96"/>
    </row>
    <row r="12445" hidden="1">
      <c r="E12445" s="96"/>
    </row>
    <row r="12446" hidden="1">
      <c r="E12446" s="96"/>
    </row>
    <row r="12447" hidden="1">
      <c r="E12447" s="96"/>
    </row>
    <row r="12448" hidden="1">
      <c r="E12448" s="96"/>
    </row>
    <row r="12449" hidden="1">
      <c r="E12449" s="96"/>
    </row>
    <row r="12450" hidden="1">
      <c r="E12450" s="96"/>
    </row>
    <row r="12451" hidden="1">
      <c r="E12451" s="96"/>
    </row>
    <row r="12452" hidden="1">
      <c r="E12452" s="96"/>
    </row>
    <row r="12453" hidden="1">
      <c r="E12453" s="96"/>
    </row>
    <row r="12454" hidden="1">
      <c r="E12454" s="96"/>
    </row>
    <row r="12455" hidden="1">
      <c r="E12455" s="96"/>
    </row>
    <row r="12456" hidden="1">
      <c r="E12456" s="96"/>
    </row>
    <row r="12457" hidden="1">
      <c r="E12457" s="96"/>
    </row>
    <row r="12458" hidden="1">
      <c r="E12458" s="96"/>
    </row>
    <row r="12459" hidden="1">
      <c r="E12459" s="96"/>
    </row>
    <row r="12460" hidden="1">
      <c r="E12460" s="96"/>
    </row>
    <row r="12461" hidden="1">
      <c r="E12461" s="96"/>
    </row>
    <row r="12462" hidden="1">
      <c r="E12462" s="96"/>
    </row>
    <row r="12463" hidden="1">
      <c r="E12463" s="96"/>
    </row>
    <row r="12464" hidden="1">
      <c r="E12464" s="96"/>
    </row>
    <row r="12465" hidden="1">
      <c r="E12465" s="96"/>
    </row>
    <row r="12466" hidden="1">
      <c r="E12466" s="96"/>
    </row>
    <row r="12467" hidden="1">
      <c r="E12467" s="96"/>
    </row>
    <row r="12468" hidden="1">
      <c r="E12468" s="96"/>
    </row>
    <row r="12469" hidden="1">
      <c r="E12469" s="96"/>
    </row>
    <row r="12470" hidden="1">
      <c r="E12470" s="96"/>
    </row>
    <row r="12471" hidden="1">
      <c r="E12471" s="96"/>
    </row>
    <row r="12472" hidden="1">
      <c r="E12472" s="96"/>
    </row>
    <row r="12473" hidden="1">
      <c r="E12473" s="96"/>
    </row>
    <row r="12474" hidden="1">
      <c r="E12474" s="96"/>
    </row>
    <row r="12475" hidden="1">
      <c r="E12475" s="96"/>
    </row>
    <row r="12476" hidden="1">
      <c r="E12476" s="96"/>
    </row>
    <row r="12477" hidden="1">
      <c r="E12477" s="96"/>
    </row>
    <row r="12478" hidden="1">
      <c r="E12478" s="96"/>
    </row>
    <row r="12479" hidden="1">
      <c r="E12479" s="96"/>
    </row>
    <row r="12480" hidden="1">
      <c r="E12480" s="96"/>
    </row>
    <row r="12481" hidden="1">
      <c r="E12481" s="96"/>
    </row>
    <row r="12482" hidden="1">
      <c r="E12482" s="96"/>
    </row>
    <row r="12483" hidden="1">
      <c r="E12483" s="96"/>
    </row>
    <row r="12484" hidden="1">
      <c r="E12484" s="96"/>
    </row>
    <row r="12485" hidden="1">
      <c r="E12485" s="96"/>
    </row>
    <row r="12486" hidden="1">
      <c r="E12486" s="96"/>
    </row>
    <row r="12487" hidden="1">
      <c r="E12487" s="96"/>
    </row>
    <row r="12488" hidden="1">
      <c r="E12488" s="96"/>
    </row>
    <row r="12489" hidden="1">
      <c r="E12489" s="96"/>
    </row>
    <row r="12490" hidden="1">
      <c r="E12490" s="96"/>
    </row>
    <row r="12491" hidden="1">
      <c r="E12491" s="96"/>
    </row>
    <row r="12492" hidden="1">
      <c r="E12492" s="96"/>
    </row>
    <row r="12493" hidden="1">
      <c r="E12493" s="96"/>
    </row>
    <row r="12494" hidden="1">
      <c r="E12494" s="96"/>
    </row>
    <row r="12495" hidden="1">
      <c r="E12495" s="96"/>
    </row>
    <row r="12496" hidden="1">
      <c r="E12496" s="96"/>
    </row>
    <row r="12497" hidden="1">
      <c r="E12497" s="96"/>
    </row>
    <row r="12498" hidden="1">
      <c r="E12498" s="96"/>
    </row>
    <row r="12499" hidden="1">
      <c r="E12499" s="96"/>
    </row>
    <row r="12500" hidden="1">
      <c r="E12500" s="96"/>
    </row>
    <row r="12501" hidden="1">
      <c r="E12501" s="96"/>
    </row>
    <row r="12502" hidden="1">
      <c r="E12502" s="96"/>
    </row>
    <row r="12503" hidden="1">
      <c r="E12503" s="96"/>
    </row>
    <row r="12504" hidden="1">
      <c r="E12504" s="96"/>
    </row>
    <row r="12505" hidden="1">
      <c r="E12505" s="96"/>
    </row>
    <row r="12506" hidden="1">
      <c r="E12506" s="96"/>
    </row>
    <row r="12507" hidden="1">
      <c r="E12507" s="96"/>
    </row>
    <row r="12508" hidden="1">
      <c r="E12508" s="96"/>
    </row>
    <row r="12509" hidden="1">
      <c r="E12509" s="96"/>
    </row>
    <row r="12510" hidden="1">
      <c r="E12510" s="96"/>
    </row>
    <row r="12511" hidden="1">
      <c r="E12511" s="96"/>
    </row>
    <row r="12512" hidden="1">
      <c r="E12512" s="96"/>
    </row>
    <row r="12513" hidden="1">
      <c r="E12513" s="96"/>
    </row>
    <row r="12514" hidden="1">
      <c r="E12514" s="96"/>
    </row>
    <row r="12515" hidden="1">
      <c r="E12515" s="96"/>
    </row>
    <row r="12516" hidden="1">
      <c r="E12516" s="96"/>
    </row>
    <row r="12517" hidden="1">
      <c r="E12517" s="96"/>
    </row>
    <row r="12518" hidden="1">
      <c r="E12518" s="96"/>
    </row>
    <row r="12519" hidden="1">
      <c r="E12519" s="96"/>
    </row>
    <row r="12520" hidden="1">
      <c r="E12520" s="96"/>
    </row>
    <row r="12521" hidden="1">
      <c r="E12521" s="96"/>
    </row>
    <row r="12522" hidden="1">
      <c r="E12522" s="96"/>
    </row>
    <row r="12523" hidden="1">
      <c r="E12523" s="96"/>
    </row>
    <row r="12524" hidden="1">
      <c r="E12524" s="96"/>
    </row>
    <row r="12525" hidden="1">
      <c r="E12525" s="96"/>
    </row>
    <row r="12526" hidden="1">
      <c r="E12526" s="96"/>
    </row>
    <row r="12527" hidden="1">
      <c r="E12527" s="96"/>
    </row>
    <row r="12528" hidden="1">
      <c r="E12528" s="96"/>
    </row>
    <row r="12529" hidden="1">
      <c r="E12529" s="96"/>
    </row>
    <row r="12530" hidden="1">
      <c r="E12530" s="96"/>
    </row>
    <row r="12531" hidden="1">
      <c r="E12531" s="96"/>
    </row>
    <row r="12532" hidden="1">
      <c r="E12532" s="96"/>
    </row>
    <row r="12533" hidden="1">
      <c r="E12533" s="96"/>
    </row>
    <row r="12534" hidden="1">
      <c r="E12534" s="96"/>
    </row>
    <row r="12535" hidden="1">
      <c r="E12535" s="96"/>
    </row>
    <row r="12536" hidden="1">
      <c r="E12536" s="96"/>
    </row>
    <row r="12537" hidden="1">
      <c r="E12537" s="96"/>
    </row>
    <row r="12538" hidden="1">
      <c r="E12538" s="96"/>
    </row>
    <row r="12539" hidden="1">
      <c r="E12539" s="96"/>
    </row>
    <row r="12540" hidden="1">
      <c r="E12540" s="96"/>
    </row>
    <row r="12541" hidden="1">
      <c r="E12541" s="96"/>
    </row>
    <row r="12542" hidden="1">
      <c r="E12542" s="96"/>
    </row>
    <row r="12543" hidden="1">
      <c r="E12543" s="96"/>
    </row>
    <row r="12544" hidden="1">
      <c r="E12544" s="96"/>
    </row>
    <row r="12545" hidden="1">
      <c r="E12545" s="96"/>
    </row>
    <row r="12546" hidden="1">
      <c r="E12546" s="96"/>
    </row>
    <row r="12547" hidden="1">
      <c r="E12547" s="96"/>
    </row>
    <row r="12548" hidden="1">
      <c r="E12548" s="96"/>
    </row>
    <row r="12549" hidden="1">
      <c r="E12549" s="96"/>
    </row>
    <row r="12550" hidden="1">
      <c r="E12550" s="96"/>
    </row>
    <row r="12551" hidden="1">
      <c r="E12551" s="96"/>
    </row>
    <row r="12552" hidden="1">
      <c r="E12552" s="96"/>
    </row>
    <row r="12553" hidden="1">
      <c r="E12553" s="96"/>
    </row>
    <row r="12554" hidden="1">
      <c r="E12554" s="96"/>
    </row>
    <row r="12555" hidden="1">
      <c r="E12555" s="96"/>
    </row>
    <row r="12556" hidden="1">
      <c r="E12556" s="96"/>
    </row>
    <row r="12557" hidden="1">
      <c r="E12557" s="96"/>
    </row>
    <row r="12558" hidden="1">
      <c r="E12558" s="96"/>
    </row>
    <row r="12559" hidden="1">
      <c r="E12559" s="96"/>
    </row>
    <row r="12560" hidden="1">
      <c r="E12560" s="96"/>
    </row>
    <row r="12561" hidden="1">
      <c r="E12561" s="96"/>
    </row>
    <row r="12562" hidden="1">
      <c r="E12562" s="96"/>
    </row>
    <row r="12563" hidden="1">
      <c r="E12563" s="96"/>
    </row>
    <row r="12564" hidden="1">
      <c r="E12564" s="96"/>
    </row>
    <row r="12565" hidden="1">
      <c r="E12565" s="96"/>
    </row>
    <row r="12566" hidden="1">
      <c r="E12566" s="96"/>
    </row>
    <row r="12567" hidden="1">
      <c r="E12567" s="96"/>
    </row>
    <row r="12568" hidden="1">
      <c r="E12568" s="96"/>
    </row>
    <row r="12569" hidden="1">
      <c r="E12569" s="96"/>
    </row>
    <row r="12570" hidden="1">
      <c r="E12570" s="96"/>
    </row>
    <row r="12571" hidden="1">
      <c r="E12571" s="96"/>
    </row>
    <row r="12572" hidden="1">
      <c r="E12572" s="96"/>
    </row>
    <row r="12573" hidden="1">
      <c r="E12573" s="96"/>
    </row>
    <row r="12574" hidden="1">
      <c r="E12574" s="96"/>
    </row>
    <row r="12575" hidden="1">
      <c r="E12575" s="96"/>
    </row>
    <row r="12576" hidden="1">
      <c r="E12576" s="96"/>
    </row>
    <row r="12577" hidden="1">
      <c r="E12577" s="96"/>
    </row>
    <row r="12578" hidden="1">
      <c r="E12578" s="96"/>
    </row>
    <row r="12579" hidden="1">
      <c r="E12579" s="96"/>
    </row>
    <row r="12580" hidden="1">
      <c r="E12580" s="96"/>
    </row>
    <row r="12581" hidden="1">
      <c r="E12581" s="96"/>
    </row>
    <row r="12582" hidden="1">
      <c r="E12582" s="96"/>
    </row>
    <row r="12583" hidden="1">
      <c r="E12583" s="96"/>
    </row>
    <row r="12584" hidden="1">
      <c r="E12584" s="96"/>
    </row>
    <row r="12585" hidden="1">
      <c r="E12585" s="96"/>
    </row>
    <row r="12586" hidden="1">
      <c r="E12586" s="96"/>
    </row>
    <row r="12587" hidden="1">
      <c r="E12587" s="96"/>
    </row>
    <row r="12588" hidden="1">
      <c r="E12588" s="96"/>
    </row>
    <row r="12589" hidden="1">
      <c r="E12589" s="96"/>
    </row>
    <row r="12590" hidden="1">
      <c r="E12590" s="96"/>
    </row>
    <row r="12591" hidden="1">
      <c r="E12591" s="96"/>
    </row>
    <row r="12592" hidden="1">
      <c r="E12592" s="96"/>
    </row>
    <row r="12593" hidden="1">
      <c r="E12593" s="96"/>
    </row>
    <row r="12594" hidden="1">
      <c r="E12594" s="96"/>
    </row>
    <row r="12595" hidden="1">
      <c r="E12595" s="96"/>
    </row>
    <row r="12596" hidden="1">
      <c r="E12596" s="96"/>
    </row>
    <row r="12597" hidden="1">
      <c r="E12597" s="96"/>
    </row>
    <row r="12598" hidden="1">
      <c r="E12598" s="96"/>
    </row>
    <row r="12599" hidden="1">
      <c r="E12599" s="96"/>
    </row>
    <row r="12600" hidden="1">
      <c r="E12600" s="96"/>
    </row>
    <row r="12601" hidden="1">
      <c r="E12601" s="96"/>
    </row>
    <row r="12602" hidden="1">
      <c r="E12602" s="96"/>
    </row>
    <row r="12603" hidden="1">
      <c r="E12603" s="96"/>
    </row>
    <row r="12604" hidden="1">
      <c r="E12604" s="96"/>
    </row>
    <row r="12605" hidden="1">
      <c r="E12605" s="96"/>
    </row>
    <row r="12606" hidden="1">
      <c r="E12606" s="96"/>
    </row>
    <row r="12607" hidden="1">
      <c r="E12607" s="96"/>
    </row>
    <row r="12608" hidden="1">
      <c r="E12608" s="96"/>
    </row>
    <row r="12609" hidden="1">
      <c r="E12609" s="96"/>
    </row>
    <row r="12610" hidden="1">
      <c r="E12610" s="96"/>
    </row>
    <row r="12611" hidden="1">
      <c r="E12611" s="96"/>
    </row>
    <row r="12612" hidden="1">
      <c r="E12612" s="96"/>
    </row>
    <row r="12613" hidden="1">
      <c r="E12613" s="96"/>
    </row>
    <row r="12614" hidden="1">
      <c r="E12614" s="96"/>
    </row>
    <row r="12615" hidden="1">
      <c r="E12615" s="96"/>
    </row>
    <row r="12616" hidden="1">
      <c r="E12616" s="96"/>
    </row>
    <row r="12617" hidden="1">
      <c r="E12617" s="96"/>
    </row>
    <row r="12618" hidden="1">
      <c r="E12618" s="96"/>
    </row>
    <row r="12619" hidden="1">
      <c r="E12619" s="96"/>
    </row>
    <row r="12620" hidden="1">
      <c r="E12620" s="96"/>
    </row>
    <row r="12621" hidden="1">
      <c r="E12621" s="96"/>
    </row>
    <row r="12622" hidden="1">
      <c r="E12622" s="96"/>
    </row>
    <row r="12623" hidden="1">
      <c r="E12623" s="96"/>
    </row>
    <row r="12624" hidden="1">
      <c r="E12624" s="96"/>
    </row>
    <row r="12625" hidden="1">
      <c r="E12625" s="96"/>
    </row>
    <row r="12626" hidden="1">
      <c r="E12626" s="96"/>
    </row>
    <row r="12627" hidden="1">
      <c r="E12627" s="96"/>
    </row>
    <row r="12628" hidden="1">
      <c r="E12628" s="96"/>
    </row>
    <row r="12629" hidden="1">
      <c r="E12629" s="96"/>
    </row>
    <row r="12630" hidden="1">
      <c r="E12630" s="96"/>
    </row>
    <row r="12631" hidden="1">
      <c r="E12631" s="96"/>
    </row>
    <row r="12632" hidden="1">
      <c r="E12632" s="96"/>
    </row>
    <row r="12633" hidden="1">
      <c r="E12633" s="96"/>
    </row>
    <row r="12634" hidden="1">
      <c r="E12634" s="96"/>
    </row>
    <row r="12635" hidden="1">
      <c r="E12635" s="96"/>
    </row>
    <row r="12636" hidden="1">
      <c r="E12636" s="96"/>
    </row>
    <row r="12637" hidden="1">
      <c r="E12637" s="96"/>
    </row>
    <row r="12638" hidden="1">
      <c r="E12638" s="96"/>
    </row>
    <row r="12639" hidden="1">
      <c r="E12639" s="96"/>
    </row>
    <row r="12640" hidden="1">
      <c r="E12640" s="96"/>
    </row>
    <row r="12641" hidden="1">
      <c r="E12641" s="96"/>
    </row>
    <row r="12642" hidden="1">
      <c r="E12642" s="96"/>
    </row>
    <row r="12643" hidden="1">
      <c r="E12643" s="96"/>
    </row>
    <row r="12644" hidden="1">
      <c r="E12644" s="96"/>
    </row>
    <row r="12645" hidden="1">
      <c r="E12645" s="96"/>
    </row>
    <row r="12646" hidden="1">
      <c r="E12646" s="96"/>
    </row>
    <row r="12647" hidden="1">
      <c r="E12647" s="96"/>
    </row>
    <row r="12648" hidden="1">
      <c r="E12648" s="96"/>
    </row>
    <row r="12649" hidden="1">
      <c r="E12649" s="96"/>
    </row>
    <row r="12650" hidden="1">
      <c r="E12650" s="96"/>
    </row>
    <row r="12651" hidden="1">
      <c r="E12651" s="96"/>
    </row>
    <row r="12652" hidden="1">
      <c r="E12652" s="96"/>
    </row>
    <row r="12653" hidden="1">
      <c r="E12653" s="96"/>
    </row>
    <row r="12654" hidden="1">
      <c r="E12654" s="96"/>
    </row>
    <row r="12655" hidden="1">
      <c r="E12655" s="96"/>
    </row>
    <row r="12656" hidden="1">
      <c r="E12656" s="96"/>
    </row>
    <row r="12657" hidden="1">
      <c r="E12657" s="96"/>
    </row>
    <row r="12658" hidden="1">
      <c r="E12658" s="96"/>
    </row>
    <row r="12659" hidden="1">
      <c r="E12659" s="96"/>
    </row>
    <row r="12660" hidden="1">
      <c r="E12660" s="96"/>
    </row>
    <row r="12661" hidden="1">
      <c r="E12661" s="96"/>
    </row>
    <row r="12662" hidden="1">
      <c r="E12662" s="96"/>
    </row>
    <row r="12663" hidden="1">
      <c r="E12663" s="96"/>
    </row>
    <row r="12664" hidden="1">
      <c r="E12664" s="96"/>
    </row>
    <row r="12665" hidden="1">
      <c r="E12665" s="96"/>
    </row>
    <row r="12666" hidden="1">
      <c r="E12666" s="96"/>
    </row>
    <row r="12667" hidden="1">
      <c r="E12667" s="96"/>
    </row>
    <row r="12668" hidden="1">
      <c r="E12668" s="96"/>
    </row>
    <row r="12669" hidden="1">
      <c r="E12669" s="96"/>
    </row>
    <row r="12670" hidden="1">
      <c r="E12670" s="96"/>
    </row>
    <row r="12671" hidden="1">
      <c r="E12671" s="96"/>
    </row>
    <row r="12672" hidden="1">
      <c r="E12672" s="96"/>
    </row>
    <row r="12673" hidden="1">
      <c r="E12673" s="96"/>
    </row>
    <row r="12674" hidden="1">
      <c r="E12674" s="96"/>
    </row>
    <row r="12675" hidden="1">
      <c r="E12675" s="96"/>
    </row>
    <row r="12676" hidden="1">
      <c r="E12676" s="96"/>
    </row>
    <row r="12677" hidden="1">
      <c r="E12677" s="96"/>
    </row>
    <row r="12678" hidden="1">
      <c r="E12678" s="96"/>
    </row>
    <row r="12679" hidden="1">
      <c r="E12679" s="96"/>
    </row>
    <row r="12680" hidden="1">
      <c r="E12680" s="96"/>
    </row>
    <row r="12681" hidden="1">
      <c r="E12681" s="96"/>
    </row>
    <row r="12682" hidden="1">
      <c r="E12682" s="96"/>
    </row>
    <row r="12683" hidden="1">
      <c r="E12683" s="96"/>
    </row>
    <row r="12684" hidden="1">
      <c r="E12684" s="96"/>
    </row>
    <row r="12685" hidden="1">
      <c r="E12685" s="96"/>
    </row>
    <row r="12686" hidden="1">
      <c r="E12686" s="96"/>
    </row>
    <row r="12687" hidden="1">
      <c r="E12687" s="96"/>
    </row>
    <row r="12688" hidden="1">
      <c r="E12688" s="96"/>
    </row>
    <row r="12689" hidden="1">
      <c r="E12689" s="96"/>
    </row>
    <row r="12690" hidden="1">
      <c r="E12690" s="96"/>
    </row>
    <row r="12691" hidden="1">
      <c r="E12691" s="96"/>
    </row>
    <row r="12692" hidden="1">
      <c r="E12692" s="96"/>
    </row>
    <row r="12693" hidden="1">
      <c r="E12693" s="96"/>
    </row>
    <row r="12694" hidden="1">
      <c r="E12694" s="96"/>
    </row>
    <row r="12695" hidden="1">
      <c r="E12695" s="96"/>
    </row>
    <row r="12696" hidden="1">
      <c r="E12696" s="96"/>
    </row>
    <row r="12697" hidden="1">
      <c r="E12697" s="96"/>
    </row>
    <row r="12698" hidden="1">
      <c r="E12698" s="96"/>
    </row>
    <row r="12699" hidden="1">
      <c r="E12699" s="96"/>
    </row>
    <row r="12700" hidden="1">
      <c r="E12700" s="96"/>
    </row>
    <row r="12701" hidden="1">
      <c r="E12701" s="96"/>
    </row>
    <row r="12702" hidden="1">
      <c r="E12702" s="96"/>
    </row>
    <row r="12703" hidden="1">
      <c r="E12703" s="96"/>
    </row>
    <row r="12704" hidden="1">
      <c r="E12704" s="96"/>
    </row>
    <row r="12705" hidden="1">
      <c r="E12705" s="96"/>
    </row>
    <row r="12706" hidden="1">
      <c r="E12706" s="96"/>
    </row>
    <row r="12707" hidden="1">
      <c r="E12707" s="96"/>
    </row>
    <row r="12708" hidden="1">
      <c r="E12708" s="96"/>
    </row>
    <row r="12709" hidden="1">
      <c r="E12709" s="96"/>
    </row>
    <row r="12710" hidden="1">
      <c r="E12710" s="96"/>
    </row>
    <row r="12711" hidden="1">
      <c r="E12711" s="96"/>
    </row>
    <row r="12712" hidden="1">
      <c r="E12712" s="96"/>
    </row>
    <row r="12713" hidden="1">
      <c r="E12713" s="96"/>
    </row>
    <row r="12714" hidden="1">
      <c r="E12714" s="96"/>
    </row>
    <row r="12715" hidden="1">
      <c r="E12715" s="96"/>
    </row>
    <row r="12716" hidden="1">
      <c r="E12716" s="96"/>
    </row>
    <row r="12717" hidden="1">
      <c r="E12717" s="96"/>
    </row>
    <row r="12718" hidden="1">
      <c r="E12718" s="96"/>
    </row>
    <row r="12719" hidden="1">
      <c r="E12719" s="96"/>
    </row>
    <row r="12720" hidden="1">
      <c r="E12720" s="96"/>
    </row>
    <row r="12721" hidden="1">
      <c r="E12721" s="96"/>
    </row>
    <row r="12722" hidden="1">
      <c r="E12722" s="96"/>
    </row>
    <row r="12723" hidden="1">
      <c r="E12723" s="96"/>
    </row>
    <row r="12724" hidden="1">
      <c r="E12724" s="96"/>
    </row>
    <row r="12725" hidden="1">
      <c r="E12725" s="96"/>
    </row>
    <row r="12726" hidden="1">
      <c r="E12726" s="96"/>
    </row>
    <row r="12727" hidden="1">
      <c r="E12727" s="96"/>
    </row>
    <row r="12728" hidden="1">
      <c r="E12728" s="96"/>
    </row>
    <row r="12729" hidden="1">
      <c r="E12729" s="96"/>
    </row>
    <row r="12730" hidden="1">
      <c r="E12730" s="96"/>
    </row>
    <row r="12731" hidden="1">
      <c r="E12731" s="96"/>
    </row>
    <row r="12732" hidden="1">
      <c r="E12732" s="96"/>
    </row>
    <row r="12733" hidden="1">
      <c r="E12733" s="96"/>
    </row>
    <row r="12734" hidden="1">
      <c r="E12734" s="96"/>
    </row>
    <row r="12735" hidden="1">
      <c r="E12735" s="96"/>
    </row>
    <row r="12736" hidden="1">
      <c r="E12736" s="96"/>
    </row>
    <row r="12737" hidden="1">
      <c r="E12737" s="96"/>
    </row>
    <row r="12738" hidden="1">
      <c r="E12738" s="96"/>
    </row>
    <row r="12739" hidden="1">
      <c r="E12739" s="96"/>
    </row>
    <row r="12740" hidden="1">
      <c r="E12740" s="96"/>
    </row>
    <row r="12741" hidden="1">
      <c r="E12741" s="96"/>
    </row>
    <row r="12742" hidden="1">
      <c r="E12742" s="96"/>
    </row>
    <row r="12743" hidden="1">
      <c r="E12743" s="96"/>
    </row>
    <row r="12744" hidden="1">
      <c r="E12744" s="96"/>
    </row>
    <row r="12745" hidden="1">
      <c r="E12745" s="96"/>
    </row>
    <row r="12746" hidden="1">
      <c r="E12746" s="96"/>
    </row>
    <row r="12747" hidden="1">
      <c r="E12747" s="96"/>
    </row>
    <row r="12748" hidden="1">
      <c r="E12748" s="96"/>
    </row>
    <row r="12749" hidden="1">
      <c r="E12749" s="96"/>
    </row>
    <row r="12750" hidden="1">
      <c r="E12750" s="96"/>
    </row>
    <row r="12751" hidden="1">
      <c r="E12751" s="96"/>
    </row>
    <row r="12752" hidden="1">
      <c r="E12752" s="96"/>
    </row>
    <row r="12753" hidden="1">
      <c r="E12753" s="96"/>
    </row>
    <row r="12754" hidden="1">
      <c r="E12754" s="96"/>
    </row>
    <row r="12755" hidden="1">
      <c r="E12755" s="96"/>
    </row>
    <row r="12756" hidden="1">
      <c r="E12756" s="96"/>
    </row>
    <row r="12757" hidden="1">
      <c r="E12757" s="96"/>
    </row>
    <row r="12758" hidden="1">
      <c r="E12758" s="96"/>
    </row>
    <row r="12759" hidden="1">
      <c r="E12759" s="96"/>
    </row>
    <row r="12760" hidden="1">
      <c r="E12760" s="96"/>
    </row>
    <row r="12761" hidden="1">
      <c r="E12761" s="96"/>
    </row>
    <row r="12762" hidden="1">
      <c r="E12762" s="96"/>
    </row>
    <row r="12763" hidden="1">
      <c r="E12763" s="96"/>
    </row>
    <row r="12764" hidden="1">
      <c r="E12764" s="96"/>
    </row>
    <row r="12765" hidden="1">
      <c r="E12765" s="96"/>
    </row>
    <row r="12766" hidden="1">
      <c r="E12766" s="96"/>
    </row>
    <row r="12767" hidden="1">
      <c r="E12767" s="96"/>
    </row>
    <row r="12768" hidden="1">
      <c r="E12768" s="96"/>
    </row>
    <row r="12769" hidden="1">
      <c r="E12769" s="96"/>
    </row>
    <row r="12770" hidden="1">
      <c r="E12770" s="96"/>
    </row>
    <row r="12771" hidden="1">
      <c r="E12771" s="96"/>
    </row>
    <row r="12772" hidden="1">
      <c r="E12772" s="96"/>
    </row>
    <row r="12773" hidden="1">
      <c r="E12773" s="96"/>
    </row>
    <row r="12774" hidden="1">
      <c r="E12774" s="96"/>
    </row>
    <row r="12775" hidden="1">
      <c r="E12775" s="96"/>
    </row>
    <row r="12776" hidden="1">
      <c r="E12776" s="96"/>
    </row>
    <row r="12777" hidden="1">
      <c r="E12777" s="96"/>
    </row>
    <row r="12778" hidden="1">
      <c r="E12778" s="96"/>
    </row>
    <row r="12779" hidden="1">
      <c r="E12779" s="96"/>
    </row>
    <row r="12780" hidden="1">
      <c r="E12780" s="96"/>
    </row>
    <row r="12781" hidden="1">
      <c r="E12781" s="96"/>
    </row>
    <row r="12782" hidden="1">
      <c r="E12782" s="96"/>
    </row>
    <row r="12783" hidden="1">
      <c r="E12783" s="96"/>
    </row>
    <row r="12784" hidden="1">
      <c r="E12784" s="96"/>
    </row>
    <row r="12785" hidden="1">
      <c r="E12785" s="96"/>
    </row>
    <row r="12786" hidden="1">
      <c r="E12786" s="96"/>
    </row>
    <row r="12787" hidden="1">
      <c r="E12787" s="96"/>
    </row>
    <row r="12788" hidden="1">
      <c r="E12788" s="96"/>
    </row>
    <row r="12789" hidden="1">
      <c r="E12789" s="96"/>
    </row>
    <row r="12790" hidden="1">
      <c r="E12790" s="96"/>
    </row>
    <row r="12791" hidden="1">
      <c r="E12791" s="96"/>
    </row>
    <row r="12792" hidden="1">
      <c r="E12792" s="96"/>
    </row>
    <row r="12793" hidden="1">
      <c r="E12793" s="96"/>
    </row>
    <row r="12794" hidden="1">
      <c r="E12794" s="96"/>
    </row>
    <row r="12795" hidden="1">
      <c r="E12795" s="96"/>
    </row>
    <row r="12796" hidden="1">
      <c r="E12796" s="96"/>
    </row>
    <row r="12797" hidden="1">
      <c r="E12797" s="96"/>
    </row>
    <row r="12798" hidden="1">
      <c r="E12798" s="96"/>
    </row>
    <row r="12799" hidden="1">
      <c r="E12799" s="96"/>
    </row>
    <row r="12800" hidden="1">
      <c r="E12800" s="96"/>
    </row>
    <row r="12801" hidden="1">
      <c r="E12801" s="96"/>
    </row>
    <row r="12802" hidden="1">
      <c r="E12802" s="96"/>
    </row>
    <row r="12803" hidden="1">
      <c r="E12803" s="96"/>
    </row>
    <row r="12804" hidden="1">
      <c r="E12804" s="96"/>
    </row>
    <row r="12805" hidden="1">
      <c r="E12805" s="96"/>
    </row>
    <row r="12806" hidden="1">
      <c r="E12806" s="96"/>
    </row>
    <row r="12807" hidden="1">
      <c r="E12807" s="96"/>
    </row>
    <row r="12808" hidden="1">
      <c r="E12808" s="96"/>
    </row>
    <row r="12809" hidden="1">
      <c r="E12809" s="96"/>
    </row>
    <row r="12810" hidden="1">
      <c r="E12810" s="96"/>
    </row>
    <row r="12811" hidden="1">
      <c r="E12811" s="96"/>
    </row>
    <row r="12812" hidden="1">
      <c r="E12812" s="96"/>
    </row>
    <row r="12813" hidden="1">
      <c r="E12813" s="96"/>
    </row>
    <row r="12814" hidden="1">
      <c r="E12814" s="96"/>
    </row>
    <row r="12815" hidden="1">
      <c r="E12815" s="96"/>
    </row>
    <row r="12816" hidden="1">
      <c r="E12816" s="96"/>
    </row>
    <row r="12817" hidden="1">
      <c r="E12817" s="96"/>
    </row>
    <row r="12818" hidden="1">
      <c r="E12818" s="96"/>
    </row>
    <row r="12819" hidden="1">
      <c r="E12819" s="96"/>
    </row>
    <row r="12820" hidden="1">
      <c r="E12820" s="96"/>
    </row>
    <row r="12821" hidden="1">
      <c r="E12821" s="96"/>
    </row>
    <row r="12822" hidden="1">
      <c r="E12822" s="96"/>
    </row>
    <row r="12823" hidden="1">
      <c r="E12823" s="96"/>
    </row>
    <row r="12824" hidden="1">
      <c r="E12824" s="96"/>
    </row>
    <row r="12825" hidden="1">
      <c r="E12825" s="96"/>
    </row>
    <row r="12826" hidden="1">
      <c r="E12826" s="96"/>
    </row>
    <row r="12827" hidden="1">
      <c r="E12827" s="96"/>
    </row>
    <row r="12828" hidden="1">
      <c r="E12828" s="96"/>
    </row>
    <row r="12829" hidden="1">
      <c r="E12829" s="96"/>
    </row>
    <row r="12830" hidden="1">
      <c r="E12830" s="96"/>
    </row>
    <row r="12831" hidden="1">
      <c r="E12831" s="96"/>
    </row>
    <row r="12832" hidden="1">
      <c r="E12832" s="96"/>
    </row>
    <row r="12833" hidden="1">
      <c r="E12833" s="96"/>
    </row>
    <row r="12834" hidden="1">
      <c r="E12834" s="96"/>
    </row>
    <row r="12835" hidden="1">
      <c r="E12835" s="96"/>
    </row>
    <row r="12836" hidden="1">
      <c r="E12836" s="96"/>
    </row>
    <row r="12837" hidden="1">
      <c r="E12837" s="96"/>
    </row>
    <row r="12838" hidden="1">
      <c r="E12838" s="96"/>
    </row>
    <row r="12839" hidden="1">
      <c r="E12839" s="96"/>
    </row>
    <row r="12840" hidden="1">
      <c r="E12840" s="96"/>
    </row>
    <row r="12841" hidden="1">
      <c r="E12841" s="96"/>
    </row>
    <row r="12842" hidden="1">
      <c r="E12842" s="96"/>
    </row>
    <row r="12843" hidden="1">
      <c r="E12843" s="96"/>
    </row>
    <row r="12844" hidden="1">
      <c r="E12844" s="96"/>
    </row>
    <row r="12845" hidden="1">
      <c r="E12845" s="96"/>
    </row>
    <row r="12846" hidden="1">
      <c r="E12846" s="96"/>
    </row>
    <row r="12847" hidden="1">
      <c r="E12847" s="96"/>
    </row>
    <row r="12848" hidden="1">
      <c r="E12848" s="96"/>
    </row>
    <row r="12849" hidden="1">
      <c r="E12849" s="96"/>
    </row>
    <row r="12850" hidden="1">
      <c r="E12850" s="96"/>
    </row>
    <row r="12851" hidden="1">
      <c r="E12851" s="96"/>
    </row>
    <row r="12852" hidden="1">
      <c r="E12852" s="96"/>
    </row>
    <row r="12853" hidden="1">
      <c r="E12853" s="96"/>
    </row>
    <row r="12854" hidden="1">
      <c r="E12854" s="96"/>
    </row>
    <row r="12855" hidden="1">
      <c r="E12855" s="96"/>
    </row>
    <row r="12856" hidden="1">
      <c r="E12856" s="96"/>
    </row>
    <row r="12857" hidden="1">
      <c r="E12857" s="96"/>
    </row>
    <row r="12858" hidden="1">
      <c r="E12858" s="96"/>
    </row>
    <row r="12859" hidden="1">
      <c r="E12859" s="96"/>
    </row>
    <row r="12860" hidden="1">
      <c r="E12860" s="96"/>
    </row>
    <row r="12861" hidden="1">
      <c r="E12861" s="96"/>
    </row>
    <row r="12862" hidden="1">
      <c r="E12862" s="96"/>
    </row>
    <row r="12863" hidden="1">
      <c r="E12863" s="96"/>
    </row>
    <row r="12864" hidden="1">
      <c r="E12864" s="96"/>
    </row>
    <row r="12865" hidden="1">
      <c r="E12865" s="96"/>
    </row>
    <row r="12866" hidden="1">
      <c r="E12866" s="96"/>
    </row>
    <row r="12867" hidden="1">
      <c r="E12867" s="96"/>
    </row>
    <row r="12868" hidden="1">
      <c r="E12868" s="96"/>
    </row>
    <row r="12869" hidden="1">
      <c r="E12869" s="96"/>
    </row>
    <row r="12870" hidden="1">
      <c r="E12870" s="96"/>
    </row>
    <row r="12871" hidden="1">
      <c r="E12871" s="96"/>
    </row>
    <row r="12872" hidden="1">
      <c r="E12872" s="96"/>
    </row>
    <row r="12873" hidden="1">
      <c r="E12873" s="96"/>
    </row>
    <row r="12874" hidden="1">
      <c r="E12874" s="96"/>
    </row>
    <row r="12875" hidden="1">
      <c r="E12875" s="96"/>
    </row>
    <row r="12876" hidden="1">
      <c r="E12876" s="96"/>
    </row>
    <row r="12877" hidden="1">
      <c r="E12877" s="96"/>
    </row>
    <row r="12878" hidden="1">
      <c r="E12878" s="96"/>
    </row>
    <row r="12879" hidden="1">
      <c r="E12879" s="96"/>
    </row>
    <row r="12880" hidden="1">
      <c r="E12880" s="96"/>
    </row>
    <row r="12881" hidden="1">
      <c r="E12881" s="96"/>
    </row>
    <row r="12882" hidden="1">
      <c r="E12882" s="96"/>
    </row>
    <row r="12883" hidden="1">
      <c r="E12883" s="96"/>
    </row>
    <row r="12884" hidden="1">
      <c r="E12884" s="96"/>
    </row>
    <row r="12885" hidden="1">
      <c r="E12885" s="96"/>
    </row>
    <row r="12886" hidden="1">
      <c r="E12886" s="96"/>
    </row>
    <row r="12887" hidden="1">
      <c r="E12887" s="96"/>
    </row>
    <row r="12888" hidden="1">
      <c r="E12888" s="96"/>
    </row>
    <row r="12889" hidden="1">
      <c r="E12889" s="96"/>
    </row>
    <row r="12890" hidden="1">
      <c r="E12890" s="96"/>
    </row>
    <row r="12891" hidden="1">
      <c r="E12891" s="96"/>
    </row>
    <row r="12892" hidden="1">
      <c r="E12892" s="96"/>
    </row>
    <row r="12893" hidden="1">
      <c r="E12893" s="96"/>
    </row>
    <row r="12894" hidden="1">
      <c r="E12894" s="96"/>
    </row>
    <row r="12895" hidden="1">
      <c r="E12895" s="96"/>
    </row>
    <row r="12896" hidden="1">
      <c r="E12896" s="96"/>
    </row>
    <row r="12897" hidden="1">
      <c r="E12897" s="96"/>
    </row>
    <row r="12898" hidden="1">
      <c r="E12898" s="96"/>
    </row>
    <row r="12899" hidden="1">
      <c r="E12899" s="96"/>
    </row>
    <row r="12900" hidden="1">
      <c r="E12900" s="96"/>
    </row>
    <row r="12901" hidden="1">
      <c r="E12901" s="96"/>
    </row>
    <row r="12902" hidden="1">
      <c r="E12902" s="96"/>
    </row>
    <row r="12903" hidden="1">
      <c r="E12903" s="96"/>
    </row>
    <row r="12904" hidden="1">
      <c r="E12904" s="96"/>
    </row>
    <row r="12905" hidden="1">
      <c r="E12905" s="96"/>
    </row>
    <row r="12906" hidden="1">
      <c r="E12906" s="96"/>
    </row>
    <row r="12907" hidden="1">
      <c r="E12907" s="96"/>
    </row>
    <row r="12908" hidden="1">
      <c r="E12908" s="96"/>
    </row>
    <row r="12909" hidden="1">
      <c r="E12909" s="96"/>
    </row>
    <row r="12910" hidden="1">
      <c r="E12910" s="96"/>
    </row>
    <row r="12911" hidden="1">
      <c r="E12911" s="96"/>
    </row>
    <row r="12912" hidden="1">
      <c r="E12912" s="96"/>
    </row>
    <row r="12913" hidden="1">
      <c r="E12913" s="96"/>
    </row>
    <row r="12914" hidden="1">
      <c r="E12914" s="96"/>
    </row>
    <row r="12915" hidden="1">
      <c r="E12915" s="96"/>
    </row>
    <row r="12916" hidden="1">
      <c r="E12916" s="96"/>
    </row>
    <row r="12917" hidden="1">
      <c r="E12917" s="96"/>
    </row>
    <row r="12918" hidden="1">
      <c r="E12918" s="96"/>
    </row>
    <row r="12919" hidden="1">
      <c r="E12919" s="96"/>
    </row>
    <row r="12920" hidden="1">
      <c r="E12920" s="96"/>
    </row>
    <row r="12921" hidden="1">
      <c r="E12921" s="96"/>
    </row>
    <row r="12922" hidden="1">
      <c r="E12922" s="96"/>
    </row>
    <row r="12923" hidden="1">
      <c r="E12923" s="96"/>
    </row>
    <row r="12924" hidden="1">
      <c r="E12924" s="96"/>
    </row>
    <row r="12925" hidden="1">
      <c r="E12925" s="96"/>
    </row>
    <row r="12926" hidden="1">
      <c r="E12926" s="96"/>
    </row>
    <row r="12927" hidden="1">
      <c r="E12927" s="96"/>
    </row>
    <row r="12928" hidden="1">
      <c r="E12928" s="96"/>
    </row>
    <row r="12929" hidden="1">
      <c r="E12929" s="96"/>
    </row>
    <row r="12930" hidden="1">
      <c r="E12930" s="96"/>
    </row>
    <row r="12931" hidden="1">
      <c r="E12931" s="96"/>
    </row>
    <row r="12932" hidden="1">
      <c r="E12932" s="96"/>
    </row>
    <row r="12933" hidden="1">
      <c r="E12933" s="96"/>
    </row>
    <row r="12934" hidden="1">
      <c r="E12934" s="96"/>
    </row>
    <row r="12935" hidden="1">
      <c r="E12935" s="96"/>
    </row>
    <row r="12936" hidden="1">
      <c r="E12936" s="96"/>
    </row>
    <row r="12937" hidden="1">
      <c r="E12937" s="96"/>
    </row>
    <row r="12938" hidden="1">
      <c r="E12938" s="96"/>
    </row>
    <row r="12939" hidden="1">
      <c r="E12939" s="96"/>
    </row>
    <row r="12940" hidden="1">
      <c r="E12940" s="96"/>
    </row>
    <row r="12941" hidden="1">
      <c r="E12941" s="96"/>
    </row>
    <row r="12942" hidden="1">
      <c r="E12942" s="96"/>
    </row>
    <row r="12943" hidden="1">
      <c r="E12943" s="96"/>
    </row>
    <row r="12944" hidden="1">
      <c r="E12944" s="96"/>
    </row>
    <row r="12945" hidden="1">
      <c r="E12945" s="96"/>
    </row>
    <row r="12946" hidden="1">
      <c r="E12946" s="96"/>
    </row>
    <row r="12947" hidden="1">
      <c r="E12947" s="96"/>
    </row>
    <row r="12948" hidden="1">
      <c r="E12948" s="96"/>
    </row>
    <row r="12949" hidden="1">
      <c r="E12949" s="96"/>
    </row>
    <row r="12950" hidden="1">
      <c r="E12950" s="96"/>
    </row>
    <row r="12951" hidden="1">
      <c r="E12951" s="96"/>
    </row>
    <row r="12952" hidden="1">
      <c r="E12952" s="96"/>
    </row>
    <row r="12953" hidden="1">
      <c r="E12953" s="96"/>
    </row>
    <row r="12954" hidden="1">
      <c r="E12954" s="96"/>
    </row>
    <row r="12955" hidden="1">
      <c r="E12955" s="96"/>
    </row>
    <row r="12956" hidden="1">
      <c r="E12956" s="96"/>
    </row>
    <row r="12957" hidden="1">
      <c r="E12957" s="96"/>
    </row>
    <row r="12958" hidden="1">
      <c r="E12958" s="96"/>
    </row>
    <row r="12959" hidden="1">
      <c r="E12959" s="96"/>
    </row>
    <row r="12960" hidden="1">
      <c r="E12960" s="96"/>
    </row>
    <row r="12961" hidden="1">
      <c r="E12961" s="96"/>
    </row>
    <row r="12962" hidden="1">
      <c r="E12962" s="96"/>
    </row>
    <row r="12963" hidden="1">
      <c r="E12963" s="96"/>
    </row>
    <row r="12964" hidden="1">
      <c r="E12964" s="96"/>
    </row>
    <row r="12965" hidden="1">
      <c r="E12965" s="96"/>
    </row>
    <row r="12966" hidden="1">
      <c r="E12966" s="96"/>
    </row>
    <row r="12967" hidden="1">
      <c r="E12967" s="96"/>
    </row>
    <row r="12968" hidden="1">
      <c r="E12968" s="96"/>
    </row>
    <row r="12969" hidden="1">
      <c r="E12969" s="96"/>
    </row>
    <row r="12970" hidden="1">
      <c r="E12970" s="96"/>
    </row>
    <row r="12971" hidden="1">
      <c r="E12971" s="96"/>
    </row>
    <row r="12972" hidden="1">
      <c r="E12972" s="96"/>
    </row>
    <row r="12973" hidden="1">
      <c r="E12973" s="96"/>
    </row>
    <row r="12974" hidden="1">
      <c r="E12974" s="96"/>
    </row>
    <row r="12975" hidden="1">
      <c r="E12975" s="96"/>
    </row>
    <row r="12976" hidden="1">
      <c r="E12976" s="96"/>
    </row>
    <row r="12977" hidden="1">
      <c r="E12977" s="96"/>
    </row>
    <row r="12978" hidden="1">
      <c r="E12978" s="96"/>
    </row>
    <row r="12979" hidden="1">
      <c r="E12979" s="96"/>
    </row>
    <row r="12980" hidden="1">
      <c r="E12980" s="96"/>
    </row>
    <row r="12981" hidden="1">
      <c r="E12981" s="96"/>
    </row>
    <row r="12982" hidden="1">
      <c r="E12982" s="96"/>
    </row>
    <row r="12983" hidden="1">
      <c r="E12983" s="96"/>
    </row>
    <row r="12984" hidden="1">
      <c r="E12984" s="96"/>
    </row>
    <row r="12985" hidden="1">
      <c r="E12985" s="96"/>
    </row>
    <row r="12986" hidden="1">
      <c r="E12986" s="96"/>
    </row>
    <row r="12987" hidden="1">
      <c r="E12987" s="96"/>
    </row>
    <row r="12988" hidden="1">
      <c r="E12988" s="96"/>
    </row>
    <row r="12989" hidden="1">
      <c r="E12989" s="96"/>
    </row>
    <row r="12990" hidden="1">
      <c r="E12990" s="96"/>
    </row>
    <row r="12991" hidden="1">
      <c r="E12991" s="96"/>
    </row>
    <row r="12992" hidden="1">
      <c r="E12992" s="96"/>
    </row>
    <row r="12993" hidden="1">
      <c r="E12993" s="96"/>
    </row>
    <row r="12994" hidden="1">
      <c r="E12994" s="96"/>
    </row>
    <row r="12995" hidden="1">
      <c r="E12995" s="96"/>
    </row>
    <row r="12996" hidden="1">
      <c r="E12996" s="96"/>
    </row>
    <row r="12997" hidden="1">
      <c r="E12997" s="96"/>
    </row>
    <row r="12998" hidden="1">
      <c r="E12998" s="96"/>
    </row>
    <row r="12999" hidden="1">
      <c r="E12999" s="96"/>
    </row>
    <row r="13000" hidden="1">
      <c r="E13000" s="96"/>
    </row>
    <row r="13001" hidden="1">
      <c r="E13001" s="96"/>
    </row>
    <row r="13002" hidden="1">
      <c r="E13002" s="96"/>
    </row>
    <row r="13003" hidden="1">
      <c r="E13003" s="96"/>
    </row>
    <row r="13004" hidden="1">
      <c r="E13004" s="96"/>
    </row>
    <row r="13005" hidden="1">
      <c r="E13005" s="96"/>
    </row>
    <row r="13006" hidden="1">
      <c r="E13006" s="96"/>
    </row>
    <row r="13007" hidden="1">
      <c r="E13007" s="96"/>
    </row>
    <row r="13008" hidden="1">
      <c r="E13008" s="96"/>
    </row>
    <row r="13009" hidden="1">
      <c r="E13009" s="96"/>
    </row>
    <row r="13010" hidden="1">
      <c r="E13010" s="96"/>
    </row>
    <row r="13011" hidden="1">
      <c r="E13011" s="96"/>
    </row>
    <row r="13012" hidden="1">
      <c r="E13012" s="96"/>
    </row>
    <row r="13013" hidden="1">
      <c r="E13013" s="96"/>
    </row>
    <row r="13014" hidden="1">
      <c r="E13014" s="96"/>
    </row>
    <row r="13015" hidden="1">
      <c r="E13015" s="96"/>
    </row>
    <row r="13016" hidden="1">
      <c r="E13016" s="96"/>
    </row>
    <row r="13017" hidden="1">
      <c r="E13017" s="96"/>
    </row>
    <row r="13018" hidden="1">
      <c r="E13018" s="96"/>
    </row>
    <row r="13019" hidden="1">
      <c r="E13019" s="96"/>
    </row>
    <row r="13020" hidden="1">
      <c r="E13020" s="96"/>
    </row>
    <row r="13021" hidden="1">
      <c r="E13021" s="96"/>
    </row>
    <row r="13022" hidden="1">
      <c r="E13022" s="96"/>
    </row>
    <row r="13023" hidden="1">
      <c r="E13023" s="96"/>
    </row>
    <row r="13024" hidden="1">
      <c r="E13024" s="96"/>
    </row>
    <row r="13025" hidden="1">
      <c r="E13025" s="96"/>
    </row>
    <row r="13026" hidden="1">
      <c r="E13026" s="96"/>
    </row>
    <row r="13027" hidden="1">
      <c r="E13027" s="96"/>
    </row>
    <row r="13028" hidden="1">
      <c r="E13028" s="96"/>
    </row>
    <row r="13029" hidden="1">
      <c r="E13029" s="96"/>
    </row>
    <row r="13030" hidden="1">
      <c r="E13030" s="96"/>
    </row>
    <row r="13031" hidden="1">
      <c r="E13031" s="96"/>
    </row>
    <row r="13032" hidden="1">
      <c r="E13032" s="96"/>
    </row>
    <row r="13033" hidden="1">
      <c r="E13033" s="96"/>
    </row>
    <row r="13034" hidden="1">
      <c r="E13034" s="96"/>
    </row>
    <row r="13035" hidden="1">
      <c r="E13035" s="96"/>
    </row>
    <row r="13036" hidden="1">
      <c r="E13036" s="96"/>
    </row>
    <row r="13037" hidden="1">
      <c r="E13037" s="96"/>
    </row>
    <row r="13038" hidden="1">
      <c r="E13038" s="96"/>
    </row>
    <row r="13039" hidden="1">
      <c r="E13039" s="96"/>
    </row>
    <row r="13040" hidden="1">
      <c r="E13040" s="96"/>
    </row>
    <row r="13041" hidden="1">
      <c r="E13041" s="96"/>
    </row>
    <row r="13042" hidden="1">
      <c r="E13042" s="96"/>
    </row>
    <row r="13043" hidden="1">
      <c r="E13043" s="96"/>
    </row>
    <row r="13044" hidden="1">
      <c r="E13044" s="96"/>
    </row>
    <row r="13045" hidden="1">
      <c r="E13045" s="96"/>
    </row>
    <row r="13046" hidden="1">
      <c r="E13046" s="96"/>
    </row>
    <row r="13047" hidden="1">
      <c r="E13047" s="96"/>
    </row>
    <row r="13048" hidden="1">
      <c r="E13048" s="96"/>
    </row>
    <row r="13049" hidden="1">
      <c r="E13049" s="96"/>
    </row>
    <row r="13050" hidden="1">
      <c r="E13050" s="96"/>
    </row>
    <row r="13051" hidden="1">
      <c r="E13051" s="96"/>
    </row>
    <row r="13052" hidden="1">
      <c r="E13052" s="96"/>
    </row>
    <row r="13053" hidden="1">
      <c r="E13053" s="96"/>
    </row>
    <row r="13054" hidden="1">
      <c r="E13054" s="96"/>
    </row>
    <row r="13055" hidden="1">
      <c r="E13055" s="96"/>
    </row>
    <row r="13056" hidden="1">
      <c r="E13056" s="96"/>
    </row>
    <row r="13057" hidden="1">
      <c r="E13057" s="96"/>
    </row>
    <row r="13058" hidden="1">
      <c r="E13058" s="96"/>
    </row>
    <row r="13059" hidden="1">
      <c r="E13059" s="96"/>
    </row>
    <row r="13060" hidden="1">
      <c r="E13060" s="96"/>
    </row>
    <row r="13061" hidden="1">
      <c r="E13061" s="96"/>
    </row>
    <row r="13062" hidden="1">
      <c r="E13062" s="96"/>
    </row>
    <row r="13063" hidden="1">
      <c r="E13063" s="96"/>
    </row>
    <row r="13064" hidden="1">
      <c r="E13064" s="96"/>
    </row>
    <row r="13065" hidden="1">
      <c r="E13065" s="96"/>
    </row>
    <row r="13066" hidden="1">
      <c r="E13066" s="96"/>
    </row>
    <row r="13067" hidden="1">
      <c r="E13067" s="96"/>
    </row>
    <row r="13068" hidden="1">
      <c r="E13068" s="96"/>
    </row>
    <row r="13069" hidden="1">
      <c r="E13069" s="96"/>
    </row>
    <row r="13070" hidden="1">
      <c r="E13070" s="96"/>
    </row>
    <row r="13071" hidden="1">
      <c r="E13071" s="96"/>
    </row>
    <row r="13072" hidden="1">
      <c r="E13072" s="96"/>
    </row>
    <row r="13073" hidden="1">
      <c r="E13073" s="96"/>
    </row>
    <row r="13074" hidden="1">
      <c r="E13074" s="96"/>
    </row>
    <row r="13075" hidden="1">
      <c r="E13075" s="96"/>
    </row>
    <row r="13076" hidden="1">
      <c r="E13076" s="96"/>
    </row>
    <row r="13077" hidden="1">
      <c r="E13077" s="96"/>
    </row>
    <row r="13078" hidden="1">
      <c r="E13078" s="96"/>
    </row>
    <row r="13079" hidden="1">
      <c r="E13079" s="96"/>
    </row>
    <row r="13080" hidden="1">
      <c r="E13080" s="96"/>
    </row>
    <row r="13081" hidden="1">
      <c r="E13081" s="96"/>
    </row>
    <row r="13082" hidden="1">
      <c r="E13082" s="96"/>
    </row>
    <row r="13083" hidden="1">
      <c r="E13083" s="96"/>
    </row>
    <row r="13084" hidden="1">
      <c r="E13084" s="96"/>
    </row>
    <row r="13085" hidden="1">
      <c r="E13085" s="96"/>
    </row>
    <row r="13086" hidden="1">
      <c r="E13086" s="96"/>
    </row>
    <row r="13087" hidden="1">
      <c r="E13087" s="96"/>
    </row>
    <row r="13088" hidden="1">
      <c r="E13088" s="96"/>
    </row>
    <row r="13089" hidden="1">
      <c r="E13089" s="96"/>
    </row>
    <row r="13090" hidden="1">
      <c r="E13090" s="96"/>
    </row>
    <row r="13091" hidden="1">
      <c r="E13091" s="96"/>
    </row>
    <row r="13092" hidden="1">
      <c r="E13092" s="96"/>
    </row>
    <row r="13093" hidden="1">
      <c r="E13093" s="96"/>
    </row>
    <row r="13094" hidden="1">
      <c r="E13094" s="96"/>
    </row>
    <row r="13095" hidden="1">
      <c r="E13095" s="96"/>
    </row>
    <row r="13096" hidden="1">
      <c r="E13096" s="96"/>
    </row>
    <row r="13097" hidden="1">
      <c r="E13097" s="96"/>
    </row>
    <row r="13098" hidden="1">
      <c r="E13098" s="96"/>
    </row>
    <row r="13099" hidden="1">
      <c r="E13099" s="96"/>
    </row>
    <row r="13100" hidden="1">
      <c r="E13100" s="96"/>
    </row>
    <row r="13101" hidden="1">
      <c r="E13101" s="96"/>
    </row>
    <row r="13102" hidden="1">
      <c r="E13102" s="96"/>
    </row>
    <row r="13103" hidden="1">
      <c r="E13103" s="96"/>
    </row>
    <row r="13104" hidden="1">
      <c r="E13104" s="96"/>
    </row>
    <row r="13105" hidden="1">
      <c r="E13105" s="96"/>
    </row>
    <row r="13106" hidden="1">
      <c r="E13106" s="96"/>
    </row>
    <row r="13107" hidden="1">
      <c r="E13107" s="96"/>
    </row>
    <row r="13108" hidden="1">
      <c r="E13108" s="96"/>
    </row>
    <row r="13109" hidden="1">
      <c r="E13109" s="96"/>
    </row>
    <row r="13110" hidden="1">
      <c r="E13110" s="96"/>
    </row>
    <row r="13111" hidden="1">
      <c r="E13111" s="96"/>
    </row>
    <row r="13112" hidden="1">
      <c r="E13112" s="96"/>
    </row>
    <row r="13113" hidden="1">
      <c r="E13113" s="96"/>
    </row>
    <row r="13114" hidden="1">
      <c r="E13114" s="96"/>
    </row>
    <row r="13115" hidden="1">
      <c r="E13115" s="96"/>
    </row>
    <row r="13116" hidden="1">
      <c r="E13116" s="96"/>
    </row>
    <row r="13117" hidden="1">
      <c r="E13117" s="96"/>
    </row>
    <row r="13118" hidden="1">
      <c r="E13118" s="96"/>
    </row>
    <row r="13119" hidden="1">
      <c r="E13119" s="96"/>
    </row>
    <row r="13120" hidden="1">
      <c r="E13120" s="96"/>
    </row>
    <row r="13121" hidden="1">
      <c r="E13121" s="96"/>
    </row>
    <row r="13122" hidden="1">
      <c r="E13122" s="96"/>
    </row>
    <row r="13123" hidden="1">
      <c r="E13123" s="96"/>
    </row>
    <row r="13124" hidden="1">
      <c r="E13124" s="96"/>
    </row>
    <row r="13125" hidden="1">
      <c r="E13125" s="96"/>
    </row>
    <row r="13126" hidden="1">
      <c r="E13126" s="96"/>
    </row>
    <row r="13127" hidden="1">
      <c r="E13127" s="96"/>
    </row>
    <row r="13128" hidden="1">
      <c r="E13128" s="96"/>
    </row>
    <row r="13129" hidden="1">
      <c r="E13129" s="96"/>
    </row>
    <row r="13130" hidden="1">
      <c r="E13130" s="96"/>
    </row>
    <row r="13131" hidden="1">
      <c r="E13131" s="96"/>
    </row>
    <row r="13132" hidden="1">
      <c r="E13132" s="96"/>
    </row>
    <row r="13133" hidden="1">
      <c r="E13133" s="96"/>
    </row>
    <row r="13134" hidden="1">
      <c r="E13134" s="96"/>
    </row>
    <row r="13135" hidden="1">
      <c r="E13135" s="96"/>
    </row>
    <row r="13136" hidden="1">
      <c r="E13136" s="96"/>
    </row>
    <row r="13137" hidden="1">
      <c r="E13137" s="96"/>
    </row>
    <row r="13138" hidden="1">
      <c r="E13138" s="96"/>
    </row>
    <row r="13139" hidden="1">
      <c r="E13139" s="96"/>
    </row>
    <row r="13140" hidden="1">
      <c r="E13140" s="96"/>
    </row>
    <row r="13141" hidden="1">
      <c r="E13141" s="96"/>
    </row>
    <row r="13142" hidden="1">
      <c r="E13142" s="96"/>
    </row>
    <row r="13143" hidden="1">
      <c r="E13143" s="96"/>
    </row>
    <row r="13144" hidden="1">
      <c r="E13144" s="96"/>
    </row>
    <row r="13145" hidden="1">
      <c r="E13145" s="96"/>
    </row>
    <row r="13146" hidden="1">
      <c r="E13146" s="96"/>
    </row>
    <row r="13147" hidden="1">
      <c r="E13147" s="96"/>
    </row>
    <row r="13148" hidden="1">
      <c r="E13148" s="96"/>
    </row>
    <row r="13149" hidden="1">
      <c r="E13149" s="96"/>
    </row>
    <row r="13150" hidden="1">
      <c r="E13150" s="96"/>
    </row>
    <row r="13151" hidden="1">
      <c r="E13151" s="96"/>
    </row>
    <row r="13152" hidden="1">
      <c r="E13152" s="96"/>
    </row>
    <row r="13153" hidden="1">
      <c r="E13153" s="96"/>
    </row>
    <row r="13154" hidden="1">
      <c r="E13154" s="96"/>
    </row>
    <row r="13155" hidden="1">
      <c r="E13155" s="96"/>
    </row>
    <row r="13156" hidden="1">
      <c r="E13156" s="96"/>
    </row>
    <row r="13157" hidden="1">
      <c r="E13157" s="96"/>
    </row>
    <row r="13158" hidden="1">
      <c r="E13158" s="96"/>
    </row>
    <row r="13159" hidden="1">
      <c r="E13159" s="96"/>
    </row>
    <row r="13160" hidden="1">
      <c r="E13160" s="96"/>
    </row>
    <row r="13161" hidden="1">
      <c r="E13161" s="96"/>
    </row>
    <row r="13162" hidden="1">
      <c r="E13162" s="96"/>
    </row>
    <row r="13163" hidden="1">
      <c r="E13163" s="96"/>
    </row>
    <row r="13164" hidden="1">
      <c r="E13164" s="96"/>
    </row>
    <row r="13165" hidden="1">
      <c r="E13165" s="96"/>
    </row>
    <row r="13166" hidden="1">
      <c r="E13166" s="96"/>
    </row>
    <row r="13167" hidden="1">
      <c r="E13167" s="96"/>
    </row>
    <row r="13168" hidden="1">
      <c r="E13168" s="96"/>
    </row>
    <row r="13169" hidden="1">
      <c r="E13169" s="96"/>
    </row>
    <row r="13170" hidden="1">
      <c r="E13170" s="96"/>
    </row>
    <row r="13171" hidden="1">
      <c r="E13171" s="96"/>
    </row>
    <row r="13172" hidden="1">
      <c r="E13172" s="96"/>
    </row>
    <row r="13173" hidden="1">
      <c r="E13173" s="96"/>
    </row>
    <row r="13174" hidden="1">
      <c r="E13174" s="96"/>
    </row>
    <row r="13175" hidden="1">
      <c r="E13175" s="96"/>
    </row>
    <row r="13176" hidden="1">
      <c r="E13176" s="96"/>
    </row>
    <row r="13177" hidden="1">
      <c r="E13177" s="96"/>
    </row>
    <row r="13178" hidden="1">
      <c r="E13178" s="96"/>
    </row>
    <row r="13179" hidden="1">
      <c r="E13179" s="96"/>
    </row>
    <row r="13180" hidden="1">
      <c r="E13180" s="96"/>
    </row>
    <row r="13181" hidden="1">
      <c r="E13181" s="96"/>
    </row>
    <row r="13182" hidden="1">
      <c r="E13182" s="96"/>
    </row>
    <row r="13183" hidden="1">
      <c r="E13183" s="96"/>
    </row>
    <row r="13184" hidden="1">
      <c r="E13184" s="96"/>
    </row>
    <row r="13185" hidden="1">
      <c r="E13185" s="96"/>
    </row>
    <row r="13186" hidden="1">
      <c r="E13186" s="96"/>
    </row>
    <row r="13187" hidden="1">
      <c r="E13187" s="96"/>
    </row>
    <row r="13188" hidden="1">
      <c r="E13188" s="96"/>
    </row>
    <row r="13189" hidden="1">
      <c r="E13189" s="96"/>
    </row>
    <row r="13190" hidden="1">
      <c r="E13190" s="96"/>
    </row>
    <row r="13191" hidden="1">
      <c r="E13191" s="96"/>
    </row>
    <row r="13192" hidden="1">
      <c r="E13192" s="96"/>
    </row>
    <row r="13193" hidden="1">
      <c r="E13193" s="96"/>
    </row>
    <row r="13194" hidden="1">
      <c r="E13194" s="96"/>
    </row>
    <row r="13195" hidden="1">
      <c r="E13195" s="96"/>
    </row>
    <row r="13196" hidden="1">
      <c r="E13196" s="96"/>
    </row>
    <row r="13197" hidden="1">
      <c r="E13197" s="96"/>
    </row>
    <row r="13198" hidden="1">
      <c r="E13198" s="96"/>
    </row>
    <row r="13199" hidden="1">
      <c r="E13199" s="96"/>
    </row>
    <row r="13200" hidden="1">
      <c r="E13200" s="96"/>
    </row>
    <row r="13201" hidden="1">
      <c r="E13201" s="96"/>
    </row>
    <row r="13202" hidden="1">
      <c r="E13202" s="96"/>
    </row>
    <row r="13203" hidden="1">
      <c r="E13203" s="96"/>
    </row>
    <row r="13204" hidden="1">
      <c r="E13204" s="96"/>
    </row>
    <row r="13205" hidden="1">
      <c r="E13205" s="96"/>
    </row>
    <row r="13206" hidden="1">
      <c r="E13206" s="96"/>
    </row>
    <row r="13207" hidden="1">
      <c r="E13207" s="96"/>
    </row>
    <row r="13208" hidden="1">
      <c r="E13208" s="96"/>
    </row>
    <row r="13209" hidden="1">
      <c r="E13209" s="96"/>
    </row>
    <row r="13210" hidden="1">
      <c r="E13210" s="96"/>
    </row>
    <row r="13211" hidden="1">
      <c r="E13211" s="96"/>
    </row>
    <row r="13212" hidden="1">
      <c r="E13212" s="96"/>
    </row>
    <row r="13213" hidden="1">
      <c r="E13213" s="96"/>
    </row>
    <row r="13214" hidden="1">
      <c r="E13214" s="96"/>
    </row>
    <row r="13215" hidden="1">
      <c r="E13215" s="96"/>
    </row>
    <row r="13216" hidden="1">
      <c r="E13216" s="96"/>
    </row>
    <row r="13217" hidden="1">
      <c r="E13217" s="96"/>
    </row>
    <row r="13218" hidden="1">
      <c r="E13218" s="96"/>
    </row>
    <row r="13219" hidden="1">
      <c r="E13219" s="96"/>
    </row>
    <row r="13220" hidden="1">
      <c r="E13220" s="96"/>
    </row>
    <row r="13221" hidden="1">
      <c r="E13221" s="96"/>
    </row>
    <row r="13222" hidden="1">
      <c r="E13222" s="96"/>
    </row>
    <row r="13223" hidden="1">
      <c r="E13223" s="96"/>
    </row>
    <row r="13224" hidden="1">
      <c r="E13224" s="96"/>
    </row>
    <row r="13225" hidden="1">
      <c r="E13225" s="96"/>
    </row>
    <row r="13226" hidden="1">
      <c r="E13226" s="96"/>
    </row>
    <row r="13227" hidden="1">
      <c r="E13227" s="96"/>
    </row>
    <row r="13228" hidden="1">
      <c r="E13228" s="96"/>
    </row>
    <row r="13229" hidden="1">
      <c r="E13229" s="96"/>
    </row>
    <row r="13230" hidden="1">
      <c r="E13230" s="96"/>
    </row>
    <row r="13231" hidden="1">
      <c r="E13231" s="96"/>
    </row>
    <row r="13232" hidden="1">
      <c r="E13232" s="96"/>
    </row>
    <row r="13233" hidden="1">
      <c r="E13233" s="96"/>
    </row>
    <row r="13234" hidden="1">
      <c r="E13234" s="96"/>
    </row>
    <row r="13235" hidden="1">
      <c r="E13235" s="96"/>
    </row>
    <row r="13236" hidden="1">
      <c r="E13236" s="96"/>
    </row>
    <row r="13237" hidden="1">
      <c r="E13237" s="96"/>
    </row>
    <row r="13238" hidden="1">
      <c r="E13238" s="96"/>
    </row>
    <row r="13239" hidden="1">
      <c r="E13239" s="96"/>
    </row>
    <row r="13240" hidden="1">
      <c r="E13240" s="96"/>
    </row>
    <row r="13241" hidden="1">
      <c r="E13241" s="96"/>
    </row>
    <row r="13242" hidden="1">
      <c r="E13242" s="96"/>
    </row>
    <row r="13243" hidden="1">
      <c r="E13243" s="96"/>
    </row>
    <row r="13244" hidden="1">
      <c r="E13244" s="96"/>
    </row>
    <row r="13245" hidden="1">
      <c r="E13245" s="96"/>
    </row>
    <row r="13246" hidden="1">
      <c r="E13246" s="96"/>
    </row>
    <row r="13247" hidden="1">
      <c r="E13247" s="96"/>
    </row>
    <row r="13248" hidden="1">
      <c r="E13248" s="96"/>
    </row>
    <row r="13249" hidden="1">
      <c r="E13249" s="96"/>
    </row>
    <row r="13250" hidden="1">
      <c r="E13250" s="96"/>
    </row>
    <row r="13251" hidden="1">
      <c r="E13251" s="96"/>
    </row>
    <row r="13252" hidden="1">
      <c r="E13252" s="96"/>
    </row>
    <row r="13253" hidden="1">
      <c r="E13253" s="96"/>
    </row>
    <row r="13254" hidden="1">
      <c r="E13254" s="96"/>
    </row>
    <row r="13255" hidden="1">
      <c r="E13255" s="96"/>
    </row>
    <row r="13256" hidden="1">
      <c r="E13256" s="96"/>
    </row>
    <row r="13257" hidden="1">
      <c r="E13257" s="96"/>
    </row>
    <row r="13258" hidden="1">
      <c r="E13258" s="96"/>
    </row>
    <row r="13259" hidden="1">
      <c r="E13259" s="96"/>
    </row>
    <row r="13260" hidden="1">
      <c r="E13260" s="96"/>
    </row>
    <row r="13261" hidden="1">
      <c r="E13261" s="96"/>
    </row>
    <row r="13262" hidden="1">
      <c r="E13262" s="96"/>
    </row>
    <row r="13263" hidden="1">
      <c r="E13263" s="96"/>
    </row>
    <row r="13264" hidden="1">
      <c r="E13264" s="96"/>
    </row>
    <row r="13265" hidden="1">
      <c r="E13265" s="96"/>
    </row>
    <row r="13266" hidden="1">
      <c r="E13266" s="96"/>
    </row>
    <row r="13267" hidden="1">
      <c r="E13267" s="96"/>
    </row>
    <row r="13268" hidden="1">
      <c r="E13268" s="96"/>
    </row>
    <row r="13269" hidden="1">
      <c r="E13269" s="96"/>
    </row>
    <row r="13270" hidden="1">
      <c r="E13270" s="96"/>
    </row>
    <row r="13271" hidden="1">
      <c r="E13271" s="96"/>
    </row>
    <row r="13272" hidden="1">
      <c r="E13272" s="96"/>
    </row>
    <row r="13273" hidden="1">
      <c r="E13273" s="96"/>
    </row>
    <row r="13274" hidden="1">
      <c r="E13274" s="96"/>
    </row>
    <row r="13275" hidden="1">
      <c r="E13275" s="96"/>
    </row>
    <row r="13276" hidden="1">
      <c r="E13276" s="96"/>
    </row>
    <row r="13277" hidden="1">
      <c r="E13277" s="96"/>
    </row>
    <row r="13278" hidden="1">
      <c r="E13278" s="96"/>
    </row>
    <row r="13279" hidden="1">
      <c r="E13279" s="96"/>
    </row>
    <row r="13280" hidden="1">
      <c r="E13280" s="96"/>
    </row>
    <row r="13281" hidden="1">
      <c r="E13281" s="96"/>
    </row>
    <row r="13282" hidden="1">
      <c r="E13282" s="96"/>
    </row>
    <row r="13283" hidden="1">
      <c r="E13283" s="96"/>
    </row>
    <row r="13284" hidden="1">
      <c r="E13284" s="96"/>
    </row>
    <row r="13285" hidden="1">
      <c r="E13285" s="96"/>
    </row>
    <row r="13286" hidden="1">
      <c r="E13286" s="96"/>
    </row>
    <row r="13287" hidden="1">
      <c r="E13287" s="96"/>
    </row>
    <row r="13288" hidden="1">
      <c r="E13288" s="96"/>
    </row>
    <row r="13289" hidden="1">
      <c r="E13289" s="96"/>
    </row>
    <row r="13290" hidden="1">
      <c r="E13290" s="96"/>
    </row>
    <row r="13291" hidden="1">
      <c r="E13291" s="96"/>
    </row>
    <row r="13292" hidden="1">
      <c r="E13292" s="96"/>
    </row>
    <row r="13293" hidden="1">
      <c r="E13293" s="96"/>
    </row>
    <row r="13294" hidden="1">
      <c r="E13294" s="96"/>
    </row>
    <row r="13295" hidden="1">
      <c r="E13295" s="96"/>
    </row>
    <row r="13296" hidden="1">
      <c r="E13296" s="96"/>
    </row>
    <row r="13297" hidden="1">
      <c r="E13297" s="96"/>
    </row>
    <row r="13298" hidden="1">
      <c r="E13298" s="96"/>
    </row>
    <row r="13299" hidden="1">
      <c r="E13299" s="96"/>
    </row>
    <row r="13300" hidden="1">
      <c r="E13300" s="96"/>
    </row>
    <row r="13301" hidden="1">
      <c r="E13301" s="96"/>
    </row>
    <row r="13302" hidden="1">
      <c r="E13302" s="96"/>
    </row>
    <row r="13303" hidden="1">
      <c r="E13303" s="96"/>
    </row>
    <row r="13304" hidden="1">
      <c r="E13304" s="96"/>
    </row>
    <row r="13305" hidden="1">
      <c r="E13305" s="96"/>
    </row>
    <row r="13306" hidden="1">
      <c r="E13306" s="96"/>
    </row>
    <row r="13307" hidden="1">
      <c r="E13307" s="96"/>
    </row>
    <row r="13308" hidden="1">
      <c r="E13308" s="96"/>
    </row>
    <row r="13309" hidden="1">
      <c r="E13309" s="96"/>
    </row>
    <row r="13310" hidden="1">
      <c r="E13310" s="96"/>
    </row>
    <row r="13311" hidden="1">
      <c r="E13311" s="96"/>
    </row>
    <row r="13312" hidden="1">
      <c r="E13312" s="96"/>
    </row>
    <row r="13313" hidden="1">
      <c r="E13313" s="96"/>
    </row>
    <row r="13314" hidden="1">
      <c r="E13314" s="96"/>
    </row>
    <row r="13315" hidden="1">
      <c r="E13315" s="96"/>
    </row>
    <row r="13316" hidden="1">
      <c r="E13316" s="96"/>
    </row>
    <row r="13317" hidden="1">
      <c r="E13317" s="96"/>
    </row>
    <row r="13318" hidden="1">
      <c r="E13318" s="96"/>
    </row>
    <row r="13319" hidden="1">
      <c r="E13319" s="96"/>
    </row>
    <row r="13320" hidden="1">
      <c r="E13320" s="96"/>
    </row>
    <row r="13321" hidden="1">
      <c r="E13321" s="96"/>
    </row>
    <row r="13322" hidden="1">
      <c r="E13322" s="96"/>
    </row>
    <row r="13323" hidden="1">
      <c r="E13323" s="96"/>
    </row>
    <row r="13324" hidden="1">
      <c r="E13324" s="96"/>
    </row>
    <row r="13325" hidden="1">
      <c r="E13325" s="96"/>
    </row>
    <row r="13326" hidden="1">
      <c r="E13326" s="96"/>
    </row>
    <row r="13327" hidden="1">
      <c r="E13327" s="96"/>
    </row>
    <row r="13328" hidden="1">
      <c r="E13328" s="96"/>
    </row>
    <row r="13329" hidden="1">
      <c r="E13329" s="96"/>
    </row>
    <row r="13330" hidden="1">
      <c r="E13330" s="96"/>
    </row>
    <row r="13331" hidden="1">
      <c r="E13331" s="96"/>
    </row>
    <row r="13332" hidden="1">
      <c r="E13332" s="96"/>
    </row>
    <row r="13333" hidden="1">
      <c r="E13333" s="96"/>
    </row>
    <row r="13334" hidden="1">
      <c r="E13334" s="96"/>
    </row>
    <row r="13335" hidden="1">
      <c r="E13335" s="96"/>
    </row>
    <row r="13336" hidden="1">
      <c r="E13336" s="96"/>
    </row>
    <row r="13337" hidden="1">
      <c r="E13337" s="96"/>
    </row>
    <row r="13338" hidden="1">
      <c r="E13338" s="96"/>
    </row>
    <row r="13339" hidden="1">
      <c r="E13339" s="96"/>
    </row>
    <row r="13340" hidden="1">
      <c r="E13340" s="96"/>
    </row>
    <row r="13341" hidden="1">
      <c r="E13341" s="96"/>
    </row>
    <row r="13342" hidden="1">
      <c r="E13342" s="96"/>
    </row>
    <row r="13343" hidden="1">
      <c r="E13343" s="96"/>
    </row>
    <row r="13344" hidden="1">
      <c r="E13344" s="96"/>
    </row>
    <row r="13345" hidden="1">
      <c r="E13345" s="96"/>
    </row>
    <row r="13346" hidden="1">
      <c r="E13346" s="96"/>
    </row>
    <row r="13347" hidden="1">
      <c r="E13347" s="96"/>
    </row>
    <row r="13348" hidden="1">
      <c r="E13348" s="96"/>
    </row>
    <row r="13349" hidden="1">
      <c r="E13349" s="96"/>
    </row>
    <row r="13350" hidden="1">
      <c r="E13350" s="96"/>
    </row>
    <row r="13351" hidden="1">
      <c r="E13351" s="96"/>
    </row>
    <row r="13352" hidden="1">
      <c r="E13352" s="96"/>
    </row>
    <row r="13353" hidden="1">
      <c r="E13353" s="96"/>
    </row>
    <row r="13354" hidden="1">
      <c r="E13354" s="96"/>
    </row>
    <row r="13355" hidden="1">
      <c r="E13355" s="96"/>
    </row>
    <row r="13356" hidden="1">
      <c r="E13356" s="96"/>
    </row>
    <row r="13357" hidden="1">
      <c r="E13357" s="96"/>
    </row>
    <row r="13358" hidden="1">
      <c r="E13358" s="96"/>
    </row>
    <row r="13359" hidden="1">
      <c r="E13359" s="96"/>
    </row>
    <row r="13360" hidden="1">
      <c r="E13360" s="96"/>
    </row>
    <row r="13361" hidden="1">
      <c r="E13361" s="96"/>
    </row>
    <row r="13362" hidden="1">
      <c r="E13362" s="96"/>
    </row>
    <row r="13363" hidden="1">
      <c r="E13363" s="96"/>
    </row>
    <row r="13364" hidden="1">
      <c r="E13364" s="96"/>
    </row>
    <row r="13365" hidden="1">
      <c r="E13365" s="96"/>
    </row>
    <row r="13366" hidden="1">
      <c r="E13366" s="96"/>
    </row>
    <row r="13367" hidden="1">
      <c r="E13367" s="96"/>
    </row>
    <row r="13368" hidden="1">
      <c r="E13368" s="96"/>
    </row>
    <row r="13369" hidden="1">
      <c r="E13369" s="96"/>
    </row>
    <row r="13370" hidden="1">
      <c r="E13370" s="96"/>
    </row>
    <row r="13371" hidden="1">
      <c r="E13371" s="96"/>
    </row>
    <row r="13372" hidden="1">
      <c r="E13372" s="96"/>
    </row>
    <row r="13373" hidden="1">
      <c r="E13373" s="96"/>
    </row>
    <row r="13374" hidden="1">
      <c r="E13374" s="96"/>
    </row>
    <row r="13375" hidden="1">
      <c r="E13375" s="96"/>
    </row>
    <row r="13376" hidden="1">
      <c r="E13376" s="96"/>
    </row>
    <row r="13377" hidden="1">
      <c r="E13377" s="96"/>
    </row>
    <row r="13378" hidden="1">
      <c r="E13378" s="96"/>
    </row>
    <row r="13379" hidden="1">
      <c r="E13379" s="96"/>
    </row>
    <row r="13380" hidden="1">
      <c r="E13380" s="96"/>
    </row>
    <row r="13381" hidden="1">
      <c r="E13381" s="96"/>
    </row>
    <row r="13382" hidden="1">
      <c r="E13382" s="96"/>
    </row>
    <row r="13383" hidden="1">
      <c r="E13383" s="96"/>
    </row>
    <row r="13384" hidden="1">
      <c r="E13384" s="96"/>
    </row>
    <row r="13385" hidden="1">
      <c r="E13385" s="96"/>
    </row>
    <row r="13386" hidden="1">
      <c r="E13386" s="96"/>
    </row>
    <row r="13387" hidden="1">
      <c r="E13387" s="96"/>
    </row>
    <row r="13388" hidden="1">
      <c r="E13388" s="96"/>
    </row>
    <row r="13389" hidden="1">
      <c r="E13389" s="96"/>
    </row>
    <row r="13390" hidden="1">
      <c r="E13390" s="96"/>
    </row>
    <row r="13391" hidden="1">
      <c r="E13391" s="96"/>
    </row>
    <row r="13392" hidden="1">
      <c r="E13392" s="96"/>
    </row>
    <row r="13393" hidden="1">
      <c r="E13393" s="96"/>
    </row>
    <row r="13394" hidden="1">
      <c r="E13394" s="96"/>
    </row>
    <row r="13395" hidden="1">
      <c r="E13395" s="96"/>
    </row>
    <row r="13396" hidden="1">
      <c r="E13396" s="96"/>
    </row>
    <row r="13397" hidden="1">
      <c r="E13397" s="96"/>
    </row>
    <row r="13398" hidden="1">
      <c r="E13398" s="96"/>
    </row>
    <row r="13399" hidden="1">
      <c r="E13399" s="96"/>
    </row>
    <row r="13400" hidden="1">
      <c r="E13400" s="96"/>
    </row>
    <row r="13401" hidden="1">
      <c r="E13401" s="96"/>
    </row>
    <row r="13402" hidden="1">
      <c r="E13402" s="96"/>
    </row>
    <row r="13403" hidden="1">
      <c r="E13403" s="96"/>
    </row>
    <row r="13404" hidden="1">
      <c r="E13404" s="96"/>
    </row>
    <row r="13405" hidden="1">
      <c r="E13405" s="96"/>
    </row>
    <row r="13406" hidden="1">
      <c r="E13406" s="96"/>
    </row>
    <row r="13407" hidden="1">
      <c r="E13407" s="96"/>
    </row>
    <row r="13408" hidden="1">
      <c r="E13408" s="96"/>
    </row>
    <row r="13409" hidden="1">
      <c r="E13409" s="96"/>
    </row>
    <row r="13410" hidden="1">
      <c r="E13410" s="96"/>
    </row>
    <row r="13411" hidden="1">
      <c r="E13411" s="96"/>
    </row>
    <row r="13412" hidden="1">
      <c r="E13412" s="96"/>
    </row>
    <row r="13413" hidden="1">
      <c r="E13413" s="96"/>
    </row>
    <row r="13414" hidden="1">
      <c r="E13414" s="96"/>
    </row>
    <row r="13415" hidden="1">
      <c r="E13415" s="96"/>
    </row>
    <row r="13416" hidden="1">
      <c r="E13416" s="96"/>
    </row>
    <row r="13417" hidden="1">
      <c r="E13417" s="96"/>
    </row>
    <row r="13418" hidden="1">
      <c r="E13418" s="96"/>
    </row>
    <row r="13419" hidden="1">
      <c r="E13419" s="96"/>
    </row>
    <row r="13420" hidden="1">
      <c r="E13420" s="96"/>
    </row>
    <row r="13421" hidden="1">
      <c r="E13421" s="96"/>
    </row>
    <row r="13422" hidden="1">
      <c r="E13422" s="96"/>
    </row>
    <row r="13423" hidden="1">
      <c r="E13423" s="96"/>
    </row>
    <row r="13424" hidden="1">
      <c r="E13424" s="96"/>
    </row>
    <row r="13425" hidden="1">
      <c r="E13425" s="96"/>
    </row>
    <row r="13426" hidden="1">
      <c r="E13426" s="96"/>
    </row>
    <row r="13427" hidden="1">
      <c r="E13427" s="96"/>
    </row>
    <row r="13428" hidden="1">
      <c r="E13428" s="96"/>
    </row>
    <row r="13429" hidden="1">
      <c r="E13429" s="96"/>
    </row>
    <row r="13430" hidden="1">
      <c r="E13430" s="96"/>
    </row>
    <row r="13431" hidden="1">
      <c r="E13431" s="96"/>
    </row>
    <row r="13432" hidden="1">
      <c r="E13432" s="96"/>
    </row>
    <row r="13433" hidden="1">
      <c r="E13433" s="96"/>
    </row>
    <row r="13434" hidden="1">
      <c r="E13434" s="96"/>
    </row>
    <row r="13435" hidden="1">
      <c r="E13435" s="96"/>
    </row>
    <row r="13436" hidden="1">
      <c r="E13436" s="96"/>
    </row>
    <row r="13437" hidden="1">
      <c r="E13437" s="96"/>
    </row>
    <row r="13438" hidden="1">
      <c r="E13438" s="96"/>
    </row>
    <row r="13439" hidden="1">
      <c r="E13439" s="96"/>
    </row>
    <row r="13440" hidden="1">
      <c r="E13440" s="96"/>
    </row>
    <row r="13441" hidden="1">
      <c r="E13441" s="96"/>
    </row>
    <row r="13442" hidden="1">
      <c r="E13442" s="96"/>
    </row>
    <row r="13443" hidden="1">
      <c r="E13443" s="96"/>
    </row>
    <row r="13444" hidden="1">
      <c r="E13444" s="96"/>
    </row>
    <row r="13445" hidden="1">
      <c r="E13445" s="96"/>
    </row>
    <row r="13446" hidden="1">
      <c r="E13446" s="96"/>
    </row>
    <row r="13447" hidden="1">
      <c r="E13447" s="96"/>
    </row>
    <row r="13448" hidden="1">
      <c r="E13448" s="96"/>
    </row>
    <row r="13449" hidden="1">
      <c r="E13449" s="96"/>
    </row>
    <row r="13450" hidden="1">
      <c r="E13450" s="96"/>
    </row>
    <row r="13451" hidden="1">
      <c r="E13451" s="96"/>
    </row>
    <row r="13452" hidden="1">
      <c r="E13452" s="96"/>
    </row>
    <row r="13453" hidden="1">
      <c r="E13453" s="96"/>
    </row>
    <row r="13454" hidden="1">
      <c r="E13454" s="96"/>
    </row>
    <row r="13455" hidden="1">
      <c r="E13455" s="96"/>
    </row>
    <row r="13456" hidden="1">
      <c r="E13456" s="96"/>
    </row>
    <row r="13457" hidden="1">
      <c r="E13457" s="96"/>
    </row>
    <row r="13458" hidden="1">
      <c r="E13458" s="96"/>
    </row>
    <row r="13459" hidden="1">
      <c r="E13459" s="96"/>
    </row>
    <row r="13460" hidden="1">
      <c r="E13460" s="96"/>
    </row>
    <row r="13461" hidden="1">
      <c r="E13461" s="96"/>
    </row>
    <row r="13462" hidden="1">
      <c r="E13462" s="96"/>
    </row>
    <row r="13463" hidden="1">
      <c r="E13463" s="96"/>
    </row>
    <row r="13464" hidden="1">
      <c r="E13464" s="96"/>
    </row>
    <row r="13465" hidden="1">
      <c r="E13465" s="96"/>
    </row>
    <row r="13466" hidden="1">
      <c r="E13466" s="96"/>
    </row>
    <row r="13467" hidden="1">
      <c r="E13467" s="96"/>
    </row>
    <row r="13468" hidden="1">
      <c r="E13468" s="96"/>
    </row>
    <row r="13469" hidden="1">
      <c r="E13469" s="96"/>
    </row>
    <row r="13470" hidden="1">
      <c r="E13470" s="96"/>
    </row>
    <row r="13471" hidden="1">
      <c r="E13471" s="96"/>
    </row>
    <row r="13472" hidden="1">
      <c r="E13472" s="96"/>
    </row>
    <row r="13473" hidden="1">
      <c r="E13473" s="96"/>
    </row>
    <row r="13474" hidden="1">
      <c r="E13474" s="96"/>
    </row>
    <row r="13475" hidden="1">
      <c r="E13475" s="96"/>
    </row>
    <row r="13476" hidden="1">
      <c r="E13476" s="96"/>
    </row>
    <row r="13477" hidden="1">
      <c r="E13477" s="96"/>
    </row>
    <row r="13478" hidden="1">
      <c r="E13478" s="96"/>
    </row>
    <row r="13479" hidden="1">
      <c r="E13479" s="96"/>
    </row>
    <row r="13480" hidden="1">
      <c r="E13480" s="96"/>
    </row>
    <row r="13481" hidden="1">
      <c r="E13481" s="96"/>
    </row>
    <row r="13482" hidden="1">
      <c r="E13482" s="96"/>
    </row>
    <row r="13483" hidden="1">
      <c r="E13483" s="96"/>
    </row>
    <row r="13484" hidden="1">
      <c r="E13484" s="96"/>
    </row>
    <row r="13485" hidden="1">
      <c r="E13485" s="96"/>
    </row>
    <row r="13486" hidden="1">
      <c r="E13486" s="96"/>
    </row>
    <row r="13487" hidden="1">
      <c r="E13487" s="96"/>
    </row>
    <row r="13488" hidden="1">
      <c r="E13488" s="96"/>
    </row>
    <row r="13489" hidden="1">
      <c r="E13489" s="96"/>
    </row>
    <row r="13490" hidden="1">
      <c r="E13490" s="96"/>
    </row>
    <row r="13491" hidden="1">
      <c r="E13491" s="96"/>
    </row>
    <row r="13492" hidden="1">
      <c r="E13492" s="96"/>
    </row>
    <row r="13493" hidden="1">
      <c r="E13493" s="96"/>
    </row>
    <row r="13494" hidden="1">
      <c r="E13494" s="96"/>
    </row>
    <row r="13495" hidden="1">
      <c r="E13495" s="96"/>
    </row>
    <row r="13496" hidden="1">
      <c r="E13496" s="96"/>
    </row>
    <row r="13497" hidden="1">
      <c r="E13497" s="96"/>
    </row>
    <row r="13498" hidden="1">
      <c r="E13498" s="96"/>
    </row>
    <row r="13499" hidden="1">
      <c r="E13499" s="96"/>
    </row>
    <row r="13500" hidden="1">
      <c r="E13500" s="96"/>
    </row>
    <row r="13501" hidden="1">
      <c r="E13501" s="96"/>
    </row>
    <row r="13502" hidden="1">
      <c r="E13502" s="96"/>
    </row>
    <row r="13503" hidden="1">
      <c r="E13503" s="96"/>
    </row>
    <row r="13504" hidden="1">
      <c r="E13504" s="96"/>
    </row>
    <row r="13505" hidden="1">
      <c r="E13505" s="96"/>
    </row>
    <row r="13506" hidden="1">
      <c r="E13506" s="96"/>
    </row>
    <row r="13507" hidden="1">
      <c r="E13507" s="96"/>
    </row>
    <row r="13508" hidden="1">
      <c r="E13508" s="96"/>
    </row>
    <row r="13509" hidden="1">
      <c r="E13509" s="96"/>
    </row>
    <row r="13510" hidden="1">
      <c r="E13510" s="96"/>
    </row>
    <row r="13511" hidden="1">
      <c r="E13511" s="96"/>
    </row>
    <row r="13512" hidden="1">
      <c r="E13512" s="96"/>
    </row>
    <row r="13513" hidden="1">
      <c r="E13513" s="96"/>
    </row>
    <row r="13514" hidden="1">
      <c r="E13514" s="96"/>
    </row>
    <row r="13515" hidden="1">
      <c r="E13515" s="96"/>
    </row>
    <row r="13516" hidden="1">
      <c r="E13516" s="96"/>
    </row>
    <row r="13517" hidden="1">
      <c r="E13517" s="96"/>
    </row>
    <row r="13518" hidden="1">
      <c r="E13518" s="96"/>
    </row>
    <row r="13519" hidden="1">
      <c r="E13519" s="96"/>
    </row>
    <row r="13520" hidden="1">
      <c r="E13520" s="96"/>
    </row>
    <row r="13521" hidden="1">
      <c r="E13521" s="96"/>
    </row>
    <row r="13522" hidden="1">
      <c r="E13522" s="96"/>
    </row>
    <row r="13523" hidden="1">
      <c r="E13523" s="96"/>
    </row>
    <row r="13524" hidden="1">
      <c r="E13524" s="96"/>
    </row>
    <row r="13525" hidden="1">
      <c r="E13525" s="96"/>
    </row>
    <row r="13526" hidden="1">
      <c r="E13526" s="96"/>
    </row>
    <row r="13527" hidden="1">
      <c r="E13527" s="96"/>
    </row>
    <row r="13528" hidden="1">
      <c r="E13528" s="96"/>
    </row>
    <row r="13529" hidden="1">
      <c r="E13529" s="96"/>
    </row>
    <row r="13530" hidden="1">
      <c r="E13530" s="96"/>
    </row>
    <row r="13531" hidden="1">
      <c r="E13531" s="96"/>
    </row>
    <row r="13532" hidden="1">
      <c r="E13532" s="96"/>
    </row>
    <row r="13533" hidden="1">
      <c r="E13533" s="96"/>
    </row>
    <row r="13534" hidden="1">
      <c r="E13534" s="96"/>
    </row>
    <row r="13535" hidden="1">
      <c r="E13535" s="96"/>
    </row>
    <row r="13536" hidden="1">
      <c r="E13536" s="96"/>
    </row>
    <row r="13537" hidden="1">
      <c r="E13537" s="96"/>
    </row>
    <row r="13538" hidden="1">
      <c r="E13538" s="96"/>
    </row>
    <row r="13539" hidden="1">
      <c r="E13539" s="96"/>
    </row>
    <row r="13540" hidden="1">
      <c r="E13540" s="96"/>
    </row>
    <row r="13541" hidden="1">
      <c r="E13541" s="96"/>
    </row>
    <row r="13542" hidden="1">
      <c r="E13542" s="96"/>
    </row>
    <row r="13543" hidden="1">
      <c r="E13543" s="96"/>
    </row>
    <row r="13544" hidden="1">
      <c r="E13544" s="96"/>
    </row>
    <row r="13545" hidden="1">
      <c r="E13545" s="96"/>
    </row>
    <row r="13546" hidden="1">
      <c r="E13546" s="96"/>
    </row>
    <row r="13547" hidden="1">
      <c r="E13547" s="96"/>
    </row>
    <row r="13548" hidden="1">
      <c r="E13548" s="96"/>
    </row>
    <row r="13549" hidden="1">
      <c r="E13549" s="96"/>
    </row>
    <row r="13550" hidden="1">
      <c r="E13550" s="96"/>
    </row>
    <row r="13551" hidden="1">
      <c r="E13551" s="96"/>
    </row>
    <row r="13552" hidden="1">
      <c r="E13552" s="96"/>
    </row>
    <row r="13553" hidden="1">
      <c r="E13553" s="96"/>
    </row>
    <row r="13554" hidden="1">
      <c r="E13554" s="96"/>
    </row>
    <row r="13555" hidden="1">
      <c r="E13555" s="96"/>
    </row>
    <row r="13556" hidden="1">
      <c r="E13556" s="96"/>
    </row>
    <row r="13557" hidden="1">
      <c r="E13557" s="96"/>
    </row>
    <row r="13558" hidden="1">
      <c r="E13558" s="96"/>
    </row>
    <row r="13559" hidden="1">
      <c r="E13559" s="96"/>
    </row>
    <row r="13560" hidden="1">
      <c r="E13560" s="96"/>
    </row>
    <row r="13561" hidden="1">
      <c r="E13561" s="96"/>
    </row>
    <row r="13562" hidden="1">
      <c r="E13562" s="96"/>
    </row>
    <row r="13563" hidden="1">
      <c r="E13563" s="96"/>
    </row>
    <row r="13564" hidden="1">
      <c r="E13564" s="96"/>
    </row>
    <row r="13565" hidden="1">
      <c r="E13565" s="96"/>
    </row>
    <row r="13566" hidden="1">
      <c r="E13566" s="96"/>
    </row>
    <row r="13567" hidden="1">
      <c r="E13567" s="96"/>
    </row>
    <row r="13568" hidden="1">
      <c r="E13568" s="96"/>
    </row>
    <row r="13569" hidden="1">
      <c r="E13569" s="96"/>
    </row>
    <row r="13570" hidden="1">
      <c r="E13570" s="96"/>
    </row>
    <row r="13571" hidden="1">
      <c r="E13571" s="96"/>
    </row>
    <row r="13572" hidden="1">
      <c r="E13572" s="96"/>
    </row>
    <row r="13573" hidden="1">
      <c r="E13573" s="96"/>
    </row>
    <row r="13574" hidden="1">
      <c r="E13574" s="96"/>
    </row>
    <row r="13575" hidden="1">
      <c r="E13575" s="96"/>
    </row>
    <row r="13576" hidden="1">
      <c r="E13576" s="96"/>
    </row>
    <row r="13577" hidden="1">
      <c r="E13577" s="96"/>
    </row>
    <row r="13578" hidden="1">
      <c r="E13578" s="96"/>
    </row>
    <row r="13579" hidden="1">
      <c r="E13579" s="96"/>
    </row>
    <row r="13580" hidden="1">
      <c r="E13580" s="96"/>
    </row>
    <row r="13581" hidden="1">
      <c r="E13581" s="96"/>
    </row>
    <row r="13582" hidden="1">
      <c r="E13582" s="96"/>
    </row>
    <row r="13583" hidden="1">
      <c r="E13583" s="96"/>
    </row>
    <row r="13584" hidden="1">
      <c r="E13584" s="96"/>
    </row>
    <row r="13585" hidden="1">
      <c r="E13585" s="96"/>
    </row>
    <row r="13586" hidden="1">
      <c r="E13586" s="96"/>
    </row>
    <row r="13587" hidden="1">
      <c r="E13587" s="96"/>
    </row>
    <row r="13588" hidden="1">
      <c r="E13588" s="96"/>
    </row>
    <row r="13589" hidden="1">
      <c r="E13589" s="96"/>
    </row>
    <row r="13590" hidden="1">
      <c r="E13590" s="96"/>
    </row>
    <row r="13591" hidden="1">
      <c r="E13591" s="96"/>
    </row>
    <row r="13592" hidden="1">
      <c r="E13592" s="96"/>
    </row>
    <row r="13593" hidden="1">
      <c r="E13593" s="96"/>
    </row>
    <row r="13594" hidden="1">
      <c r="E13594" s="96"/>
    </row>
    <row r="13595" hidden="1">
      <c r="E13595" s="96"/>
    </row>
    <row r="13596" hidden="1">
      <c r="E13596" s="96"/>
    </row>
    <row r="13597" hidden="1">
      <c r="E13597" s="96"/>
    </row>
    <row r="13598" hidden="1">
      <c r="E13598" s="96"/>
    </row>
    <row r="13599" hidden="1">
      <c r="E13599" s="96"/>
    </row>
    <row r="13600" hidden="1">
      <c r="E13600" s="96"/>
    </row>
    <row r="13601" hidden="1">
      <c r="E13601" s="96"/>
    </row>
    <row r="13602" hidden="1">
      <c r="E13602" s="96"/>
    </row>
    <row r="13603" hidden="1">
      <c r="E13603" s="96"/>
    </row>
    <row r="13604" hidden="1">
      <c r="E13604" s="96"/>
    </row>
    <row r="13605" hidden="1">
      <c r="E13605" s="96"/>
    </row>
    <row r="13606" hidden="1">
      <c r="E13606" s="96"/>
    </row>
    <row r="13607" hidden="1">
      <c r="E13607" s="96"/>
    </row>
    <row r="13608" hidden="1">
      <c r="E13608" s="96"/>
    </row>
    <row r="13609" hidden="1">
      <c r="E13609" s="96"/>
    </row>
    <row r="13610" hidden="1">
      <c r="E13610" s="96"/>
    </row>
    <row r="13611" hidden="1">
      <c r="E13611" s="96"/>
    </row>
    <row r="13612" hidden="1">
      <c r="E13612" s="96"/>
    </row>
    <row r="13613" hidden="1">
      <c r="E13613" s="96"/>
    </row>
    <row r="13614" hidden="1">
      <c r="E13614" s="96"/>
    </row>
    <row r="13615" hidden="1">
      <c r="E13615" s="96"/>
    </row>
    <row r="13616" hidden="1">
      <c r="E13616" s="96"/>
    </row>
    <row r="13617" hidden="1">
      <c r="E13617" s="96"/>
    </row>
    <row r="13618" hidden="1">
      <c r="E13618" s="96"/>
    </row>
    <row r="13619" hidden="1">
      <c r="E13619" s="96"/>
    </row>
    <row r="13620" hidden="1">
      <c r="E13620" s="96"/>
    </row>
    <row r="13621" hidden="1">
      <c r="E13621" s="96"/>
    </row>
    <row r="13622" hidden="1">
      <c r="E13622" s="96"/>
    </row>
    <row r="13623" hidden="1">
      <c r="E13623" s="96"/>
    </row>
    <row r="13624" hidden="1">
      <c r="E13624" s="96"/>
    </row>
    <row r="13625" hidden="1">
      <c r="E13625" s="96"/>
    </row>
    <row r="13626" hidden="1">
      <c r="E13626" s="96"/>
    </row>
    <row r="13627" hidden="1">
      <c r="E13627" s="96"/>
    </row>
    <row r="13628" hidden="1">
      <c r="E13628" s="96"/>
    </row>
    <row r="13629" hidden="1">
      <c r="E13629" s="96"/>
    </row>
    <row r="13630" hidden="1">
      <c r="E13630" s="96"/>
    </row>
    <row r="13631" hidden="1">
      <c r="E13631" s="96"/>
    </row>
    <row r="13632" hidden="1">
      <c r="E13632" s="96"/>
    </row>
    <row r="13633" hidden="1">
      <c r="E13633" s="96"/>
    </row>
    <row r="13634" hidden="1">
      <c r="E13634" s="96"/>
    </row>
    <row r="13635" hidden="1">
      <c r="E13635" s="96"/>
    </row>
    <row r="13636" hidden="1">
      <c r="E13636" s="96"/>
    </row>
    <row r="13637" hidden="1">
      <c r="E13637" s="96"/>
    </row>
    <row r="13638" hidden="1">
      <c r="E13638" s="96"/>
    </row>
    <row r="13639" hidden="1">
      <c r="E13639" s="96"/>
    </row>
    <row r="13640" hidden="1">
      <c r="E13640" s="96"/>
    </row>
    <row r="13641" hidden="1">
      <c r="E13641" s="96"/>
    </row>
    <row r="13642" hidden="1">
      <c r="E13642" s="96"/>
    </row>
    <row r="13643" hidden="1">
      <c r="E13643" s="96"/>
    </row>
    <row r="13644" hidden="1">
      <c r="E13644" s="96"/>
    </row>
    <row r="13645" hidden="1">
      <c r="E13645" s="96"/>
    </row>
    <row r="13646" hidden="1">
      <c r="E13646" s="96"/>
    </row>
    <row r="13647" hidden="1">
      <c r="E13647" s="96"/>
    </row>
    <row r="13648" hidden="1">
      <c r="E13648" s="96"/>
    </row>
    <row r="13649" hidden="1">
      <c r="E13649" s="96"/>
    </row>
    <row r="13650" hidden="1">
      <c r="E13650" s="96"/>
    </row>
    <row r="13651" hidden="1">
      <c r="E13651" s="96"/>
    </row>
    <row r="13652" hidden="1">
      <c r="E13652" s="96"/>
    </row>
    <row r="13653" hidden="1">
      <c r="E13653" s="96"/>
    </row>
    <row r="13654" hidden="1">
      <c r="E13654" s="96"/>
    </row>
    <row r="13655" hidden="1">
      <c r="E13655" s="96"/>
    </row>
    <row r="13656" hidden="1">
      <c r="E13656" s="96"/>
    </row>
    <row r="13657" hidden="1">
      <c r="E13657" s="96"/>
    </row>
    <row r="13658" hidden="1">
      <c r="E13658" s="96"/>
    </row>
    <row r="13659" hidden="1">
      <c r="E13659" s="96"/>
    </row>
    <row r="13660" hidden="1">
      <c r="E13660" s="96"/>
    </row>
    <row r="13661" hidden="1">
      <c r="E13661" s="96"/>
    </row>
    <row r="13662" hidden="1">
      <c r="E13662" s="96"/>
    </row>
    <row r="13663" hidden="1">
      <c r="E13663" s="96"/>
    </row>
    <row r="13664" hidden="1">
      <c r="E13664" s="96"/>
    </row>
    <row r="13665" hidden="1">
      <c r="E13665" s="96"/>
    </row>
    <row r="13666" hidden="1">
      <c r="E13666" s="96"/>
    </row>
    <row r="13667" hidden="1">
      <c r="E13667" s="96"/>
    </row>
    <row r="13668" hidden="1">
      <c r="E13668" s="96"/>
    </row>
    <row r="13669" hidden="1">
      <c r="E13669" s="96"/>
    </row>
    <row r="13670" hidden="1">
      <c r="E13670" s="96"/>
    </row>
    <row r="13671" hidden="1">
      <c r="E13671" s="96"/>
    </row>
    <row r="13672" hidden="1">
      <c r="E13672" s="96"/>
    </row>
    <row r="13673" hidden="1">
      <c r="E13673" s="96"/>
    </row>
    <row r="13674" hidden="1">
      <c r="E13674" s="96"/>
    </row>
    <row r="13675" hidden="1">
      <c r="E13675" s="96"/>
    </row>
    <row r="13676" hidden="1">
      <c r="E13676" s="96"/>
    </row>
    <row r="13677" hidden="1">
      <c r="E13677" s="96"/>
    </row>
    <row r="13678" hidden="1">
      <c r="E13678" s="96"/>
    </row>
    <row r="13679" hidden="1">
      <c r="E13679" s="96"/>
    </row>
    <row r="13680" hidden="1">
      <c r="E13680" s="96"/>
    </row>
    <row r="13681" hidden="1">
      <c r="E13681" s="96"/>
    </row>
    <row r="13682" hidden="1">
      <c r="E13682" s="96"/>
    </row>
    <row r="13683" hidden="1">
      <c r="E13683" s="96"/>
    </row>
    <row r="13684" hidden="1">
      <c r="E13684" s="96"/>
    </row>
    <row r="13685" hidden="1">
      <c r="E13685" s="96"/>
    </row>
    <row r="13686" hidden="1">
      <c r="E13686" s="96"/>
    </row>
    <row r="13687" hidden="1">
      <c r="E13687" s="96"/>
    </row>
    <row r="13688" hidden="1">
      <c r="E13688" s="96"/>
    </row>
    <row r="13689" hidden="1">
      <c r="E13689" s="96"/>
    </row>
    <row r="13690" hidden="1">
      <c r="E13690" s="96"/>
    </row>
    <row r="13691" hidden="1">
      <c r="E13691" s="96"/>
    </row>
    <row r="13692" hidden="1">
      <c r="E13692" s="96"/>
    </row>
    <row r="13693" hidden="1">
      <c r="E13693" s="96"/>
    </row>
    <row r="13694" hidden="1">
      <c r="E13694" s="96"/>
    </row>
    <row r="13695" hidden="1">
      <c r="E13695" s="96"/>
    </row>
    <row r="13696" hidden="1">
      <c r="E13696" s="96"/>
    </row>
    <row r="13697" hidden="1">
      <c r="E13697" s="96"/>
    </row>
    <row r="13698" hidden="1">
      <c r="E13698" s="96"/>
    </row>
    <row r="13699" hidden="1">
      <c r="E13699" s="96"/>
    </row>
    <row r="13700" hidden="1">
      <c r="E13700" s="96"/>
    </row>
    <row r="13701" hidden="1">
      <c r="E13701" s="96"/>
    </row>
    <row r="13702" hidden="1">
      <c r="E13702" s="96"/>
    </row>
    <row r="13703" hidden="1">
      <c r="E13703" s="96"/>
    </row>
    <row r="13704" hidden="1">
      <c r="E13704" s="96"/>
    </row>
    <row r="13705" hidden="1">
      <c r="E13705" s="96"/>
    </row>
    <row r="13706" hidden="1">
      <c r="E13706" s="96"/>
    </row>
    <row r="13707" hidden="1">
      <c r="E13707" s="96"/>
    </row>
    <row r="13708" hidden="1">
      <c r="E13708" s="96"/>
    </row>
    <row r="13709" hidden="1">
      <c r="E13709" s="96"/>
    </row>
    <row r="13710" hidden="1">
      <c r="E13710" s="96"/>
    </row>
    <row r="13711" hidden="1">
      <c r="E13711" s="96"/>
    </row>
    <row r="13712" hidden="1">
      <c r="E13712" s="96"/>
    </row>
    <row r="13713" hidden="1">
      <c r="E13713" s="96"/>
    </row>
    <row r="13714" hidden="1">
      <c r="E13714" s="96"/>
    </row>
    <row r="13715" hidden="1">
      <c r="E13715" s="96"/>
    </row>
    <row r="13716" hidden="1">
      <c r="E13716" s="96"/>
    </row>
    <row r="13717" hidden="1">
      <c r="E13717" s="96"/>
    </row>
    <row r="13718" hidden="1">
      <c r="E13718" s="96"/>
    </row>
    <row r="13719" hidden="1">
      <c r="E13719" s="96"/>
    </row>
    <row r="13720" hidden="1">
      <c r="E13720" s="96"/>
    </row>
    <row r="13721" hidden="1">
      <c r="E13721" s="96"/>
    </row>
    <row r="13722" hidden="1">
      <c r="E13722" s="96"/>
    </row>
    <row r="13723" hidden="1">
      <c r="E13723" s="96"/>
    </row>
    <row r="13724" hidden="1">
      <c r="E13724" s="96"/>
    </row>
    <row r="13725" hidden="1">
      <c r="E13725" s="96"/>
    </row>
    <row r="13726" hidden="1">
      <c r="E13726" s="96"/>
    </row>
    <row r="13727" hidden="1">
      <c r="E13727" s="96"/>
    </row>
    <row r="13728" hidden="1">
      <c r="E13728" s="96"/>
    </row>
    <row r="13729" hidden="1">
      <c r="E13729" s="96"/>
    </row>
    <row r="13730" hidden="1">
      <c r="E13730" s="96"/>
    </row>
    <row r="13731" hidden="1">
      <c r="E13731" s="96"/>
    </row>
    <row r="13732" hidden="1">
      <c r="E13732" s="96"/>
    </row>
    <row r="13733" hidden="1">
      <c r="E13733" s="96"/>
    </row>
    <row r="13734" hidden="1">
      <c r="E13734" s="96"/>
    </row>
    <row r="13735" hidden="1">
      <c r="E13735" s="96"/>
    </row>
    <row r="13736" hidden="1">
      <c r="E13736" s="96"/>
    </row>
    <row r="13737" hidden="1">
      <c r="E13737" s="96"/>
    </row>
    <row r="13738" hidden="1">
      <c r="E13738" s="96"/>
    </row>
    <row r="13739" hidden="1">
      <c r="E13739" s="96"/>
    </row>
    <row r="13740" hidden="1">
      <c r="E13740" s="96"/>
    </row>
    <row r="13741" hidden="1">
      <c r="E13741" s="96"/>
    </row>
    <row r="13742" hidden="1">
      <c r="E13742" s="96"/>
    </row>
    <row r="13743" hidden="1">
      <c r="E13743" s="96"/>
    </row>
    <row r="13744" hidden="1">
      <c r="E13744" s="96"/>
    </row>
    <row r="13745" hidden="1">
      <c r="E13745" s="96"/>
    </row>
    <row r="13746" hidden="1">
      <c r="E13746" s="96"/>
    </row>
    <row r="13747" hidden="1">
      <c r="E13747" s="96"/>
    </row>
    <row r="13748" hidden="1">
      <c r="E13748" s="96"/>
    </row>
    <row r="13749" hidden="1">
      <c r="E13749" s="96"/>
    </row>
    <row r="13750" hidden="1">
      <c r="E13750" s="96"/>
    </row>
    <row r="13751" hidden="1">
      <c r="E13751" s="96"/>
    </row>
    <row r="13752" hidden="1">
      <c r="E13752" s="96"/>
    </row>
    <row r="13753" hidden="1">
      <c r="E13753" s="96"/>
    </row>
    <row r="13754" hidden="1">
      <c r="E13754" s="96"/>
    </row>
    <row r="13755" hidden="1">
      <c r="E13755" s="96"/>
    </row>
    <row r="13756" hidden="1">
      <c r="E13756" s="96"/>
    </row>
    <row r="13757" hidden="1">
      <c r="E13757" s="96"/>
    </row>
    <row r="13758" hidden="1">
      <c r="E13758" s="96"/>
    </row>
    <row r="13759" hidden="1">
      <c r="E13759" s="96"/>
    </row>
    <row r="13760" hidden="1">
      <c r="E13760" s="96"/>
    </row>
    <row r="13761" hidden="1">
      <c r="E13761" s="96"/>
    </row>
    <row r="13762" hidden="1">
      <c r="E13762" s="96"/>
    </row>
    <row r="13763" hidden="1">
      <c r="E13763" s="96"/>
    </row>
    <row r="13764" hidden="1">
      <c r="E13764" s="96"/>
    </row>
    <row r="13765" hidden="1">
      <c r="E13765" s="96"/>
    </row>
    <row r="13766" hidden="1">
      <c r="E13766" s="96"/>
    </row>
    <row r="13767" hidden="1">
      <c r="E13767" s="96"/>
    </row>
    <row r="13768" hidden="1">
      <c r="E13768" s="96"/>
    </row>
    <row r="13769" hidden="1">
      <c r="E13769" s="96"/>
    </row>
    <row r="13770" hidden="1">
      <c r="E13770" s="96"/>
    </row>
    <row r="13771" hidden="1">
      <c r="E13771" s="96"/>
    </row>
    <row r="13772" hidden="1">
      <c r="E13772" s="96"/>
    </row>
    <row r="13773" hidden="1">
      <c r="E13773" s="96"/>
    </row>
    <row r="13774" hidden="1">
      <c r="E13774" s="96"/>
    </row>
    <row r="13775" hidden="1">
      <c r="E13775" s="96"/>
    </row>
    <row r="13776" hidden="1">
      <c r="E13776" s="96"/>
    </row>
    <row r="13777" hidden="1">
      <c r="E13777" s="96"/>
    </row>
    <row r="13778" hidden="1">
      <c r="E13778" s="96"/>
    </row>
    <row r="13779" hidden="1">
      <c r="E13779" s="96"/>
    </row>
    <row r="13780" hidden="1">
      <c r="E13780" s="96"/>
    </row>
    <row r="13781" hidden="1">
      <c r="E13781" s="96"/>
    </row>
    <row r="13782" hidden="1">
      <c r="E13782" s="96"/>
    </row>
    <row r="13783" hidden="1">
      <c r="E13783" s="96"/>
    </row>
    <row r="13784" hidden="1">
      <c r="E13784" s="96"/>
    </row>
    <row r="13785" hidden="1">
      <c r="E13785" s="96"/>
    </row>
    <row r="13786" hidden="1">
      <c r="E13786" s="96"/>
    </row>
    <row r="13787" hidden="1">
      <c r="E13787" s="96"/>
    </row>
    <row r="13788" hidden="1">
      <c r="E13788" s="96"/>
    </row>
    <row r="13789" hidden="1">
      <c r="E13789" s="96"/>
    </row>
    <row r="13790" hidden="1">
      <c r="E13790" s="96"/>
    </row>
    <row r="13791" hidden="1">
      <c r="E13791" s="96"/>
    </row>
    <row r="13792" hidden="1">
      <c r="E13792" s="96"/>
    </row>
    <row r="13793" hidden="1">
      <c r="E13793" s="96"/>
    </row>
    <row r="13794" hidden="1">
      <c r="E13794" s="96"/>
    </row>
    <row r="13795" hidden="1">
      <c r="E13795" s="96"/>
    </row>
    <row r="13796" hidden="1">
      <c r="E13796" s="96"/>
    </row>
    <row r="13797" hidden="1">
      <c r="E13797" s="96"/>
    </row>
    <row r="13798" hidden="1">
      <c r="E13798" s="96"/>
    </row>
    <row r="13799" hidden="1">
      <c r="E13799" s="96"/>
    </row>
    <row r="13800" hidden="1">
      <c r="E13800" s="96"/>
    </row>
    <row r="13801" hidden="1">
      <c r="E13801" s="96"/>
    </row>
    <row r="13802" hidden="1">
      <c r="E13802" s="96"/>
    </row>
    <row r="13803" hidden="1">
      <c r="E13803" s="96"/>
    </row>
    <row r="13804" hidden="1">
      <c r="E13804" s="96"/>
    </row>
    <row r="13805" hidden="1">
      <c r="E13805" s="96"/>
    </row>
    <row r="13806" hidden="1">
      <c r="E13806" s="96"/>
    </row>
    <row r="13807" hidden="1">
      <c r="E13807" s="96"/>
    </row>
    <row r="13808" hidden="1">
      <c r="E13808" s="96"/>
    </row>
    <row r="13809" hidden="1">
      <c r="E13809" s="96"/>
    </row>
    <row r="13810" hidden="1">
      <c r="E13810" s="96"/>
    </row>
    <row r="13811" hidden="1">
      <c r="E13811" s="96"/>
    </row>
    <row r="13812" hidden="1">
      <c r="E13812" s="96"/>
    </row>
    <row r="13813" hidden="1">
      <c r="E13813" s="96"/>
    </row>
    <row r="13814" hidden="1">
      <c r="E13814" s="96"/>
    </row>
    <row r="13815" hidden="1">
      <c r="E13815" s="96"/>
    </row>
    <row r="13816" hidden="1">
      <c r="E13816" s="96"/>
    </row>
    <row r="13817" hidden="1">
      <c r="E13817" s="96"/>
    </row>
    <row r="13818" hidden="1">
      <c r="E13818" s="96"/>
    </row>
    <row r="13819" hidden="1">
      <c r="E13819" s="96"/>
    </row>
    <row r="13820" hidden="1">
      <c r="E13820" s="96"/>
    </row>
    <row r="13821" hidden="1">
      <c r="E13821" s="96"/>
    </row>
    <row r="13822" hidden="1">
      <c r="E13822" s="96"/>
    </row>
    <row r="13823" hidden="1">
      <c r="E13823" s="96"/>
    </row>
    <row r="13824" hidden="1">
      <c r="E13824" s="96"/>
    </row>
    <row r="13825" hidden="1">
      <c r="E13825" s="96"/>
    </row>
    <row r="13826" hidden="1">
      <c r="E13826" s="96"/>
    </row>
    <row r="13827" hidden="1">
      <c r="E13827" s="96"/>
    </row>
    <row r="13828" hidden="1">
      <c r="E13828" s="96"/>
    </row>
    <row r="13829" hidden="1">
      <c r="E13829" s="96"/>
    </row>
    <row r="13830" hidden="1">
      <c r="E13830" s="96"/>
    </row>
    <row r="13831" hidden="1">
      <c r="E13831" s="96"/>
    </row>
    <row r="13832" hidden="1">
      <c r="E13832" s="96"/>
    </row>
    <row r="13833" hidden="1">
      <c r="E13833" s="96"/>
    </row>
    <row r="13834" hidden="1">
      <c r="E13834" s="96"/>
    </row>
    <row r="13835" hidden="1">
      <c r="E13835" s="96"/>
    </row>
    <row r="13836" hidden="1">
      <c r="E13836" s="96"/>
    </row>
    <row r="13837" hidden="1">
      <c r="E13837" s="96"/>
    </row>
    <row r="13838" hidden="1">
      <c r="E13838" s="96"/>
    </row>
    <row r="13839" hidden="1">
      <c r="E13839" s="96"/>
    </row>
    <row r="13840" hidden="1">
      <c r="E13840" s="96"/>
    </row>
    <row r="13841" hidden="1">
      <c r="E13841" s="96"/>
    </row>
    <row r="13842" hidden="1">
      <c r="E13842" s="96"/>
    </row>
    <row r="13843" hidden="1">
      <c r="E13843" s="96"/>
    </row>
    <row r="13844" hidden="1">
      <c r="E13844" s="96"/>
    </row>
    <row r="13845" hidden="1">
      <c r="E13845" s="96"/>
    </row>
    <row r="13846" hidden="1">
      <c r="E13846" s="96"/>
    </row>
    <row r="13847" hidden="1">
      <c r="E13847" s="96"/>
    </row>
    <row r="13848" hidden="1">
      <c r="E13848" s="96"/>
    </row>
    <row r="13849" hidden="1">
      <c r="E13849" s="96"/>
    </row>
    <row r="13850" hidden="1">
      <c r="E13850" s="96"/>
    </row>
    <row r="13851" hidden="1">
      <c r="E13851" s="96"/>
    </row>
    <row r="13852" hidden="1">
      <c r="E13852" s="96"/>
    </row>
    <row r="13853" hidden="1">
      <c r="E13853" s="96"/>
    </row>
    <row r="13854" hidden="1">
      <c r="E13854" s="96"/>
    </row>
    <row r="13855" hidden="1">
      <c r="E13855" s="96"/>
    </row>
    <row r="13856" hidden="1">
      <c r="E13856" s="96"/>
    </row>
    <row r="13857" hidden="1">
      <c r="E13857" s="96"/>
    </row>
    <row r="13858" hidden="1">
      <c r="E13858" s="96"/>
    </row>
    <row r="13859" hidden="1">
      <c r="E13859" s="96"/>
    </row>
    <row r="13860" hidden="1">
      <c r="E13860" s="96"/>
    </row>
    <row r="13861" hidden="1">
      <c r="E13861" s="96"/>
    </row>
    <row r="13862" hidden="1">
      <c r="E13862" s="96"/>
    </row>
    <row r="13863" hidden="1">
      <c r="E13863" s="96"/>
    </row>
    <row r="13864" hidden="1">
      <c r="E13864" s="96"/>
    </row>
    <row r="13865" hidden="1">
      <c r="E13865" s="96"/>
    </row>
    <row r="13866" hidden="1">
      <c r="E13866" s="96"/>
    </row>
    <row r="13867" hidden="1">
      <c r="E13867" s="96"/>
    </row>
    <row r="13868" hidden="1">
      <c r="E13868" s="96"/>
    </row>
    <row r="13869" hidden="1">
      <c r="E13869" s="96"/>
    </row>
    <row r="13870" hidden="1">
      <c r="E13870" s="96"/>
    </row>
    <row r="13871" hidden="1">
      <c r="E13871" s="96"/>
    </row>
    <row r="13872" hidden="1">
      <c r="E13872" s="96"/>
    </row>
    <row r="13873" hidden="1">
      <c r="E13873" s="96"/>
    </row>
    <row r="13874" hidden="1">
      <c r="E13874" s="96"/>
    </row>
    <row r="13875" hidden="1">
      <c r="E13875" s="96"/>
    </row>
    <row r="13876" hidden="1">
      <c r="E13876" s="96"/>
    </row>
    <row r="13877" hidden="1">
      <c r="E13877" s="96"/>
    </row>
    <row r="13878" hidden="1">
      <c r="E13878" s="96"/>
    </row>
    <row r="13879" hidden="1">
      <c r="E13879" s="96"/>
    </row>
    <row r="13880" hidden="1">
      <c r="E13880" s="96"/>
    </row>
    <row r="13881" hidden="1">
      <c r="E13881" s="96"/>
    </row>
    <row r="13882" hidden="1">
      <c r="E13882" s="96"/>
    </row>
    <row r="13883" hidden="1">
      <c r="E13883" s="96"/>
    </row>
    <row r="13884" hidden="1">
      <c r="E13884" s="96"/>
    </row>
    <row r="13885" hidden="1">
      <c r="E13885" s="96"/>
    </row>
    <row r="13886" hidden="1">
      <c r="E13886" s="96"/>
    </row>
    <row r="13887" hidden="1">
      <c r="E13887" s="96"/>
    </row>
    <row r="13888" hidden="1">
      <c r="E13888" s="96"/>
    </row>
    <row r="13889" hidden="1">
      <c r="E13889" s="96"/>
    </row>
    <row r="13890" hidden="1">
      <c r="E13890" s="96"/>
    </row>
    <row r="13891" hidden="1">
      <c r="E13891" s="96"/>
    </row>
    <row r="13892" hidden="1">
      <c r="E13892" s="96"/>
    </row>
    <row r="13893" hidden="1">
      <c r="E13893" s="96"/>
    </row>
    <row r="13894" hidden="1">
      <c r="E13894" s="96"/>
    </row>
    <row r="13895" hidden="1">
      <c r="E13895" s="96"/>
    </row>
    <row r="13896" hidden="1">
      <c r="E13896" s="96"/>
    </row>
    <row r="13897" hidden="1">
      <c r="E13897" s="96"/>
    </row>
    <row r="13898" hidden="1">
      <c r="E13898" s="96"/>
    </row>
    <row r="13899" hidden="1">
      <c r="E13899" s="96"/>
    </row>
    <row r="13900" hidden="1">
      <c r="E13900" s="96"/>
    </row>
    <row r="13901" hidden="1">
      <c r="E13901" s="96"/>
    </row>
    <row r="13902" hidden="1">
      <c r="E13902" s="96"/>
    </row>
    <row r="13903" hidden="1">
      <c r="E13903" s="96"/>
    </row>
    <row r="13904" hidden="1">
      <c r="E13904" s="96"/>
    </row>
    <row r="13905" hidden="1">
      <c r="E13905" s="96"/>
    </row>
    <row r="13906" hidden="1">
      <c r="E13906" s="96"/>
    </row>
    <row r="13907" hidden="1">
      <c r="E13907" s="96"/>
    </row>
    <row r="13908" hidden="1">
      <c r="E13908" s="96"/>
    </row>
    <row r="13909" hidden="1">
      <c r="E13909" s="96"/>
    </row>
    <row r="13910" hidden="1">
      <c r="E13910" s="96"/>
    </row>
    <row r="13911" hidden="1">
      <c r="E13911" s="96"/>
    </row>
    <row r="13912" hidden="1">
      <c r="E13912" s="96"/>
    </row>
    <row r="13913" hidden="1">
      <c r="E13913" s="96"/>
    </row>
    <row r="13914" hidden="1">
      <c r="E13914" s="96"/>
    </row>
    <row r="13915" hidden="1">
      <c r="E13915" s="96"/>
    </row>
    <row r="13916" hidden="1">
      <c r="E13916" s="96"/>
    </row>
    <row r="13917" hidden="1">
      <c r="E13917" s="96"/>
    </row>
    <row r="13918" hidden="1">
      <c r="E13918" s="96"/>
    </row>
    <row r="13919" hidden="1">
      <c r="E13919" s="96"/>
    </row>
    <row r="13920" hidden="1">
      <c r="E13920" s="96"/>
    </row>
    <row r="13921" hidden="1">
      <c r="E13921" s="96"/>
    </row>
    <row r="13922" hidden="1">
      <c r="E13922" s="96"/>
    </row>
    <row r="13923" hidden="1">
      <c r="E13923" s="96"/>
    </row>
    <row r="13924" hidden="1">
      <c r="E13924" s="96"/>
    </row>
    <row r="13925" hidden="1">
      <c r="E13925" s="96"/>
    </row>
    <row r="13926" hidden="1">
      <c r="E13926" s="96"/>
    </row>
    <row r="13927" hidden="1">
      <c r="E13927" s="96"/>
    </row>
    <row r="13928" hidden="1">
      <c r="E13928" s="96"/>
    </row>
    <row r="13929" hidden="1">
      <c r="E13929" s="96"/>
    </row>
    <row r="13930" hidden="1">
      <c r="E13930" s="96"/>
    </row>
    <row r="13931" hidden="1">
      <c r="E13931" s="96"/>
    </row>
    <row r="13932" hidden="1">
      <c r="E13932" s="96"/>
    </row>
    <row r="13933" hidden="1">
      <c r="E13933" s="96"/>
    </row>
    <row r="13934" hidden="1">
      <c r="E13934" s="96"/>
    </row>
    <row r="13935" hidden="1">
      <c r="E13935" s="96"/>
    </row>
    <row r="13936" hidden="1">
      <c r="E13936" s="96"/>
    </row>
    <row r="13937" hidden="1">
      <c r="E13937" s="96"/>
    </row>
    <row r="13938" hidden="1">
      <c r="E13938" s="96"/>
    </row>
    <row r="13939" hidden="1">
      <c r="E13939" s="96"/>
    </row>
    <row r="13940" hidden="1">
      <c r="E13940" s="96"/>
    </row>
    <row r="13941" hidden="1">
      <c r="E13941" s="96"/>
    </row>
    <row r="13942" hidden="1">
      <c r="E13942" s="96"/>
    </row>
    <row r="13943" hidden="1">
      <c r="E13943" s="96"/>
    </row>
    <row r="13944" hidden="1">
      <c r="E13944" s="96"/>
    </row>
    <row r="13945" hidden="1">
      <c r="E13945" s="96"/>
    </row>
    <row r="13946" hidden="1">
      <c r="E13946" s="96"/>
    </row>
    <row r="13947" hidden="1">
      <c r="E13947" s="96"/>
    </row>
    <row r="13948" hidden="1">
      <c r="E13948" s="96"/>
    </row>
    <row r="13949" hidden="1">
      <c r="E13949" s="96"/>
    </row>
    <row r="13950" hidden="1">
      <c r="E13950" s="96"/>
    </row>
    <row r="13951" hidden="1">
      <c r="E13951" s="96"/>
    </row>
    <row r="13952" hidden="1">
      <c r="E13952" s="96"/>
    </row>
    <row r="13953" hidden="1">
      <c r="E13953" s="96"/>
    </row>
    <row r="13954" hidden="1">
      <c r="E13954" s="96"/>
    </row>
    <row r="13955" hidden="1">
      <c r="E13955" s="96"/>
    </row>
    <row r="13956" hidden="1">
      <c r="E13956" s="96"/>
    </row>
    <row r="13957" hidden="1">
      <c r="E13957" s="96"/>
    </row>
    <row r="13958" hidden="1">
      <c r="E13958" s="96"/>
    </row>
    <row r="13959" hidden="1">
      <c r="E13959" s="96"/>
    </row>
    <row r="13960" hidden="1">
      <c r="E13960" s="96"/>
    </row>
    <row r="13961" hidden="1">
      <c r="E13961" s="96"/>
    </row>
    <row r="13962" hidden="1">
      <c r="E13962" s="96"/>
    </row>
    <row r="13963" hidden="1">
      <c r="E13963" s="96"/>
    </row>
    <row r="13964" hidden="1">
      <c r="E13964" s="96"/>
    </row>
    <row r="13965" hidden="1">
      <c r="E13965" s="96"/>
    </row>
    <row r="13966" hidden="1">
      <c r="E13966" s="96"/>
    </row>
    <row r="13967" hidden="1">
      <c r="E13967" s="96"/>
    </row>
    <row r="13968" hidden="1">
      <c r="E13968" s="96"/>
    </row>
    <row r="13969" hidden="1">
      <c r="E13969" s="96"/>
    </row>
    <row r="13970" hidden="1">
      <c r="E13970" s="96"/>
    </row>
    <row r="13971" hidden="1">
      <c r="E13971" s="96"/>
    </row>
    <row r="13972" hidden="1">
      <c r="E13972" s="96"/>
    </row>
    <row r="13973" hidden="1">
      <c r="E13973" s="96"/>
    </row>
    <row r="13974" hidden="1">
      <c r="E13974" s="96"/>
    </row>
    <row r="13975" hidden="1">
      <c r="E13975" s="96"/>
    </row>
    <row r="13976" hidden="1">
      <c r="E13976" s="96"/>
    </row>
    <row r="13977" hidden="1">
      <c r="E13977" s="96"/>
    </row>
    <row r="13978" hidden="1">
      <c r="E13978" s="96"/>
    </row>
    <row r="13979" hidden="1">
      <c r="E13979" s="96"/>
    </row>
    <row r="13980" hidden="1">
      <c r="E13980" s="96"/>
    </row>
    <row r="13981" hidden="1">
      <c r="E13981" s="96"/>
    </row>
    <row r="13982" hidden="1">
      <c r="E13982" s="96"/>
    </row>
    <row r="13983" hidden="1">
      <c r="E13983" s="96"/>
    </row>
    <row r="13984" hidden="1">
      <c r="E13984" s="96"/>
    </row>
    <row r="13985" hidden="1">
      <c r="E13985" s="96"/>
    </row>
    <row r="13986" hidden="1">
      <c r="E13986" s="96"/>
    </row>
    <row r="13987" hidden="1">
      <c r="E13987" s="96"/>
    </row>
    <row r="13988" hidden="1">
      <c r="E13988" s="96"/>
    </row>
    <row r="13989" hidden="1">
      <c r="E13989" s="96"/>
    </row>
    <row r="13990" hidden="1">
      <c r="E13990" s="96"/>
    </row>
    <row r="13991" hidden="1">
      <c r="E13991" s="96"/>
    </row>
    <row r="13992" hidden="1">
      <c r="E13992" s="96"/>
    </row>
    <row r="13993" hidden="1">
      <c r="E13993" s="96"/>
    </row>
    <row r="13994" hidden="1">
      <c r="E13994" s="96"/>
    </row>
    <row r="13995" hidden="1">
      <c r="E13995" s="96"/>
    </row>
    <row r="13996" hidden="1">
      <c r="E13996" s="96"/>
    </row>
    <row r="13997" hidden="1">
      <c r="E13997" s="96"/>
    </row>
    <row r="13998" hidden="1">
      <c r="E13998" s="96"/>
    </row>
    <row r="13999" hidden="1">
      <c r="E13999" s="96"/>
    </row>
    <row r="14000" hidden="1">
      <c r="E14000" s="96"/>
    </row>
    <row r="14001" hidden="1">
      <c r="E14001" s="96"/>
    </row>
    <row r="14002" hidden="1">
      <c r="E14002" s="96"/>
    </row>
    <row r="14003" hidden="1">
      <c r="E14003" s="96"/>
    </row>
    <row r="14004" hidden="1">
      <c r="E14004" s="96"/>
    </row>
    <row r="14005" hidden="1">
      <c r="E14005" s="96"/>
    </row>
    <row r="14006" hidden="1">
      <c r="E14006" s="96"/>
    </row>
    <row r="14007" hidden="1">
      <c r="E14007" s="96"/>
    </row>
    <row r="14008" hidden="1">
      <c r="E14008" s="96"/>
    </row>
    <row r="14009" hidden="1">
      <c r="E14009" s="96"/>
    </row>
    <row r="14010" hidden="1">
      <c r="E14010" s="96"/>
    </row>
    <row r="14011" hidden="1">
      <c r="E14011" s="96"/>
    </row>
    <row r="14012" hidden="1">
      <c r="E14012" s="96"/>
    </row>
    <row r="14013" hidden="1">
      <c r="E14013" s="96"/>
    </row>
    <row r="14014" hidden="1">
      <c r="E14014" s="96"/>
    </row>
    <row r="14015" hidden="1">
      <c r="E14015" s="96"/>
    </row>
    <row r="14016" hidden="1">
      <c r="E14016" s="96"/>
    </row>
    <row r="14017" hidden="1">
      <c r="E14017" s="96"/>
    </row>
    <row r="14018" hidden="1">
      <c r="E14018" s="96"/>
    </row>
    <row r="14019" hidden="1">
      <c r="E14019" s="96"/>
    </row>
    <row r="14020" hidden="1">
      <c r="E14020" s="96"/>
    </row>
    <row r="14021" hidden="1">
      <c r="E14021" s="96"/>
    </row>
    <row r="14022" hidden="1">
      <c r="E14022" s="96"/>
    </row>
    <row r="14023" hidden="1">
      <c r="E14023" s="96"/>
    </row>
    <row r="14024" hidden="1">
      <c r="E14024" s="96"/>
    </row>
    <row r="14025" hidden="1">
      <c r="E14025" s="96"/>
    </row>
    <row r="14026" hidden="1">
      <c r="E14026" s="96"/>
    </row>
    <row r="14027" hidden="1">
      <c r="E14027" s="96"/>
    </row>
    <row r="14028" hidden="1">
      <c r="E14028" s="96"/>
    </row>
    <row r="14029" hidden="1">
      <c r="E14029" s="96"/>
    </row>
    <row r="14030" hidden="1">
      <c r="E14030" s="96"/>
    </row>
    <row r="14031" hidden="1">
      <c r="E14031" s="96"/>
    </row>
    <row r="14032" hidden="1">
      <c r="E14032" s="96"/>
    </row>
    <row r="14033" hidden="1">
      <c r="E14033" s="96"/>
    </row>
    <row r="14034" hidden="1">
      <c r="E14034" s="96"/>
    </row>
    <row r="14035" hidden="1">
      <c r="E14035" s="96"/>
    </row>
    <row r="14036" hidden="1">
      <c r="E14036" s="96"/>
    </row>
    <row r="14037" hidden="1">
      <c r="E14037" s="96"/>
    </row>
    <row r="14038" hidden="1">
      <c r="E14038" s="96"/>
    </row>
    <row r="14039" hidden="1">
      <c r="E14039" s="96"/>
    </row>
    <row r="14040" hidden="1">
      <c r="E14040" s="96"/>
    </row>
    <row r="14041" hidden="1">
      <c r="E14041" s="96"/>
    </row>
    <row r="14042" hidden="1">
      <c r="E14042" s="96"/>
    </row>
    <row r="14043" hidden="1">
      <c r="E14043" s="96"/>
    </row>
    <row r="14044" hidden="1">
      <c r="E14044" s="96"/>
    </row>
    <row r="14045" hidden="1">
      <c r="E14045" s="96"/>
    </row>
    <row r="14046" hidden="1">
      <c r="E14046" s="96"/>
    </row>
    <row r="14047" hidden="1">
      <c r="E14047" s="96"/>
    </row>
    <row r="14048" hidden="1">
      <c r="E14048" s="96"/>
    </row>
    <row r="14049" hidden="1">
      <c r="E14049" s="96"/>
    </row>
    <row r="14050" hidden="1">
      <c r="E14050" s="96"/>
    </row>
    <row r="14051" hidden="1">
      <c r="E14051" s="96"/>
    </row>
    <row r="14052" hidden="1">
      <c r="E14052" s="96"/>
    </row>
    <row r="14053" hidden="1">
      <c r="E14053" s="96"/>
    </row>
    <row r="14054" hidden="1">
      <c r="E14054" s="96"/>
    </row>
    <row r="14055" hidden="1">
      <c r="E14055" s="96"/>
    </row>
    <row r="14056" hidden="1">
      <c r="E14056" s="96"/>
    </row>
    <row r="14057" hidden="1">
      <c r="E14057" s="96"/>
    </row>
    <row r="14058" hidden="1">
      <c r="E14058" s="96"/>
    </row>
    <row r="14059" hidden="1">
      <c r="E14059" s="96"/>
    </row>
    <row r="14060" hidden="1">
      <c r="E14060" s="96"/>
    </row>
    <row r="14061" hidden="1">
      <c r="E14061" s="96"/>
    </row>
    <row r="14062" hidden="1">
      <c r="E14062" s="96"/>
    </row>
    <row r="14063" hidden="1">
      <c r="E14063" s="96"/>
    </row>
    <row r="14064" hidden="1">
      <c r="E14064" s="96"/>
    </row>
    <row r="14065" hidden="1">
      <c r="E14065" s="96"/>
    </row>
    <row r="14066" hidden="1">
      <c r="E14066" s="96"/>
    </row>
    <row r="14067" hidden="1">
      <c r="E14067" s="96"/>
    </row>
    <row r="14068" hidden="1">
      <c r="E14068" s="96"/>
    </row>
    <row r="14069" hidden="1">
      <c r="E14069" s="96"/>
    </row>
    <row r="14070" hidden="1">
      <c r="E14070" s="96"/>
    </row>
    <row r="14071" hidden="1">
      <c r="E14071" s="96"/>
    </row>
    <row r="14072" hidden="1">
      <c r="E14072" s="96"/>
    </row>
    <row r="14073" hidden="1">
      <c r="E14073" s="96"/>
    </row>
    <row r="14074" hidden="1">
      <c r="E14074" s="96"/>
    </row>
    <row r="14075" hidden="1">
      <c r="E14075" s="96"/>
    </row>
    <row r="14076" hidden="1">
      <c r="E14076" s="96"/>
    </row>
    <row r="14077" hidden="1">
      <c r="E14077" s="96"/>
    </row>
    <row r="14078" hidden="1">
      <c r="E14078" s="96"/>
    </row>
    <row r="14079" hidden="1">
      <c r="E14079" s="96"/>
    </row>
    <row r="14080" hidden="1">
      <c r="E14080" s="96"/>
    </row>
    <row r="14081" hidden="1">
      <c r="E14081" s="96"/>
    </row>
    <row r="14082" hidden="1">
      <c r="E14082" s="96"/>
    </row>
    <row r="14083" hidden="1">
      <c r="E14083" s="96"/>
    </row>
    <row r="14084" hidden="1">
      <c r="E14084" s="96"/>
    </row>
    <row r="14085" hidden="1">
      <c r="E14085" s="96"/>
    </row>
    <row r="14086" hidden="1">
      <c r="E14086" s="96"/>
    </row>
    <row r="14087" hidden="1">
      <c r="E14087" s="96"/>
    </row>
    <row r="14088" hidden="1">
      <c r="E14088" s="96"/>
    </row>
    <row r="14089" hidden="1">
      <c r="E14089" s="96"/>
    </row>
    <row r="14090" hidden="1">
      <c r="E14090" s="96"/>
    </row>
    <row r="14091" hidden="1">
      <c r="E14091" s="96"/>
    </row>
    <row r="14092" hidden="1">
      <c r="E14092" s="96"/>
    </row>
    <row r="14093" hidden="1">
      <c r="E14093" s="96"/>
    </row>
    <row r="14094" hidden="1">
      <c r="E14094" s="96"/>
    </row>
    <row r="14095" hidden="1">
      <c r="E14095" s="96"/>
    </row>
    <row r="14096" hidden="1">
      <c r="E14096" s="96"/>
    </row>
    <row r="14097" hidden="1">
      <c r="E14097" s="96"/>
    </row>
    <row r="14098" hidden="1">
      <c r="E14098" s="96"/>
    </row>
    <row r="14099" hidden="1">
      <c r="E14099" s="96"/>
    </row>
    <row r="14100" hidden="1">
      <c r="E14100" s="96"/>
    </row>
    <row r="14101" hidden="1">
      <c r="E14101" s="96"/>
    </row>
    <row r="14102" hidden="1">
      <c r="E14102" s="96"/>
    </row>
    <row r="14103" hidden="1">
      <c r="E14103" s="96"/>
    </row>
    <row r="14104" hidden="1">
      <c r="E14104" s="96"/>
    </row>
    <row r="14105" hidden="1">
      <c r="E14105" s="96"/>
    </row>
    <row r="14106" hidden="1">
      <c r="E14106" s="96"/>
    </row>
    <row r="14107" hidden="1">
      <c r="E14107" s="96"/>
    </row>
    <row r="14108" hidden="1">
      <c r="E14108" s="96"/>
    </row>
    <row r="14109" hidden="1">
      <c r="E14109" s="96"/>
    </row>
    <row r="14110" hidden="1">
      <c r="E14110" s="96"/>
    </row>
    <row r="14111" hidden="1">
      <c r="E14111" s="96"/>
    </row>
    <row r="14112" hidden="1">
      <c r="E14112" s="96"/>
    </row>
    <row r="14113" hidden="1">
      <c r="E14113" s="96"/>
    </row>
    <row r="14114" hidden="1">
      <c r="E14114" s="96"/>
    </row>
    <row r="14115" hidden="1">
      <c r="E14115" s="96"/>
    </row>
    <row r="14116" hidden="1">
      <c r="E14116" s="96"/>
    </row>
    <row r="14117" hidden="1">
      <c r="E14117" s="96"/>
    </row>
    <row r="14118" hidden="1">
      <c r="E14118" s="96"/>
    </row>
    <row r="14119" hidden="1">
      <c r="E14119" s="96"/>
    </row>
    <row r="14120" hidden="1">
      <c r="E14120" s="96"/>
    </row>
    <row r="14121" hidden="1">
      <c r="E14121" s="96"/>
    </row>
    <row r="14122" hidden="1">
      <c r="E14122" s="96"/>
    </row>
    <row r="14123" hidden="1">
      <c r="E14123" s="96"/>
    </row>
    <row r="14124" hidden="1">
      <c r="E14124" s="96"/>
    </row>
    <row r="14125" hidden="1">
      <c r="E14125" s="96"/>
    </row>
    <row r="14126" hidden="1">
      <c r="E14126" s="96"/>
    </row>
    <row r="14127" hidden="1">
      <c r="E14127" s="96"/>
    </row>
    <row r="14128" hidden="1">
      <c r="E14128" s="96"/>
    </row>
    <row r="14129" hidden="1">
      <c r="E14129" s="96"/>
    </row>
    <row r="14130" hidden="1">
      <c r="E14130" s="96"/>
    </row>
    <row r="14131" hidden="1">
      <c r="E14131" s="96"/>
    </row>
    <row r="14132" hidden="1">
      <c r="E14132" s="96"/>
    </row>
    <row r="14133" hidden="1">
      <c r="E14133" s="96"/>
    </row>
    <row r="14134" hidden="1">
      <c r="E14134" s="96"/>
    </row>
    <row r="14135" hidden="1">
      <c r="E14135" s="96"/>
    </row>
    <row r="14136" hidden="1">
      <c r="E14136" s="96"/>
    </row>
    <row r="14137" hidden="1">
      <c r="E14137" s="96"/>
    </row>
    <row r="14138" hidden="1">
      <c r="E14138" s="96"/>
    </row>
    <row r="14139" hidden="1">
      <c r="E14139" s="96"/>
    </row>
    <row r="14140" hidden="1">
      <c r="E14140" s="96"/>
    </row>
    <row r="14141" hidden="1">
      <c r="E14141" s="96"/>
    </row>
    <row r="14142" hidden="1">
      <c r="E14142" s="96"/>
    </row>
    <row r="14143" hidden="1">
      <c r="E14143" s="96"/>
    </row>
    <row r="14144" hidden="1">
      <c r="E14144" s="96"/>
    </row>
    <row r="14145" hidden="1">
      <c r="E14145" s="96"/>
    </row>
    <row r="14146" hidden="1">
      <c r="E14146" s="96"/>
    </row>
    <row r="14147" hidden="1">
      <c r="E14147" s="96"/>
    </row>
    <row r="14148" hidden="1">
      <c r="E14148" s="96"/>
    </row>
    <row r="14149" hidden="1">
      <c r="E14149" s="96"/>
    </row>
    <row r="14150" hidden="1">
      <c r="E14150" s="96"/>
    </row>
    <row r="14151" hidden="1">
      <c r="E14151" s="96"/>
    </row>
    <row r="14152" hidden="1">
      <c r="E14152" s="96"/>
    </row>
    <row r="14153" hidden="1">
      <c r="E14153" s="96"/>
    </row>
    <row r="14154" hidden="1">
      <c r="E14154" s="96"/>
    </row>
    <row r="14155" hidden="1">
      <c r="E14155" s="96"/>
    </row>
    <row r="14156" hidden="1">
      <c r="E14156" s="96"/>
    </row>
    <row r="14157" hidden="1">
      <c r="E14157" s="96"/>
    </row>
    <row r="14158" hidden="1">
      <c r="E14158" s="96"/>
    </row>
    <row r="14159" hidden="1">
      <c r="E14159" s="96"/>
    </row>
    <row r="14160" hidden="1">
      <c r="E14160" s="96"/>
    </row>
    <row r="14161" hidden="1">
      <c r="E14161" s="96"/>
    </row>
    <row r="14162" hidden="1">
      <c r="E14162" s="96"/>
    </row>
    <row r="14163" hidden="1">
      <c r="E14163" s="96"/>
    </row>
    <row r="14164" hidden="1">
      <c r="E14164" s="96"/>
    </row>
    <row r="14165" hidden="1">
      <c r="E14165" s="96"/>
    </row>
    <row r="14166" hidden="1">
      <c r="E14166" s="96"/>
    </row>
    <row r="14167" hidden="1">
      <c r="E14167" s="96"/>
    </row>
    <row r="14168" hidden="1">
      <c r="E14168" s="96"/>
    </row>
    <row r="14169" hidden="1">
      <c r="E14169" s="96"/>
    </row>
    <row r="14170" hidden="1">
      <c r="E14170" s="96"/>
    </row>
    <row r="14171" hidden="1">
      <c r="E14171" s="96"/>
    </row>
    <row r="14172" hidden="1">
      <c r="E14172" s="96"/>
    </row>
    <row r="14173" hidden="1">
      <c r="E14173" s="96"/>
    </row>
    <row r="14174" hidden="1">
      <c r="E14174" s="96"/>
    </row>
    <row r="14175" hidden="1">
      <c r="E14175" s="96"/>
    </row>
    <row r="14176" hidden="1">
      <c r="E14176" s="96"/>
    </row>
    <row r="14177" hidden="1">
      <c r="E14177" s="96"/>
    </row>
    <row r="14178" hidden="1">
      <c r="E14178" s="96"/>
    </row>
    <row r="14179" hidden="1">
      <c r="E14179" s="96"/>
    </row>
    <row r="14180" hidden="1">
      <c r="E14180" s="96"/>
    </row>
    <row r="14181" hidden="1">
      <c r="E14181" s="96"/>
    </row>
    <row r="14182" hidden="1">
      <c r="E14182" s="96"/>
    </row>
    <row r="14183" hidden="1">
      <c r="E14183" s="96"/>
    </row>
    <row r="14184" hidden="1">
      <c r="E14184" s="96"/>
    </row>
    <row r="14185" hidden="1">
      <c r="E14185" s="96"/>
    </row>
    <row r="14186" hidden="1">
      <c r="E14186" s="96"/>
    </row>
    <row r="14187" hidden="1">
      <c r="E14187" s="96"/>
    </row>
    <row r="14188" hidden="1">
      <c r="E14188" s="96"/>
    </row>
    <row r="14189" hidden="1">
      <c r="E14189" s="96"/>
    </row>
    <row r="14190" hidden="1">
      <c r="E14190" s="96"/>
    </row>
    <row r="14191" hidden="1">
      <c r="E14191" s="96"/>
    </row>
    <row r="14192" hidden="1">
      <c r="E14192" s="96"/>
    </row>
    <row r="14193" hidden="1">
      <c r="E14193" s="96"/>
    </row>
    <row r="14194" hidden="1">
      <c r="E14194" s="96"/>
    </row>
    <row r="14195" hidden="1">
      <c r="E14195" s="96"/>
    </row>
    <row r="14196" hidden="1">
      <c r="E14196" s="96"/>
    </row>
    <row r="14197" hidden="1">
      <c r="E14197" s="96"/>
    </row>
    <row r="14198" hidden="1">
      <c r="E14198" s="96"/>
    </row>
    <row r="14199" hidden="1">
      <c r="E14199" s="96"/>
    </row>
    <row r="14200" hidden="1">
      <c r="E14200" s="96"/>
    </row>
    <row r="14201" hidden="1">
      <c r="E14201" s="96"/>
    </row>
    <row r="14202" hidden="1">
      <c r="E14202" s="96"/>
    </row>
    <row r="14203" hidden="1">
      <c r="E14203" s="96"/>
    </row>
    <row r="14204" hidden="1">
      <c r="E14204" s="96"/>
    </row>
    <row r="14205" hidden="1">
      <c r="E14205" s="96"/>
    </row>
    <row r="14206" hidden="1">
      <c r="E14206" s="96"/>
    </row>
    <row r="14207" hidden="1">
      <c r="E14207" s="96"/>
    </row>
    <row r="14208" hidden="1">
      <c r="E14208" s="96"/>
    </row>
    <row r="14209" hidden="1">
      <c r="E14209" s="96"/>
    </row>
    <row r="14210" hidden="1">
      <c r="E14210" s="96"/>
    </row>
    <row r="14211" hidden="1">
      <c r="E14211" s="96"/>
    </row>
    <row r="14212" hidden="1">
      <c r="E14212" s="96"/>
    </row>
    <row r="14213" hidden="1">
      <c r="E14213" s="96"/>
    </row>
    <row r="14214" hidden="1">
      <c r="E14214" s="96"/>
    </row>
    <row r="14215" hidden="1">
      <c r="E14215" s="96"/>
    </row>
    <row r="14216" hidden="1">
      <c r="E14216" s="96"/>
    </row>
    <row r="14217" hidden="1">
      <c r="E14217" s="96"/>
    </row>
    <row r="14218" hidden="1">
      <c r="E14218" s="96"/>
    </row>
    <row r="14219" hidden="1">
      <c r="E14219" s="96"/>
    </row>
    <row r="14220" hidden="1">
      <c r="E14220" s="96"/>
    </row>
    <row r="14221" hidden="1">
      <c r="E14221" s="96"/>
    </row>
    <row r="14222" hidden="1">
      <c r="E14222" s="96"/>
    </row>
    <row r="14223" hidden="1">
      <c r="E14223" s="96"/>
    </row>
    <row r="14224" hidden="1">
      <c r="E14224" s="96"/>
    </row>
    <row r="14225" hidden="1">
      <c r="E14225" s="96"/>
    </row>
    <row r="14226" hidden="1">
      <c r="E14226" s="96"/>
    </row>
    <row r="14227" hidden="1">
      <c r="E14227" s="96"/>
    </row>
    <row r="14228" hidden="1">
      <c r="E14228" s="96"/>
    </row>
    <row r="14229" hidden="1">
      <c r="E14229" s="96"/>
    </row>
    <row r="14230" hidden="1">
      <c r="E14230" s="96"/>
    </row>
    <row r="14231" hidden="1">
      <c r="E14231" s="96"/>
    </row>
    <row r="14232" hidden="1">
      <c r="E14232" s="96"/>
    </row>
    <row r="14233" hidden="1">
      <c r="E14233" s="96"/>
    </row>
    <row r="14234" hidden="1">
      <c r="E14234" s="96"/>
    </row>
    <row r="14235" hidden="1">
      <c r="E14235" s="96"/>
    </row>
    <row r="14236" hidden="1">
      <c r="E14236" s="96"/>
    </row>
    <row r="14237" hidden="1">
      <c r="E14237" s="96"/>
    </row>
    <row r="14238" hidden="1">
      <c r="E14238" s="96"/>
    </row>
    <row r="14239" hidden="1">
      <c r="E14239" s="96"/>
    </row>
    <row r="14240" hidden="1">
      <c r="E14240" s="96"/>
    </row>
    <row r="14241" hidden="1">
      <c r="E14241" s="96"/>
    </row>
    <row r="14242" hidden="1">
      <c r="E14242" s="96"/>
    </row>
    <row r="14243" hidden="1">
      <c r="E14243" s="96"/>
    </row>
    <row r="14244" hidden="1">
      <c r="E14244" s="96"/>
    </row>
    <row r="14245" hidden="1">
      <c r="E14245" s="96"/>
    </row>
    <row r="14246" hidden="1">
      <c r="E14246" s="96"/>
    </row>
    <row r="14247" hidden="1">
      <c r="E14247" s="96"/>
    </row>
    <row r="14248" hidden="1">
      <c r="E14248" s="96"/>
    </row>
    <row r="14249" hidden="1">
      <c r="E14249" s="96"/>
    </row>
    <row r="14250" hidden="1">
      <c r="E14250" s="96"/>
    </row>
    <row r="14251" hidden="1">
      <c r="E14251" s="96"/>
    </row>
    <row r="14252" hidden="1">
      <c r="E14252" s="96"/>
    </row>
    <row r="14253" hidden="1">
      <c r="E14253" s="96"/>
    </row>
    <row r="14254" hidden="1">
      <c r="E14254" s="96"/>
    </row>
    <row r="14255" hidden="1">
      <c r="E14255" s="96"/>
    </row>
    <row r="14256" hidden="1">
      <c r="E14256" s="96"/>
    </row>
    <row r="14257" hidden="1">
      <c r="E14257" s="96"/>
    </row>
    <row r="14258" hidden="1">
      <c r="E14258" s="96"/>
    </row>
    <row r="14259" hidden="1">
      <c r="E14259" s="96"/>
    </row>
    <row r="14260" hidden="1">
      <c r="E14260" s="96"/>
    </row>
    <row r="14261" hidden="1">
      <c r="E14261" s="96"/>
    </row>
    <row r="14262" hidden="1">
      <c r="E14262" s="96"/>
    </row>
    <row r="14263" hidden="1">
      <c r="E14263" s="96"/>
    </row>
    <row r="14264" hidden="1">
      <c r="E14264" s="96"/>
    </row>
    <row r="14265" hidden="1">
      <c r="E14265" s="96"/>
    </row>
    <row r="14266" hidden="1">
      <c r="E14266" s="96"/>
    </row>
    <row r="14267" hidden="1">
      <c r="E14267" s="96"/>
    </row>
    <row r="14268" hidden="1">
      <c r="E14268" s="96"/>
    </row>
    <row r="14269" hidden="1">
      <c r="E14269" s="96"/>
    </row>
    <row r="14270" hidden="1">
      <c r="E14270" s="96"/>
    </row>
    <row r="14271" hidden="1">
      <c r="E14271" s="96"/>
    </row>
    <row r="14272" hidden="1">
      <c r="E14272" s="96"/>
    </row>
    <row r="14273" hidden="1">
      <c r="E14273" s="96"/>
    </row>
    <row r="14274" hidden="1">
      <c r="E14274" s="96"/>
    </row>
    <row r="14275" hidden="1">
      <c r="E14275" s="96"/>
    </row>
    <row r="14276" hidden="1">
      <c r="E14276" s="96"/>
    </row>
    <row r="14277" hidden="1">
      <c r="E14277" s="96"/>
    </row>
    <row r="14278" hidden="1">
      <c r="E14278" s="96"/>
    </row>
    <row r="14279" hidden="1">
      <c r="E14279" s="96"/>
    </row>
    <row r="14280" hidden="1">
      <c r="E14280" s="96"/>
    </row>
    <row r="14281" hidden="1">
      <c r="E14281" s="96"/>
    </row>
    <row r="14282" hidden="1">
      <c r="E14282" s="96"/>
    </row>
    <row r="14283" hidden="1">
      <c r="E14283" s="96"/>
    </row>
    <row r="14284" hidden="1">
      <c r="E14284" s="96"/>
    </row>
    <row r="14285" hidden="1">
      <c r="E14285" s="96"/>
    </row>
    <row r="14286" hidden="1">
      <c r="E14286" s="96"/>
    </row>
    <row r="14287" hidden="1">
      <c r="E14287" s="96"/>
    </row>
    <row r="14288" hidden="1">
      <c r="E14288" s="96"/>
    </row>
    <row r="14289" hidden="1">
      <c r="E14289" s="96"/>
    </row>
    <row r="14290" hidden="1">
      <c r="E14290" s="96"/>
    </row>
    <row r="14291" hidden="1">
      <c r="E14291" s="96"/>
    </row>
    <row r="14292" hidden="1">
      <c r="E14292" s="96"/>
    </row>
    <row r="14293" hidden="1">
      <c r="E14293" s="96"/>
    </row>
    <row r="14294" hidden="1">
      <c r="E14294" s="96"/>
    </row>
    <row r="14295" hidden="1">
      <c r="E14295" s="96"/>
    </row>
    <row r="14296" hidden="1">
      <c r="E14296" s="96"/>
    </row>
    <row r="14297" hidden="1">
      <c r="E14297" s="96"/>
    </row>
    <row r="14298" hidden="1">
      <c r="E14298" s="96"/>
    </row>
    <row r="14299" hidden="1">
      <c r="E14299" s="96"/>
    </row>
    <row r="14300" hidden="1">
      <c r="E14300" s="96"/>
    </row>
    <row r="14301" hidden="1">
      <c r="E14301" s="96"/>
    </row>
    <row r="14302" hidden="1">
      <c r="E14302" s="96"/>
    </row>
    <row r="14303" hidden="1">
      <c r="E14303" s="96"/>
    </row>
    <row r="14304" hidden="1">
      <c r="E14304" s="96"/>
    </row>
    <row r="14305" hidden="1">
      <c r="E14305" s="96"/>
    </row>
    <row r="14306" hidden="1">
      <c r="E14306" s="96"/>
    </row>
    <row r="14307" hidden="1">
      <c r="E14307" s="96"/>
    </row>
    <row r="14308" hidden="1">
      <c r="E14308" s="96"/>
    </row>
    <row r="14309" hidden="1">
      <c r="E14309" s="96"/>
    </row>
    <row r="14310" hidden="1">
      <c r="E14310" s="96"/>
    </row>
    <row r="14311" hidden="1">
      <c r="E14311" s="96"/>
    </row>
    <row r="14312" hidden="1">
      <c r="E14312" s="96"/>
    </row>
    <row r="14313" hidden="1">
      <c r="E14313" s="96"/>
    </row>
    <row r="14314" hidden="1">
      <c r="E14314" s="96"/>
    </row>
    <row r="14315" hidden="1">
      <c r="E14315" s="96"/>
    </row>
    <row r="14316" hidden="1">
      <c r="E14316" s="96"/>
    </row>
    <row r="14317" hidden="1">
      <c r="E14317" s="96"/>
    </row>
    <row r="14318" hidden="1">
      <c r="E14318" s="96"/>
    </row>
    <row r="14319" hidden="1">
      <c r="E14319" s="96"/>
    </row>
    <row r="14320" hidden="1">
      <c r="E14320" s="96"/>
    </row>
    <row r="14321" hidden="1">
      <c r="E14321" s="96"/>
    </row>
    <row r="14322" hidden="1">
      <c r="E14322" s="96"/>
    </row>
    <row r="14323" hidden="1">
      <c r="E14323" s="96"/>
    </row>
    <row r="14324" hidden="1">
      <c r="E14324" s="96"/>
    </row>
    <row r="14325" hidden="1">
      <c r="E14325" s="96"/>
    </row>
    <row r="14326" hidden="1">
      <c r="E14326" s="96"/>
    </row>
    <row r="14327" hidden="1">
      <c r="E14327" s="96"/>
    </row>
    <row r="14328" hidden="1">
      <c r="E14328" s="96"/>
    </row>
    <row r="14329" hidden="1">
      <c r="E14329" s="96"/>
    </row>
    <row r="14330" hidden="1">
      <c r="E14330" s="96"/>
    </row>
    <row r="14331" hidden="1">
      <c r="E14331" s="96"/>
    </row>
    <row r="14332" hidden="1">
      <c r="E14332" s="96"/>
    </row>
    <row r="14333" hidden="1">
      <c r="E14333" s="96"/>
    </row>
    <row r="14334" hidden="1">
      <c r="E14334" s="96"/>
    </row>
    <row r="14335" hidden="1">
      <c r="E14335" s="96"/>
    </row>
    <row r="14336" hidden="1">
      <c r="E14336" s="96"/>
    </row>
    <row r="14337" hidden="1">
      <c r="E14337" s="96"/>
    </row>
    <row r="14338" hidden="1">
      <c r="E14338" s="96"/>
    </row>
    <row r="14339" hidden="1">
      <c r="E14339" s="96"/>
    </row>
    <row r="14340" hidden="1">
      <c r="E14340" s="96"/>
    </row>
    <row r="14341" hidden="1">
      <c r="E14341" s="96"/>
    </row>
    <row r="14342" hidden="1">
      <c r="E14342" s="96"/>
    </row>
    <row r="14343" hidden="1">
      <c r="E14343" s="96"/>
    </row>
    <row r="14344" hidden="1">
      <c r="E14344" s="96"/>
    </row>
    <row r="14345" hidden="1">
      <c r="E14345" s="96"/>
    </row>
    <row r="14346" hidden="1">
      <c r="E14346" s="96"/>
    </row>
    <row r="14347" hidden="1">
      <c r="E14347" s="96"/>
    </row>
    <row r="14348" hidden="1">
      <c r="E14348" s="96"/>
    </row>
    <row r="14349" hidden="1">
      <c r="E14349" s="96"/>
    </row>
    <row r="14350" hidden="1">
      <c r="E14350" s="96"/>
    </row>
    <row r="14351" hidden="1">
      <c r="E14351" s="96"/>
    </row>
    <row r="14352" hidden="1">
      <c r="E14352" s="96"/>
    </row>
    <row r="14353" hidden="1">
      <c r="E14353" s="96"/>
    </row>
    <row r="14354" hidden="1">
      <c r="E14354" s="96"/>
    </row>
    <row r="14355" hidden="1">
      <c r="E14355" s="96"/>
    </row>
    <row r="14356" hidden="1">
      <c r="E14356" s="96"/>
    </row>
    <row r="14357" hidden="1">
      <c r="E14357" s="96"/>
    </row>
    <row r="14358" hidden="1">
      <c r="E14358" s="96"/>
    </row>
    <row r="14359" hidden="1">
      <c r="E14359" s="96"/>
    </row>
    <row r="14360" hidden="1">
      <c r="E14360" s="96"/>
    </row>
    <row r="14361" hidden="1">
      <c r="E14361" s="96"/>
    </row>
    <row r="14362" hidden="1">
      <c r="E14362" s="96"/>
    </row>
    <row r="14363" hidden="1">
      <c r="E14363" s="96"/>
    </row>
    <row r="14364" hidden="1">
      <c r="E14364" s="96"/>
    </row>
    <row r="14365" hidden="1">
      <c r="E14365" s="96"/>
    </row>
    <row r="14366" hidden="1">
      <c r="E14366" s="96"/>
    </row>
    <row r="14367" hidden="1">
      <c r="E14367" s="96"/>
    </row>
    <row r="14368" hidden="1">
      <c r="E14368" s="96"/>
    </row>
    <row r="14369" hidden="1">
      <c r="E14369" s="96"/>
    </row>
    <row r="14370" hidden="1">
      <c r="E14370" s="96"/>
    </row>
    <row r="14371" hidden="1">
      <c r="E14371" s="96"/>
    </row>
    <row r="14372" hidden="1">
      <c r="E14372" s="96"/>
    </row>
    <row r="14373" hidden="1">
      <c r="E14373" s="96"/>
    </row>
    <row r="14374" hidden="1">
      <c r="E14374" s="96"/>
    </row>
    <row r="14375" hidden="1">
      <c r="E14375" s="96"/>
    </row>
    <row r="14376" hidden="1">
      <c r="E14376" s="96"/>
    </row>
    <row r="14377" hidden="1">
      <c r="E14377" s="96"/>
    </row>
    <row r="14378" hidden="1">
      <c r="E14378" s="96"/>
    </row>
    <row r="14379" hidden="1">
      <c r="E14379" s="96"/>
    </row>
    <row r="14380" hidden="1">
      <c r="E14380" s="96"/>
    </row>
    <row r="14381" hidden="1">
      <c r="E14381" s="96"/>
    </row>
    <row r="14382" hidden="1">
      <c r="E14382" s="96"/>
    </row>
    <row r="14383" hidden="1">
      <c r="E14383" s="96"/>
    </row>
    <row r="14384" hidden="1">
      <c r="E14384" s="96"/>
    </row>
    <row r="14385" hidden="1">
      <c r="E14385" s="96"/>
    </row>
    <row r="14386" hidden="1">
      <c r="E14386" s="96"/>
    </row>
    <row r="14387" hidden="1">
      <c r="E14387" s="96"/>
    </row>
    <row r="14388" hidden="1">
      <c r="E14388" s="96"/>
    </row>
    <row r="14389" hidden="1">
      <c r="E14389" s="96"/>
    </row>
    <row r="14390" hidden="1">
      <c r="E14390" s="96"/>
    </row>
    <row r="14391" hidden="1">
      <c r="E14391" s="96"/>
    </row>
    <row r="14392" hidden="1">
      <c r="E14392" s="96"/>
    </row>
    <row r="14393" hidden="1">
      <c r="E14393" s="96"/>
    </row>
    <row r="14394" hidden="1">
      <c r="E14394" s="96"/>
    </row>
    <row r="14395" hidden="1">
      <c r="E14395" s="96"/>
    </row>
    <row r="14396" hidden="1">
      <c r="E14396" s="96"/>
    </row>
    <row r="14397" hidden="1">
      <c r="E14397" s="96"/>
    </row>
    <row r="14398" hidden="1">
      <c r="E14398" s="96"/>
    </row>
    <row r="14399" hidden="1">
      <c r="E14399" s="96"/>
    </row>
    <row r="14400" hidden="1">
      <c r="E14400" s="96"/>
    </row>
    <row r="14401" hidden="1">
      <c r="E14401" s="96"/>
    </row>
    <row r="14402" hidden="1">
      <c r="E14402" s="96"/>
    </row>
    <row r="14403" hidden="1">
      <c r="E14403" s="96"/>
    </row>
    <row r="14404" hidden="1">
      <c r="E14404" s="96"/>
    </row>
    <row r="14405" hidden="1">
      <c r="E14405" s="96"/>
    </row>
    <row r="14406" hidden="1">
      <c r="E14406" s="96"/>
    </row>
    <row r="14407" hidden="1">
      <c r="E14407" s="96"/>
    </row>
    <row r="14408" hidden="1">
      <c r="E14408" s="96"/>
    </row>
    <row r="14409" hidden="1">
      <c r="E14409" s="96"/>
    </row>
    <row r="14410" hidden="1">
      <c r="E14410" s="96"/>
    </row>
    <row r="14411" hidden="1">
      <c r="E14411" s="96"/>
    </row>
    <row r="14412" hidden="1">
      <c r="E14412" s="96"/>
    </row>
    <row r="14413" hidden="1">
      <c r="E14413" s="96"/>
    </row>
    <row r="14414" hidden="1">
      <c r="E14414" s="96"/>
    </row>
    <row r="14415" hidden="1">
      <c r="E14415" s="96"/>
    </row>
    <row r="14416" hidden="1">
      <c r="E14416" s="96"/>
    </row>
    <row r="14417" hidden="1">
      <c r="E14417" s="96"/>
    </row>
    <row r="14418" hidden="1">
      <c r="E14418" s="96"/>
    </row>
    <row r="14419" hidden="1">
      <c r="E14419" s="96"/>
    </row>
    <row r="14420" hidden="1">
      <c r="E14420" s="96"/>
    </row>
    <row r="14421" hidden="1">
      <c r="E14421" s="96"/>
    </row>
    <row r="14422" hidden="1">
      <c r="E14422" s="96"/>
    </row>
    <row r="14423" hidden="1">
      <c r="E14423" s="96"/>
    </row>
    <row r="14424" hidden="1">
      <c r="E14424" s="96"/>
    </row>
    <row r="14425" hidden="1">
      <c r="E14425" s="96"/>
    </row>
    <row r="14426" hidden="1">
      <c r="E14426" s="96"/>
    </row>
    <row r="14427" hidden="1">
      <c r="E14427" s="96"/>
    </row>
    <row r="14428" hidden="1">
      <c r="E14428" s="96"/>
    </row>
    <row r="14429" hidden="1">
      <c r="E14429" s="96"/>
    </row>
    <row r="14430" hidden="1">
      <c r="E14430" s="96"/>
    </row>
    <row r="14431" hidden="1">
      <c r="E14431" s="96"/>
    </row>
    <row r="14432" hidden="1">
      <c r="E14432" s="96"/>
    </row>
    <row r="14433" hidden="1">
      <c r="E14433" s="96"/>
    </row>
    <row r="14434" hidden="1">
      <c r="E14434" s="96"/>
    </row>
    <row r="14435" hidden="1">
      <c r="E14435" s="96"/>
    </row>
    <row r="14436" hidden="1">
      <c r="E14436" s="96"/>
    </row>
    <row r="14437" hidden="1">
      <c r="E14437" s="96"/>
    </row>
    <row r="14438" hidden="1">
      <c r="E14438" s="96"/>
    </row>
    <row r="14439" hidden="1">
      <c r="E14439" s="96"/>
    </row>
    <row r="14440" hidden="1">
      <c r="E14440" s="96"/>
    </row>
    <row r="14441" hidden="1">
      <c r="E14441" s="96"/>
    </row>
    <row r="14442" hidden="1">
      <c r="E14442" s="96"/>
    </row>
    <row r="14443" hidden="1">
      <c r="E14443" s="96"/>
    </row>
    <row r="14444" hidden="1">
      <c r="E14444" s="96"/>
    </row>
    <row r="14445" hidden="1">
      <c r="E14445" s="96"/>
    </row>
    <row r="14446" hidden="1">
      <c r="E14446" s="96"/>
    </row>
    <row r="14447" hidden="1">
      <c r="E14447" s="96"/>
    </row>
    <row r="14448" hidden="1">
      <c r="E14448" s="96"/>
    </row>
    <row r="14449" hidden="1">
      <c r="E14449" s="96"/>
    </row>
    <row r="14450" hidden="1">
      <c r="E14450" s="96"/>
    </row>
    <row r="14451" hidden="1">
      <c r="E14451" s="96"/>
    </row>
    <row r="14452" hidden="1">
      <c r="E14452" s="96"/>
    </row>
    <row r="14453" hidden="1">
      <c r="E14453" s="96"/>
    </row>
    <row r="14454" hidden="1">
      <c r="E14454" s="96"/>
    </row>
    <row r="14455" hidden="1">
      <c r="E14455" s="96"/>
    </row>
    <row r="14456" hidden="1">
      <c r="E14456" s="96"/>
    </row>
    <row r="14457" hidden="1">
      <c r="E14457" s="96"/>
    </row>
    <row r="14458" hidden="1">
      <c r="E14458" s="96"/>
    </row>
    <row r="14459" hidden="1">
      <c r="E14459" s="96"/>
    </row>
    <row r="14460" hidden="1">
      <c r="E14460" s="96"/>
    </row>
    <row r="14461" hidden="1">
      <c r="E14461" s="96"/>
    </row>
    <row r="14462" hidden="1">
      <c r="E14462" s="96"/>
    </row>
    <row r="14463" hidden="1">
      <c r="E14463" s="96"/>
    </row>
    <row r="14464" hidden="1">
      <c r="E14464" s="96"/>
    </row>
    <row r="14465" hidden="1">
      <c r="E14465" s="96"/>
    </row>
    <row r="14466" hidden="1">
      <c r="E14466" s="96"/>
    </row>
    <row r="14467" hidden="1">
      <c r="E14467" s="96"/>
    </row>
    <row r="14468" hidden="1">
      <c r="E14468" s="96"/>
    </row>
    <row r="14469" hidden="1">
      <c r="E14469" s="96"/>
    </row>
    <row r="14470" hidden="1">
      <c r="E14470" s="96"/>
    </row>
    <row r="14471" hidden="1">
      <c r="E14471" s="96"/>
    </row>
    <row r="14472" hidden="1">
      <c r="E14472" s="96"/>
    </row>
    <row r="14473" hidden="1">
      <c r="E14473" s="96"/>
    </row>
    <row r="14474" hidden="1">
      <c r="E14474" s="96"/>
    </row>
    <row r="14475" hidden="1">
      <c r="E14475" s="96"/>
    </row>
    <row r="14476" hidden="1">
      <c r="E14476" s="96"/>
    </row>
    <row r="14477" hidden="1">
      <c r="E14477" s="96"/>
    </row>
    <row r="14478" hidden="1">
      <c r="E14478" s="96"/>
    </row>
    <row r="14479" hidden="1">
      <c r="E14479" s="96"/>
    </row>
    <row r="14480" hidden="1">
      <c r="E14480" s="96"/>
    </row>
    <row r="14481" hidden="1">
      <c r="E14481" s="96"/>
    </row>
    <row r="14482" hidden="1">
      <c r="E14482" s="96"/>
    </row>
    <row r="14483" hidden="1">
      <c r="E14483" s="96"/>
    </row>
    <row r="14484" hidden="1">
      <c r="E14484" s="96"/>
    </row>
    <row r="14485" hidden="1">
      <c r="E14485" s="96"/>
    </row>
    <row r="14486" hidden="1">
      <c r="E14486" s="96"/>
    </row>
    <row r="14487" hidden="1">
      <c r="E14487" s="96"/>
    </row>
    <row r="14488" hidden="1">
      <c r="E14488" s="96"/>
    </row>
    <row r="14489" hidden="1">
      <c r="E14489" s="96"/>
    </row>
    <row r="14490" hidden="1">
      <c r="E14490" s="96"/>
    </row>
    <row r="14491" hidden="1">
      <c r="E14491" s="96"/>
    </row>
    <row r="14492" hidden="1">
      <c r="E14492" s="96"/>
    </row>
    <row r="14493" hidden="1">
      <c r="E14493" s="96"/>
    </row>
    <row r="14494" hidden="1">
      <c r="E14494" s="96"/>
    </row>
    <row r="14495" hidden="1">
      <c r="E14495" s="96"/>
    </row>
    <row r="14496" hidden="1">
      <c r="E14496" s="96"/>
    </row>
    <row r="14497" hidden="1">
      <c r="E14497" s="96"/>
    </row>
    <row r="14498" hidden="1">
      <c r="E14498" s="96"/>
    </row>
    <row r="14499" hidden="1">
      <c r="E14499" s="96"/>
    </row>
    <row r="14500" hidden="1">
      <c r="E14500" s="96"/>
    </row>
    <row r="14501" hidden="1">
      <c r="E14501" s="96"/>
    </row>
    <row r="14502" hidden="1">
      <c r="E14502" s="96"/>
    </row>
    <row r="14503" hidden="1">
      <c r="E14503" s="96"/>
    </row>
    <row r="14504" hidden="1">
      <c r="E14504" s="96"/>
    </row>
    <row r="14505" hidden="1">
      <c r="E14505" s="96"/>
    </row>
    <row r="14506" hidden="1">
      <c r="E14506" s="96"/>
    </row>
    <row r="14507" hidden="1">
      <c r="E14507" s="96"/>
    </row>
    <row r="14508" hidden="1">
      <c r="E14508" s="96"/>
    </row>
    <row r="14509" hidden="1">
      <c r="E14509" s="96"/>
    </row>
    <row r="14510" hidden="1">
      <c r="E14510" s="96"/>
    </row>
    <row r="14511" hidden="1">
      <c r="E14511" s="96"/>
    </row>
    <row r="14512" hidden="1">
      <c r="E14512" s="96"/>
    </row>
    <row r="14513" hidden="1">
      <c r="E14513" s="96"/>
    </row>
    <row r="14514" hidden="1">
      <c r="E14514" s="96"/>
    </row>
    <row r="14515" hidden="1">
      <c r="E14515" s="96"/>
    </row>
    <row r="14516" hidden="1">
      <c r="E14516" s="96"/>
    </row>
    <row r="14517" hidden="1">
      <c r="E14517" s="96"/>
    </row>
    <row r="14518" hidden="1">
      <c r="E14518" s="96"/>
    </row>
    <row r="14519" hidden="1">
      <c r="E14519" s="96"/>
    </row>
    <row r="14520" hidden="1">
      <c r="E14520" s="96"/>
    </row>
    <row r="14521" hidden="1">
      <c r="E14521" s="96"/>
    </row>
    <row r="14522" hidden="1">
      <c r="E14522" s="96"/>
    </row>
    <row r="14523" hidden="1">
      <c r="E14523" s="96"/>
    </row>
    <row r="14524" hidden="1">
      <c r="E14524" s="96"/>
    </row>
    <row r="14525" hidden="1">
      <c r="E14525" s="96"/>
    </row>
    <row r="14526" hidden="1">
      <c r="E14526" s="96"/>
    </row>
    <row r="14527" hidden="1">
      <c r="E14527" s="96"/>
    </row>
    <row r="14528" hidden="1">
      <c r="E14528" s="96"/>
    </row>
    <row r="14529" hidden="1">
      <c r="E14529" s="96"/>
    </row>
    <row r="14530" hidden="1">
      <c r="E14530" s="96"/>
    </row>
    <row r="14531" hidden="1">
      <c r="E14531" s="96"/>
    </row>
    <row r="14532" hidden="1">
      <c r="E14532" s="96"/>
    </row>
    <row r="14533" hidden="1">
      <c r="E14533" s="96"/>
    </row>
    <row r="14534" hidden="1">
      <c r="E14534" s="96"/>
    </row>
    <row r="14535" hidden="1">
      <c r="E14535" s="96"/>
    </row>
    <row r="14536" hidden="1">
      <c r="E14536" s="96"/>
    </row>
    <row r="14537" hidden="1">
      <c r="E14537" s="96"/>
    </row>
    <row r="14538" hidden="1">
      <c r="E14538" s="96"/>
    </row>
    <row r="14539" hidden="1">
      <c r="E14539" s="96"/>
    </row>
    <row r="14540" hidden="1">
      <c r="E14540" s="96"/>
    </row>
    <row r="14541" hidden="1">
      <c r="E14541" s="96"/>
    </row>
    <row r="14542" hidden="1">
      <c r="E14542" s="96"/>
    </row>
    <row r="14543" hidden="1">
      <c r="E14543" s="96"/>
    </row>
    <row r="14544" hidden="1">
      <c r="E14544" s="96"/>
    </row>
    <row r="14545" hidden="1">
      <c r="E14545" s="96"/>
    </row>
    <row r="14546" hidden="1">
      <c r="E14546" s="96"/>
    </row>
    <row r="14547" hidden="1">
      <c r="E14547" s="96"/>
    </row>
    <row r="14548" hidden="1">
      <c r="E14548" s="96"/>
    </row>
    <row r="14549" hidden="1">
      <c r="E14549" s="96"/>
    </row>
    <row r="14550" hidden="1">
      <c r="E14550" s="96"/>
    </row>
    <row r="14551" hidden="1">
      <c r="E14551" s="96"/>
    </row>
    <row r="14552" hidden="1">
      <c r="E14552" s="96"/>
    </row>
    <row r="14553" hidden="1">
      <c r="E14553" s="96"/>
    </row>
    <row r="14554" hidden="1">
      <c r="E14554" s="96"/>
    </row>
    <row r="14555" hidden="1">
      <c r="E14555" s="96"/>
    </row>
    <row r="14556" hidden="1">
      <c r="E14556" s="96"/>
    </row>
    <row r="14557" hidden="1">
      <c r="E14557" s="96"/>
    </row>
    <row r="14558" hidden="1">
      <c r="E14558" s="96"/>
    </row>
    <row r="14559" hidden="1">
      <c r="E14559" s="96"/>
    </row>
    <row r="14560" hidden="1">
      <c r="E14560" s="96"/>
    </row>
    <row r="14561" hidden="1">
      <c r="E14561" s="96"/>
    </row>
    <row r="14562" hidden="1">
      <c r="E14562" s="96"/>
    </row>
    <row r="14563" hidden="1">
      <c r="E14563" s="96"/>
    </row>
    <row r="14564" hidden="1">
      <c r="E14564" s="96"/>
    </row>
    <row r="14565" hidden="1">
      <c r="E14565" s="96"/>
    </row>
    <row r="14566" hidden="1">
      <c r="E14566" s="96"/>
    </row>
    <row r="14567" hidden="1">
      <c r="E14567" s="96"/>
    </row>
    <row r="14568" hidden="1">
      <c r="E14568" s="96"/>
    </row>
    <row r="14569" hidden="1">
      <c r="E14569" s="96"/>
    </row>
    <row r="14570" hidden="1">
      <c r="E14570" s="96"/>
    </row>
    <row r="14571" hidden="1">
      <c r="E14571" s="96"/>
    </row>
    <row r="14572" hidden="1">
      <c r="E14572" s="96"/>
    </row>
    <row r="14573" hidden="1">
      <c r="E14573" s="96"/>
    </row>
    <row r="14574" hidden="1">
      <c r="E14574" s="96"/>
    </row>
    <row r="14575" hidden="1">
      <c r="E14575" s="96"/>
    </row>
    <row r="14576" hidden="1">
      <c r="E14576" s="96"/>
    </row>
    <row r="14577" hidden="1">
      <c r="E14577" s="96"/>
    </row>
    <row r="14578" hidden="1">
      <c r="E14578" s="96"/>
    </row>
    <row r="14579" hidden="1">
      <c r="E14579" s="96"/>
    </row>
    <row r="14580" hidden="1">
      <c r="E14580" s="96"/>
    </row>
    <row r="14581" hidden="1">
      <c r="E14581" s="96"/>
    </row>
    <row r="14582" hidden="1">
      <c r="E14582" s="96"/>
    </row>
    <row r="14583" hidden="1">
      <c r="E14583" s="96"/>
    </row>
    <row r="14584" hidden="1">
      <c r="E14584" s="96"/>
    </row>
    <row r="14585" hidden="1">
      <c r="E14585" s="96"/>
    </row>
    <row r="14586" hidden="1">
      <c r="E14586" s="96"/>
    </row>
    <row r="14587" hidden="1">
      <c r="E14587" s="96"/>
    </row>
    <row r="14588" hidden="1">
      <c r="E14588" s="96"/>
    </row>
    <row r="14589" hidden="1">
      <c r="E14589" s="96"/>
    </row>
    <row r="14590" hidden="1">
      <c r="E14590" s="96"/>
    </row>
    <row r="14591" hidden="1">
      <c r="E14591" s="96"/>
    </row>
    <row r="14592" hidden="1">
      <c r="E14592" s="96"/>
    </row>
    <row r="14593" hidden="1">
      <c r="E14593" s="96"/>
    </row>
    <row r="14594" hidden="1">
      <c r="E14594" s="96"/>
    </row>
    <row r="14595" hidden="1">
      <c r="E14595" s="96"/>
    </row>
    <row r="14596" hidden="1">
      <c r="E14596" s="96"/>
    </row>
    <row r="14597" hidden="1">
      <c r="E14597" s="96"/>
    </row>
    <row r="14598" hidden="1">
      <c r="E14598" s="96"/>
    </row>
    <row r="14599" hidden="1">
      <c r="E14599" s="96"/>
    </row>
    <row r="14600" hidden="1">
      <c r="E14600" s="96"/>
    </row>
    <row r="14601" hidden="1">
      <c r="E14601" s="96"/>
    </row>
    <row r="14602" hidden="1">
      <c r="E14602" s="96"/>
    </row>
    <row r="14603" hidden="1">
      <c r="E14603" s="96"/>
    </row>
    <row r="14604" hidden="1">
      <c r="E14604" s="96"/>
    </row>
    <row r="14605" hidden="1">
      <c r="E14605" s="96"/>
    </row>
    <row r="14606" hidden="1">
      <c r="E14606" s="96"/>
    </row>
    <row r="14607" hidden="1">
      <c r="E14607" s="96"/>
    </row>
    <row r="14608" hidden="1">
      <c r="E14608" s="96"/>
    </row>
    <row r="14609" hidden="1">
      <c r="E14609" s="96"/>
    </row>
    <row r="14610" hidden="1">
      <c r="E14610" s="96"/>
    </row>
    <row r="14611" hidden="1">
      <c r="E14611" s="96"/>
    </row>
    <row r="14612" hidden="1">
      <c r="E14612" s="96"/>
    </row>
    <row r="14613" hidden="1">
      <c r="E14613" s="96"/>
    </row>
    <row r="14614" hidden="1">
      <c r="E14614" s="96"/>
    </row>
    <row r="14615" hidden="1">
      <c r="E14615" s="96"/>
    </row>
    <row r="14616" hidden="1">
      <c r="E14616" s="96"/>
    </row>
    <row r="14617" hidden="1">
      <c r="E14617" s="96"/>
    </row>
    <row r="14618" hidden="1">
      <c r="E14618" s="96"/>
    </row>
    <row r="14619" hidden="1">
      <c r="E14619" s="96"/>
    </row>
    <row r="14620" hidden="1">
      <c r="E14620" s="96"/>
    </row>
    <row r="14621" hidden="1">
      <c r="E14621" s="96"/>
    </row>
    <row r="14622" hidden="1">
      <c r="E14622" s="96"/>
    </row>
    <row r="14623" hidden="1">
      <c r="E14623" s="96"/>
    </row>
    <row r="14624" hidden="1">
      <c r="E14624" s="96"/>
    </row>
    <row r="14625" hidden="1">
      <c r="E14625" s="96"/>
    </row>
    <row r="14626" hidden="1">
      <c r="E14626" s="96"/>
    </row>
    <row r="14627" hidden="1">
      <c r="E14627" s="96"/>
    </row>
    <row r="14628" hidden="1">
      <c r="E14628" s="96"/>
    </row>
    <row r="14629" hidden="1">
      <c r="E14629" s="96"/>
    </row>
    <row r="14630" hidden="1">
      <c r="E14630" s="96"/>
    </row>
    <row r="14631" hidden="1">
      <c r="E14631" s="96"/>
    </row>
    <row r="14632" hidden="1">
      <c r="E14632" s="96"/>
    </row>
    <row r="14633" hidden="1">
      <c r="E14633" s="96"/>
    </row>
    <row r="14634" hidden="1">
      <c r="E14634" s="96"/>
    </row>
    <row r="14635" hidden="1">
      <c r="E14635" s="96"/>
    </row>
    <row r="14636" hidden="1">
      <c r="E14636" s="96"/>
    </row>
    <row r="14637" hidden="1">
      <c r="E14637" s="96"/>
    </row>
    <row r="14638" hidden="1">
      <c r="E14638" s="96"/>
    </row>
    <row r="14639" hidden="1">
      <c r="E14639" s="96"/>
    </row>
    <row r="14640" hidden="1">
      <c r="E14640" s="96"/>
    </row>
    <row r="14641" hidden="1">
      <c r="E14641" s="96"/>
    </row>
    <row r="14642" hidden="1">
      <c r="E14642" s="96"/>
    </row>
    <row r="14643" hidden="1">
      <c r="E14643" s="96"/>
    </row>
    <row r="14644" hidden="1">
      <c r="E14644" s="96"/>
    </row>
    <row r="14645" hidden="1">
      <c r="E14645" s="96"/>
    </row>
    <row r="14646" hidden="1">
      <c r="E14646" s="96"/>
    </row>
    <row r="14647" hidden="1">
      <c r="E14647" s="96"/>
    </row>
    <row r="14648" hidden="1">
      <c r="E14648" s="96"/>
    </row>
    <row r="14649" hidden="1">
      <c r="E14649" s="96"/>
    </row>
    <row r="14650" hidden="1">
      <c r="E14650" s="96"/>
    </row>
    <row r="14651" hidden="1">
      <c r="E14651" s="96"/>
    </row>
    <row r="14652" hidden="1">
      <c r="E14652" s="96"/>
    </row>
    <row r="14653" hidden="1">
      <c r="E14653" s="96"/>
    </row>
    <row r="14654" hidden="1">
      <c r="E14654" s="96"/>
    </row>
    <row r="14655" hidden="1">
      <c r="E14655" s="96"/>
    </row>
    <row r="14656" hidden="1">
      <c r="E14656" s="96"/>
    </row>
    <row r="14657" hidden="1">
      <c r="E14657" s="96"/>
    </row>
    <row r="14658" hidden="1">
      <c r="E14658" s="96"/>
    </row>
    <row r="14659" hidden="1">
      <c r="E14659" s="96"/>
    </row>
    <row r="14660" hidden="1">
      <c r="E14660" s="96"/>
    </row>
    <row r="14661" hidden="1">
      <c r="E14661" s="96"/>
    </row>
    <row r="14662" hidden="1">
      <c r="E14662" s="96"/>
    </row>
    <row r="14663" hidden="1">
      <c r="E14663" s="96"/>
    </row>
    <row r="14664" hidden="1">
      <c r="E14664" s="96"/>
    </row>
    <row r="14665" hidden="1">
      <c r="E14665" s="96"/>
    </row>
    <row r="14666" hidden="1">
      <c r="E14666" s="96"/>
    </row>
    <row r="14667" hidden="1">
      <c r="E14667" s="96"/>
    </row>
    <row r="14668" hidden="1">
      <c r="E14668" s="96"/>
    </row>
    <row r="14669" hidden="1">
      <c r="E14669" s="96"/>
    </row>
    <row r="14670" hidden="1">
      <c r="E14670" s="96"/>
    </row>
    <row r="14671" hidden="1">
      <c r="E14671" s="96"/>
    </row>
    <row r="14672" hidden="1">
      <c r="E14672" s="96"/>
    </row>
    <row r="14673" hidden="1">
      <c r="E14673" s="96"/>
    </row>
    <row r="14674" hidden="1">
      <c r="E14674" s="96"/>
    </row>
    <row r="14675" hidden="1">
      <c r="E14675" s="96"/>
    </row>
    <row r="14676" hidden="1">
      <c r="E14676" s="96"/>
    </row>
    <row r="14677" hidden="1">
      <c r="E14677" s="96"/>
    </row>
    <row r="14678" hidden="1">
      <c r="E14678" s="96"/>
    </row>
    <row r="14679" hidden="1">
      <c r="E14679" s="96"/>
    </row>
    <row r="14680" hidden="1">
      <c r="E14680" s="96"/>
    </row>
    <row r="14681" hidden="1">
      <c r="E14681" s="96"/>
    </row>
    <row r="14682" hidden="1">
      <c r="E14682" s="96"/>
    </row>
    <row r="14683" hidden="1">
      <c r="E14683" s="96"/>
    </row>
    <row r="14684" hidden="1">
      <c r="E14684" s="96"/>
    </row>
    <row r="14685" hidden="1">
      <c r="E14685" s="96"/>
    </row>
    <row r="14686" hidden="1">
      <c r="E14686" s="96"/>
    </row>
    <row r="14687" hidden="1">
      <c r="E14687" s="96"/>
    </row>
    <row r="14688" hidden="1">
      <c r="E14688" s="96"/>
    </row>
    <row r="14689" hidden="1">
      <c r="E14689" s="96"/>
    </row>
    <row r="14690" hidden="1">
      <c r="E14690" s="96"/>
    </row>
    <row r="14691" hidden="1">
      <c r="E14691" s="96"/>
    </row>
    <row r="14692" hidden="1">
      <c r="E14692" s="96"/>
    </row>
    <row r="14693" hidden="1">
      <c r="E14693" s="96"/>
    </row>
    <row r="14694" hidden="1">
      <c r="E14694" s="96"/>
    </row>
    <row r="14695" hidden="1">
      <c r="E14695" s="96"/>
    </row>
    <row r="14696" hidden="1">
      <c r="E14696" s="96"/>
    </row>
    <row r="14697" hidden="1">
      <c r="E14697" s="96"/>
    </row>
    <row r="14698" hidden="1">
      <c r="E14698" s="96"/>
    </row>
    <row r="14699" hidden="1">
      <c r="E14699" s="96"/>
    </row>
    <row r="14700" hidden="1">
      <c r="E14700" s="96"/>
    </row>
    <row r="14701" hidden="1">
      <c r="E14701" s="96"/>
    </row>
    <row r="14702" hidden="1">
      <c r="E14702" s="96"/>
    </row>
    <row r="14703" hidden="1">
      <c r="E14703" s="96"/>
    </row>
    <row r="14704" hidden="1">
      <c r="E14704" s="96"/>
    </row>
    <row r="14705" hidden="1">
      <c r="E14705" s="96"/>
    </row>
    <row r="14706" hidden="1">
      <c r="E14706" s="96"/>
    </row>
    <row r="14707" hidden="1">
      <c r="E14707" s="96"/>
    </row>
    <row r="14708" hidden="1">
      <c r="E14708" s="96"/>
    </row>
    <row r="14709" hidden="1">
      <c r="E14709" s="96"/>
    </row>
    <row r="14710" hidden="1">
      <c r="E14710" s="96"/>
    </row>
    <row r="14711" hidden="1">
      <c r="E14711" s="96"/>
    </row>
    <row r="14712" hidden="1">
      <c r="E14712" s="96"/>
    </row>
    <row r="14713" hidden="1">
      <c r="E14713" s="96"/>
    </row>
    <row r="14714" hidden="1">
      <c r="E14714" s="96"/>
    </row>
    <row r="14715" hidden="1">
      <c r="E14715" s="96"/>
    </row>
    <row r="14716" hidden="1">
      <c r="E14716" s="96"/>
    </row>
    <row r="14717" hidden="1">
      <c r="E14717" s="96"/>
    </row>
    <row r="14718" hidden="1">
      <c r="E14718" s="96"/>
    </row>
    <row r="14719" hidden="1">
      <c r="E14719" s="96"/>
    </row>
    <row r="14720" hidden="1">
      <c r="E14720" s="96"/>
    </row>
    <row r="14721" hidden="1">
      <c r="E14721" s="96"/>
    </row>
    <row r="14722" hidden="1">
      <c r="E14722" s="96"/>
    </row>
    <row r="14723" hidden="1">
      <c r="E14723" s="96"/>
    </row>
    <row r="14724" hidden="1">
      <c r="E14724" s="96"/>
    </row>
    <row r="14725" hidden="1">
      <c r="E14725" s="96"/>
    </row>
    <row r="14726" hidden="1">
      <c r="E14726" s="96"/>
    </row>
    <row r="14727" hidden="1">
      <c r="E14727" s="96"/>
    </row>
    <row r="14728" hidden="1">
      <c r="E14728" s="96"/>
    </row>
    <row r="14729" hidden="1">
      <c r="E14729" s="96"/>
    </row>
    <row r="14730" hidden="1">
      <c r="E14730" s="96"/>
    </row>
    <row r="14731" hidden="1">
      <c r="E14731" s="96"/>
    </row>
    <row r="14732" hidden="1">
      <c r="E14732" s="96"/>
    </row>
    <row r="14733" hidden="1">
      <c r="E14733" s="96"/>
    </row>
    <row r="14734" hidden="1">
      <c r="E14734" s="96"/>
    </row>
    <row r="14735" hidden="1">
      <c r="E14735" s="96"/>
    </row>
    <row r="14736" hidden="1">
      <c r="E14736" s="96"/>
    </row>
    <row r="14737" hidden="1">
      <c r="E14737" s="96"/>
    </row>
    <row r="14738" hidden="1">
      <c r="E14738" s="96"/>
    </row>
    <row r="14739" hidden="1">
      <c r="E14739" s="96"/>
    </row>
    <row r="14740" hidden="1">
      <c r="E14740" s="96"/>
    </row>
    <row r="14741" hidden="1">
      <c r="E14741" s="96"/>
    </row>
    <row r="14742" hidden="1">
      <c r="E14742" s="96"/>
    </row>
    <row r="14743" hidden="1">
      <c r="E14743" s="96"/>
    </row>
    <row r="14744" hidden="1">
      <c r="E14744" s="96"/>
    </row>
    <row r="14745" hidden="1">
      <c r="E14745" s="96"/>
    </row>
    <row r="14746" hidden="1">
      <c r="E14746" s="96"/>
    </row>
    <row r="14747" hidden="1">
      <c r="E14747" s="96"/>
    </row>
    <row r="14748" hidden="1">
      <c r="E14748" s="96"/>
    </row>
    <row r="14749" hidden="1">
      <c r="E14749" s="96"/>
    </row>
    <row r="14750" hidden="1">
      <c r="E14750" s="96"/>
    </row>
    <row r="14751" hidden="1">
      <c r="E14751" s="96"/>
    </row>
    <row r="14752" hidden="1">
      <c r="E14752" s="96"/>
    </row>
    <row r="14753" hidden="1">
      <c r="E14753" s="96"/>
    </row>
    <row r="14754" hidden="1">
      <c r="E14754" s="96"/>
    </row>
    <row r="14755" hidden="1">
      <c r="E14755" s="96"/>
    </row>
    <row r="14756" hidden="1">
      <c r="E14756" s="96"/>
    </row>
    <row r="14757" hidden="1">
      <c r="E14757" s="96"/>
    </row>
    <row r="14758" hidden="1">
      <c r="E14758" s="96"/>
    </row>
    <row r="14759" hidden="1">
      <c r="E14759" s="96"/>
    </row>
    <row r="14760" hidden="1">
      <c r="E14760" s="96"/>
    </row>
    <row r="14761" hidden="1">
      <c r="E14761" s="96"/>
    </row>
    <row r="14762" hidden="1">
      <c r="E14762" s="96"/>
    </row>
    <row r="14763" hidden="1">
      <c r="E14763" s="96"/>
    </row>
    <row r="14764" hidden="1">
      <c r="E14764" s="96"/>
    </row>
    <row r="14765" hidden="1">
      <c r="E14765" s="96"/>
    </row>
    <row r="14766" hidden="1">
      <c r="E14766" s="96"/>
    </row>
    <row r="14767" hidden="1">
      <c r="E14767" s="96"/>
    </row>
    <row r="14768" hidden="1">
      <c r="E14768" s="96"/>
    </row>
    <row r="14769" hidden="1">
      <c r="E14769" s="96"/>
    </row>
    <row r="14770" hidden="1">
      <c r="E14770" s="96"/>
    </row>
    <row r="14771" hidden="1">
      <c r="E14771" s="96"/>
    </row>
    <row r="14772" hidden="1">
      <c r="E14772" s="96"/>
    </row>
    <row r="14773" hidden="1">
      <c r="E14773" s="96"/>
    </row>
    <row r="14774" hidden="1">
      <c r="E14774" s="96"/>
    </row>
    <row r="14775" hidden="1">
      <c r="E14775" s="96"/>
    </row>
    <row r="14776" hidden="1">
      <c r="E14776" s="96"/>
    </row>
    <row r="14777" hidden="1">
      <c r="E14777" s="96"/>
    </row>
    <row r="14778" hidden="1">
      <c r="E14778" s="96"/>
    </row>
    <row r="14779" hidden="1">
      <c r="E14779" s="96"/>
    </row>
    <row r="14780" hidden="1">
      <c r="E14780" s="96"/>
    </row>
    <row r="14781" hidden="1">
      <c r="E14781" s="96"/>
    </row>
    <row r="14782" hidden="1">
      <c r="E14782" s="96"/>
    </row>
    <row r="14783" hidden="1">
      <c r="E14783" s="96"/>
    </row>
    <row r="14784" hidden="1">
      <c r="E14784" s="96"/>
    </row>
    <row r="14785" hidden="1">
      <c r="E14785" s="96"/>
    </row>
    <row r="14786" hidden="1">
      <c r="E14786" s="96"/>
    </row>
    <row r="14787" hidden="1">
      <c r="E14787" s="96"/>
    </row>
    <row r="14788" hidden="1">
      <c r="E14788" s="96"/>
    </row>
    <row r="14789" hidden="1">
      <c r="E14789" s="96"/>
    </row>
    <row r="14790" hidden="1">
      <c r="E14790" s="96"/>
    </row>
    <row r="14791" hidden="1">
      <c r="E14791" s="96"/>
    </row>
    <row r="14792" hidden="1">
      <c r="E14792" s="96"/>
    </row>
    <row r="14793" hidden="1">
      <c r="E14793" s="96"/>
    </row>
    <row r="14794" hidden="1">
      <c r="E14794" s="96"/>
    </row>
    <row r="14795" hidden="1">
      <c r="E14795" s="96"/>
    </row>
    <row r="14796" hidden="1">
      <c r="E14796" s="96"/>
    </row>
    <row r="14797" hidden="1">
      <c r="E14797" s="96"/>
    </row>
    <row r="14798" hidden="1">
      <c r="E14798" s="96"/>
    </row>
    <row r="14799" hidden="1">
      <c r="E14799" s="96"/>
    </row>
    <row r="14800" hidden="1">
      <c r="E14800" s="96"/>
    </row>
    <row r="14801" hidden="1">
      <c r="E14801" s="96"/>
    </row>
    <row r="14802" hidden="1">
      <c r="E14802" s="96"/>
    </row>
    <row r="14803" hidden="1">
      <c r="E14803" s="96"/>
    </row>
    <row r="14804" hidden="1">
      <c r="E14804" s="96"/>
    </row>
    <row r="14805" hidden="1">
      <c r="E14805" s="96"/>
    </row>
    <row r="14806" hidden="1">
      <c r="E14806" s="96"/>
    </row>
    <row r="14807" hidden="1">
      <c r="E14807" s="96"/>
    </row>
    <row r="14808" hidden="1">
      <c r="E14808" s="96"/>
    </row>
    <row r="14809" hidden="1">
      <c r="E14809" s="96"/>
    </row>
    <row r="14810" hidden="1">
      <c r="E14810" s="96"/>
    </row>
    <row r="14811" hidden="1">
      <c r="E14811" s="96"/>
    </row>
    <row r="14812" hidden="1">
      <c r="E14812" s="96"/>
    </row>
    <row r="14813" hidden="1">
      <c r="E14813" s="96"/>
    </row>
    <row r="14814" hidden="1">
      <c r="E14814" s="96"/>
    </row>
    <row r="14815" hidden="1">
      <c r="E14815" s="96"/>
    </row>
    <row r="14816" hidden="1">
      <c r="E14816" s="96"/>
    </row>
    <row r="14817" hidden="1">
      <c r="E14817" s="96"/>
    </row>
    <row r="14818" hidden="1">
      <c r="E14818" s="96"/>
    </row>
    <row r="14819" hidden="1">
      <c r="E14819" s="96"/>
    </row>
    <row r="14820" hidden="1">
      <c r="E14820" s="96"/>
    </row>
    <row r="14821" hidden="1">
      <c r="E14821" s="96"/>
    </row>
    <row r="14822" hidden="1">
      <c r="E14822" s="96"/>
    </row>
    <row r="14823" hidden="1">
      <c r="E14823" s="96"/>
    </row>
    <row r="14824" hidden="1">
      <c r="E14824" s="96"/>
    </row>
    <row r="14825" hidden="1">
      <c r="E14825" s="96"/>
    </row>
    <row r="14826" hidden="1">
      <c r="E14826" s="96"/>
    </row>
    <row r="14827" hidden="1">
      <c r="E14827" s="96"/>
    </row>
    <row r="14828" hidden="1">
      <c r="E14828" s="96"/>
    </row>
    <row r="14829" hidden="1">
      <c r="E14829" s="96"/>
    </row>
    <row r="14830" hidden="1">
      <c r="E14830" s="96"/>
    </row>
    <row r="14831" hidden="1">
      <c r="E14831" s="96"/>
    </row>
    <row r="14832" hidden="1">
      <c r="E14832" s="96"/>
    </row>
    <row r="14833" hidden="1">
      <c r="E14833" s="96"/>
    </row>
    <row r="14834" hidden="1">
      <c r="E14834" s="96"/>
    </row>
    <row r="14835" hidden="1">
      <c r="E14835" s="96"/>
    </row>
    <row r="14836" hidden="1">
      <c r="E14836" s="96"/>
    </row>
    <row r="14837" hidden="1">
      <c r="E14837" s="96"/>
    </row>
    <row r="14838" hidden="1">
      <c r="E14838" s="96"/>
    </row>
    <row r="14839" hidden="1">
      <c r="E14839" s="96"/>
    </row>
    <row r="14840" hidden="1">
      <c r="E14840" s="96"/>
    </row>
    <row r="14841" hidden="1">
      <c r="E14841" s="96"/>
    </row>
    <row r="14842" hidden="1">
      <c r="E14842" s="96"/>
    </row>
    <row r="14843" hidden="1">
      <c r="E14843" s="96"/>
    </row>
    <row r="14844" hidden="1">
      <c r="E14844" s="96"/>
    </row>
    <row r="14845" hidden="1">
      <c r="E14845" s="96"/>
    </row>
    <row r="14846" hidden="1">
      <c r="E14846" s="96"/>
    </row>
    <row r="14847" hidden="1">
      <c r="E14847" s="96"/>
    </row>
    <row r="14848" hidden="1">
      <c r="E14848" s="96"/>
    </row>
    <row r="14849" hidden="1">
      <c r="E14849" s="96"/>
    </row>
    <row r="14850" hidden="1">
      <c r="E14850" s="96"/>
    </row>
    <row r="14851" hidden="1">
      <c r="E14851" s="96"/>
    </row>
    <row r="14852" hidden="1">
      <c r="E14852" s="96"/>
    </row>
    <row r="14853" hidden="1">
      <c r="E14853" s="96"/>
    </row>
    <row r="14854" hidden="1">
      <c r="E14854" s="96"/>
    </row>
    <row r="14855" hidden="1">
      <c r="E14855" s="96"/>
    </row>
    <row r="14856" hidden="1">
      <c r="E14856" s="96"/>
    </row>
    <row r="14857" hidden="1">
      <c r="E14857" s="96"/>
    </row>
    <row r="14858" hidden="1">
      <c r="E14858" s="96"/>
    </row>
    <row r="14859" hidden="1">
      <c r="E14859" s="96"/>
    </row>
    <row r="14860" hidden="1">
      <c r="E14860" s="96"/>
    </row>
    <row r="14861" hidden="1">
      <c r="E14861" s="96"/>
    </row>
    <row r="14862" hidden="1">
      <c r="E14862" s="96"/>
    </row>
    <row r="14863" hidden="1">
      <c r="E14863" s="96"/>
    </row>
    <row r="14864" hidden="1">
      <c r="E14864" s="96"/>
    </row>
    <row r="14865" hidden="1">
      <c r="E14865" s="96"/>
    </row>
    <row r="14866" hidden="1">
      <c r="E14866" s="96"/>
    </row>
    <row r="14867" hidden="1">
      <c r="E14867" s="96"/>
    </row>
    <row r="14868" hidden="1">
      <c r="E14868" s="96"/>
    </row>
    <row r="14869" hidden="1">
      <c r="E14869" s="96"/>
    </row>
    <row r="14870" hidden="1">
      <c r="E14870" s="96"/>
    </row>
    <row r="14871" hidden="1">
      <c r="E14871" s="96"/>
    </row>
    <row r="14872" hidden="1">
      <c r="E14872" s="96"/>
    </row>
    <row r="14873" hidden="1">
      <c r="E14873" s="96"/>
    </row>
    <row r="14874" hidden="1">
      <c r="E14874" s="96"/>
    </row>
    <row r="14875" hidden="1">
      <c r="E14875" s="96"/>
    </row>
    <row r="14876" hidden="1">
      <c r="E14876" s="96"/>
    </row>
    <row r="14877" hidden="1">
      <c r="E14877" s="96"/>
    </row>
    <row r="14878" hidden="1">
      <c r="E14878" s="96"/>
    </row>
    <row r="14879" hidden="1">
      <c r="E14879" s="96"/>
    </row>
    <row r="14880" hidden="1">
      <c r="E14880" s="96"/>
    </row>
    <row r="14881" hidden="1">
      <c r="E14881" s="96"/>
    </row>
    <row r="14882" hidden="1">
      <c r="E14882" s="96"/>
    </row>
    <row r="14883" hidden="1">
      <c r="E14883" s="96"/>
    </row>
    <row r="14884" hidden="1">
      <c r="E14884" s="96"/>
    </row>
    <row r="14885" hidden="1">
      <c r="E14885" s="96"/>
    </row>
    <row r="14886" hidden="1">
      <c r="E14886" s="96"/>
    </row>
    <row r="14887" hidden="1">
      <c r="E14887" s="96"/>
    </row>
    <row r="14888" hidden="1">
      <c r="E14888" s="96"/>
    </row>
    <row r="14889" hidden="1">
      <c r="E14889" s="96"/>
    </row>
    <row r="14890" hidden="1">
      <c r="E14890" s="96"/>
    </row>
    <row r="14891" hidden="1">
      <c r="E14891" s="96"/>
    </row>
    <row r="14892" hidden="1">
      <c r="E14892" s="96"/>
    </row>
    <row r="14893" hidden="1">
      <c r="E14893" s="96"/>
    </row>
    <row r="14894" hidden="1">
      <c r="E14894" s="96"/>
    </row>
    <row r="14895" hidden="1">
      <c r="E14895" s="96"/>
    </row>
    <row r="14896" hidden="1">
      <c r="E14896" s="96"/>
    </row>
    <row r="14897" hidden="1">
      <c r="E14897" s="96"/>
    </row>
    <row r="14898" hidden="1">
      <c r="E14898" s="96"/>
    </row>
    <row r="14899" hidden="1">
      <c r="E14899" s="96"/>
    </row>
    <row r="14900" hidden="1">
      <c r="E14900" s="96"/>
    </row>
    <row r="14901" hidden="1">
      <c r="E14901" s="96"/>
    </row>
    <row r="14902" hidden="1">
      <c r="E14902" s="96"/>
    </row>
    <row r="14903" hidden="1">
      <c r="E14903" s="96"/>
    </row>
    <row r="14904" hidden="1">
      <c r="E14904" s="96"/>
    </row>
    <row r="14905" hidden="1">
      <c r="E14905" s="96"/>
    </row>
    <row r="14906" hidden="1">
      <c r="E14906" s="96"/>
    </row>
    <row r="14907" hidden="1">
      <c r="E14907" s="96"/>
    </row>
    <row r="14908" hidden="1">
      <c r="E14908" s="96"/>
    </row>
    <row r="14909" hidden="1">
      <c r="E14909" s="96"/>
    </row>
    <row r="14910" hidden="1">
      <c r="E14910" s="96"/>
    </row>
    <row r="14911" hidden="1">
      <c r="E14911" s="96"/>
    </row>
    <row r="14912" hidden="1">
      <c r="E14912" s="96"/>
    </row>
    <row r="14913" hidden="1">
      <c r="E14913" s="96"/>
    </row>
    <row r="14914" hidden="1">
      <c r="E14914" s="96"/>
    </row>
    <row r="14915" hidden="1">
      <c r="E14915" s="96"/>
    </row>
    <row r="14916" hidden="1">
      <c r="E14916" s="96"/>
    </row>
    <row r="14917" hidden="1">
      <c r="E14917" s="96"/>
    </row>
    <row r="14918" hidden="1">
      <c r="E14918" s="96"/>
    </row>
    <row r="14919" hidden="1">
      <c r="E14919" s="96"/>
    </row>
    <row r="14920" hidden="1">
      <c r="E14920" s="96"/>
    </row>
    <row r="14921" hidden="1">
      <c r="E14921" s="96"/>
    </row>
    <row r="14922" hidden="1">
      <c r="E14922" s="96"/>
    </row>
    <row r="14923" hidden="1">
      <c r="E14923" s="96"/>
    </row>
    <row r="14924" hidden="1">
      <c r="E14924" s="96"/>
    </row>
    <row r="14925" hidden="1">
      <c r="E14925" s="96"/>
    </row>
    <row r="14926" hidden="1">
      <c r="E14926" s="96"/>
    </row>
    <row r="14927" hidden="1">
      <c r="E14927" s="96"/>
    </row>
    <row r="14928" hidden="1">
      <c r="E14928" s="96"/>
    </row>
    <row r="14929" hidden="1">
      <c r="E14929" s="96"/>
    </row>
    <row r="14930" hidden="1">
      <c r="E14930" s="96"/>
    </row>
    <row r="14931" hidden="1">
      <c r="E14931" s="96"/>
    </row>
    <row r="14932" hidden="1">
      <c r="E14932" s="96"/>
    </row>
    <row r="14933" hidden="1">
      <c r="E14933" s="96"/>
    </row>
    <row r="14934" hidden="1">
      <c r="E14934" s="96"/>
    </row>
    <row r="14935" hidden="1">
      <c r="E14935" s="96"/>
    </row>
    <row r="14936" hidden="1">
      <c r="E14936" s="96"/>
    </row>
    <row r="14937" hidden="1">
      <c r="E14937" s="96"/>
    </row>
    <row r="14938" hidden="1">
      <c r="E14938" s="96"/>
    </row>
    <row r="14939" hidden="1">
      <c r="E14939" s="96"/>
    </row>
    <row r="14940" hidden="1">
      <c r="E14940" s="96"/>
    </row>
    <row r="14941" hidden="1">
      <c r="E14941" s="96"/>
    </row>
    <row r="14942" hidden="1">
      <c r="E14942" s="96"/>
    </row>
    <row r="14943" hidden="1">
      <c r="E14943" s="96"/>
    </row>
    <row r="14944" hidden="1">
      <c r="E14944" s="96"/>
    </row>
    <row r="14945" hidden="1">
      <c r="E14945" s="96"/>
    </row>
    <row r="14946" hidden="1">
      <c r="E14946" s="96"/>
    </row>
    <row r="14947" hidden="1">
      <c r="E14947" s="96"/>
    </row>
    <row r="14948" hidden="1">
      <c r="E14948" s="96"/>
    </row>
    <row r="14949" hidden="1">
      <c r="E14949" s="96"/>
    </row>
    <row r="14950" hidden="1">
      <c r="E14950" s="96"/>
    </row>
    <row r="14951" hidden="1">
      <c r="E14951" s="96"/>
    </row>
    <row r="14952" hidden="1">
      <c r="E14952" s="96"/>
    </row>
    <row r="14953" hidden="1">
      <c r="E14953" s="96"/>
    </row>
    <row r="14954" hidden="1">
      <c r="E14954" s="96"/>
    </row>
    <row r="14955" hidden="1">
      <c r="E14955" s="96"/>
    </row>
    <row r="14956" hidden="1">
      <c r="E14956" s="96"/>
    </row>
    <row r="14957" hidden="1">
      <c r="E14957" s="96"/>
    </row>
    <row r="14958" hidden="1">
      <c r="E14958" s="96"/>
    </row>
    <row r="14959" hidden="1">
      <c r="E14959" s="96"/>
    </row>
    <row r="14960" hidden="1">
      <c r="E14960" s="96"/>
    </row>
    <row r="14961" hidden="1">
      <c r="E14961" s="96"/>
    </row>
    <row r="14962" hidden="1">
      <c r="E14962" s="96"/>
    </row>
    <row r="14963" hidden="1">
      <c r="E14963" s="96"/>
    </row>
    <row r="14964" hidden="1">
      <c r="E14964" s="96"/>
    </row>
    <row r="14965" hidden="1">
      <c r="E14965" s="96"/>
    </row>
    <row r="14966" hidden="1">
      <c r="E14966" s="96"/>
    </row>
    <row r="14967" hidden="1">
      <c r="E14967" s="96"/>
    </row>
    <row r="14968" hidden="1">
      <c r="E14968" s="96"/>
    </row>
    <row r="14969" hidden="1">
      <c r="E14969" s="96"/>
    </row>
    <row r="14970" hidden="1">
      <c r="E14970" s="96"/>
    </row>
    <row r="14971" hidden="1">
      <c r="E14971" s="96"/>
    </row>
    <row r="14972" hidden="1">
      <c r="E14972" s="96"/>
    </row>
    <row r="14973" hidden="1">
      <c r="E14973" s="96"/>
    </row>
    <row r="14974" hidden="1">
      <c r="E14974" s="96"/>
    </row>
    <row r="14975" hidden="1">
      <c r="E14975" s="96"/>
    </row>
    <row r="14976" hidden="1">
      <c r="E14976" s="96"/>
    </row>
    <row r="14977" hidden="1">
      <c r="E14977" s="96"/>
    </row>
    <row r="14978" hidden="1">
      <c r="E14978" s="96"/>
    </row>
    <row r="14979" hidden="1">
      <c r="E14979" s="96"/>
    </row>
    <row r="14980" hidden="1">
      <c r="E14980" s="96"/>
    </row>
    <row r="14981" hidden="1">
      <c r="E14981" s="96"/>
    </row>
    <row r="14982" hidden="1">
      <c r="E14982" s="96"/>
    </row>
    <row r="14983" hidden="1">
      <c r="E14983" s="96"/>
    </row>
    <row r="14984" hidden="1">
      <c r="E14984" s="96"/>
    </row>
    <row r="14985" hidden="1">
      <c r="E14985" s="96"/>
    </row>
    <row r="14986" hidden="1">
      <c r="E14986" s="96"/>
    </row>
    <row r="14987" hidden="1">
      <c r="E14987" s="96"/>
    </row>
    <row r="14988" hidden="1">
      <c r="E14988" s="96"/>
    </row>
    <row r="14989" hidden="1">
      <c r="E14989" s="96"/>
    </row>
    <row r="14990" hidden="1">
      <c r="E14990" s="96"/>
    </row>
    <row r="14991" hidden="1">
      <c r="E14991" s="96"/>
    </row>
    <row r="14992" hidden="1">
      <c r="E14992" s="96"/>
    </row>
    <row r="14993" hidden="1">
      <c r="E14993" s="96"/>
    </row>
    <row r="14994" hidden="1">
      <c r="E14994" s="96"/>
    </row>
    <row r="14995" hidden="1">
      <c r="E14995" s="96"/>
    </row>
    <row r="14996" hidden="1">
      <c r="E14996" s="96"/>
    </row>
    <row r="14997" hidden="1">
      <c r="E14997" s="96"/>
    </row>
    <row r="14998" hidden="1">
      <c r="E14998" s="96"/>
    </row>
    <row r="14999" hidden="1">
      <c r="E14999" s="96"/>
    </row>
    <row r="15000" hidden="1">
      <c r="E15000" s="96"/>
    </row>
    <row r="15001" hidden="1">
      <c r="E15001" s="96"/>
    </row>
    <row r="15002" hidden="1">
      <c r="E15002" s="96"/>
    </row>
    <row r="15003" hidden="1">
      <c r="E15003" s="96"/>
    </row>
    <row r="15004" hidden="1">
      <c r="E15004" s="96"/>
    </row>
    <row r="15005" hidden="1">
      <c r="E15005" s="96"/>
    </row>
    <row r="15006" hidden="1">
      <c r="E15006" s="96"/>
    </row>
    <row r="15007" hidden="1">
      <c r="E15007" s="96"/>
    </row>
    <row r="15008" hidden="1">
      <c r="E15008" s="96"/>
    </row>
    <row r="15009" hidden="1">
      <c r="E15009" s="96"/>
    </row>
    <row r="15010" hidden="1">
      <c r="E15010" s="96"/>
    </row>
    <row r="15011" hidden="1">
      <c r="E15011" s="96"/>
    </row>
    <row r="15012" hidden="1">
      <c r="E15012" s="96"/>
    </row>
    <row r="15013" hidden="1">
      <c r="E15013" s="96"/>
    </row>
    <row r="15014" hidden="1">
      <c r="E15014" s="96"/>
    </row>
    <row r="15015" hidden="1">
      <c r="E15015" s="96"/>
    </row>
    <row r="15016" hidden="1">
      <c r="E15016" s="96"/>
    </row>
    <row r="15017" hidden="1">
      <c r="E15017" s="96"/>
    </row>
    <row r="15018" hidden="1">
      <c r="E15018" s="96"/>
    </row>
    <row r="15019" hidden="1">
      <c r="E15019" s="96"/>
    </row>
    <row r="15020" hidden="1">
      <c r="E15020" s="96"/>
    </row>
    <row r="15021" hidden="1">
      <c r="E15021" s="96"/>
    </row>
    <row r="15022" hidden="1">
      <c r="E15022" s="96"/>
    </row>
    <row r="15023" hidden="1">
      <c r="E15023" s="96"/>
    </row>
    <row r="15024" hidden="1">
      <c r="E15024" s="96"/>
    </row>
    <row r="15025" hidden="1">
      <c r="E15025" s="96"/>
    </row>
    <row r="15026" hidden="1">
      <c r="E15026" s="96"/>
    </row>
    <row r="15027" hidden="1">
      <c r="E15027" s="96"/>
    </row>
    <row r="15028" hidden="1">
      <c r="E15028" s="96"/>
    </row>
    <row r="15029" hidden="1">
      <c r="E15029" s="96"/>
    </row>
    <row r="15030" hidden="1">
      <c r="E15030" s="96"/>
    </row>
    <row r="15031" hidden="1">
      <c r="E15031" s="96"/>
    </row>
    <row r="15032" hidden="1">
      <c r="E15032" s="96"/>
    </row>
    <row r="15033" hidden="1">
      <c r="E15033" s="96"/>
    </row>
    <row r="15034" hidden="1">
      <c r="E15034" s="96"/>
    </row>
    <row r="15035" hidden="1">
      <c r="E15035" s="96"/>
    </row>
    <row r="15036" hidden="1">
      <c r="E15036" s="96"/>
    </row>
    <row r="15037" hidden="1">
      <c r="E15037" s="96"/>
    </row>
    <row r="15038" hidden="1">
      <c r="E15038" s="96"/>
    </row>
    <row r="15039" hidden="1">
      <c r="E15039" s="96"/>
    </row>
    <row r="15040" hidden="1">
      <c r="E15040" s="96"/>
    </row>
    <row r="15041" hidden="1">
      <c r="E15041" s="96"/>
    </row>
    <row r="15042" hidden="1">
      <c r="E15042" s="96"/>
    </row>
    <row r="15043" hidden="1">
      <c r="E15043" s="96"/>
    </row>
    <row r="15044" hidden="1">
      <c r="E15044" s="96"/>
    </row>
    <row r="15045" hidden="1">
      <c r="E15045" s="96"/>
    </row>
    <row r="15046" hidden="1">
      <c r="E15046" s="96"/>
    </row>
    <row r="15047" hidden="1">
      <c r="E15047" s="96"/>
    </row>
    <row r="15048" hidden="1">
      <c r="E15048" s="96"/>
    </row>
    <row r="15049" hidden="1">
      <c r="E15049" s="96"/>
    </row>
    <row r="15050" hidden="1">
      <c r="E15050" s="96"/>
    </row>
    <row r="15051" hidden="1">
      <c r="E15051" s="96"/>
    </row>
    <row r="15052" hidden="1">
      <c r="E15052" s="96"/>
    </row>
    <row r="15053" hidden="1">
      <c r="E15053" s="96"/>
    </row>
    <row r="15054" hidden="1">
      <c r="E15054" s="96"/>
    </row>
    <row r="15055" hidden="1">
      <c r="E15055" s="96"/>
    </row>
    <row r="15056" hidden="1">
      <c r="E15056" s="96"/>
    </row>
    <row r="15057" hidden="1">
      <c r="E15057" s="96"/>
    </row>
    <row r="15058" hidden="1">
      <c r="E15058" s="96"/>
    </row>
    <row r="15059" hidden="1">
      <c r="E15059" s="96"/>
    </row>
    <row r="15060" hidden="1">
      <c r="E15060" s="96"/>
    </row>
    <row r="15061" hidden="1">
      <c r="E15061" s="96"/>
    </row>
    <row r="15062" hidden="1">
      <c r="E15062" s="96"/>
    </row>
    <row r="15063" hidden="1">
      <c r="E15063" s="96"/>
    </row>
    <row r="15064" hidden="1">
      <c r="E15064" s="96"/>
    </row>
    <row r="15065" hidden="1">
      <c r="E15065" s="96"/>
    </row>
    <row r="15066" hidden="1">
      <c r="E15066" s="96"/>
    </row>
    <row r="15067" hidden="1">
      <c r="E15067" s="96"/>
    </row>
    <row r="15068" hidden="1">
      <c r="E15068" s="96"/>
    </row>
    <row r="15069" hidden="1">
      <c r="E15069" s="96"/>
    </row>
    <row r="15070" hidden="1">
      <c r="E15070" s="96"/>
    </row>
    <row r="15071" hidden="1">
      <c r="E15071" s="96"/>
    </row>
    <row r="15072" hidden="1">
      <c r="E15072" s="96"/>
    </row>
    <row r="15073" hidden="1">
      <c r="E15073" s="96"/>
    </row>
    <row r="15074" hidden="1">
      <c r="E15074" s="96"/>
    </row>
    <row r="15075" hidden="1">
      <c r="E15075" s="96"/>
    </row>
    <row r="15076" hidden="1">
      <c r="E15076" s="96"/>
    </row>
    <row r="15077" hidden="1">
      <c r="E15077" s="96"/>
    </row>
    <row r="15078" hidden="1">
      <c r="E15078" s="96"/>
    </row>
    <row r="15079" hidden="1">
      <c r="E15079" s="96"/>
    </row>
    <row r="15080" hidden="1">
      <c r="E15080" s="96"/>
    </row>
    <row r="15081" hidden="1">
      <c r="E15081" s="96"/>
    </row>
    <row r="15082" hidden="1">
      <c r="E15082" s="96"/>
    </row>
    <row r="15083" hidden="1">
      <c r="E15083" s="96"/>
    </row>
    <row r="15084" hidden="1">
      <c r="E15084" s="96"/>
    </row>
    <row r="15085" hidden="1">
      <c r="E15085" s="96"/>
    </row>
    <row r="15086" hidden="1">
      <c r="E15086" s="96"/>
    </row>
    <row r="15087" hidden="1">
      <c r="E15087" s="96"/>
    </row>
    <row r="15088" hidden="1">
      <c r="E15088" s="96"/>
    </row>
    <row r="15089" hidden="1">
      <c r="E15089" s="96"/>
    </row>
    <row r="15090" hidden="1">
      <c r="E15090" s="96"/>
    </row>
    <row r="15091" hidden="1">
      <c r="E15091" s="96"/>
    </row>
    <row r="15092" hidden="1">
      <c r="E15092" s="96"/>
    </row>
    <row r="15093" hidden="1">
      <c r="E15093" s="96"/>
    </row>
    <row r="15094" hidden="1">
      <c r="E15094" s="96"/>
    </row>
    <row r="15095" hidden="1">
      <c r="E15095" s="96"/>
    </row>
    <row r="15096" hidden="1">
      <c r="E15096" s="96"/>
    </row>
    <row r="15097" hidden="1">
      <c r="E15097" s="96"/>
    </row>
    <row r="15098" hidden="1">
      <c r="E15098" s="96"/>
    </row>
    <row r="15099" hidden="1">
      <c r="E15099" s="96"/>
    </row>
    <row r="15100" hidden="1">
      <c r="E15100" s="96"/>
    </row>
    <row r="15101" hidden="1">
      <c r="E15101" s="96"/>
    </row>
    <row r="15102" hidden="1">
      <c r="E15102" s="96"/>
    </row>
    <row r="15103" hidden="1">
      <c r="E15103" s="96"/>
    </row>
    <row r="15104" hidden="1">
      <c r="E15104" s="96"/>
    </row>
    <row r="15105" hidden="1">
      <c r="E15105" s="96"/>
    </row>
    <row r="15106" hidden="1">
      <c r="E15106" s="96"/>
    </row>
    <row r="15107" hidden="1">
      <c r="E15107" s="96"/>
    </row>
    <row r="15108" hidden="1">
      <c r="E15108" s="96"/>
    </row>
    <row r="15109" hidden="1">
      <c r="E15109" s="96"/>
    </row>
    <row r="15110" hidden="1">
      <c r="E15110" s="96"/>
    </row>
    <row r="15111" hidden="1">
      <c r="E15111" s="96"/>
    </row>
    <row r="15112" hidden="1">
      <c r="E15112" s="96"/>
    </row>
    <row r="15113" hidden="1">
      <c r="E15113" s="96"/>
    </row>
    <row r="15114" hidden="1">
      <c r="E15114" s="96"/>
    </row>
    <row r="15115" hidden="1">
      <c r="E15115" s="96"/>
    </row>
    <row r="15116" hidden="1">
      <c r="E15116" s="96"/>
    </row>
    <row r="15117" hidden="1">
      <c r="E15117" s="96"/>
    </row>
    <row r="15118" hidden="1">
      <c r="E15118" s="96"/>
    </row>
    <row r="15119" hidden="1">
      <c r="E15119" s="96"/>
    </row>
    <row r="15120" hidden="1">
      <c r="E15120" s="96"/>
    </row>
    <row r="15121" hidden="1">
      <c r="E15121" s="96"/>
    </row>
    <row r="15122" hidden="1">
      <c r="E15122" s="96"/>
    </row>
    <row r="15123" hidden="1">
      <c r="E15123" s="96"/>
    </row>
    <row r="15124" hidden="1">
      <c r="E15124" s="96"/>
    </row>
    <row r="15125" hidden="1">
      <c r="E15125" s="96"/>
    </row>
    <row r="15126" hidden="1">
      <c r="E15126" s="96"/>
    </row>
    <row r="15127" hidden="1">
      <c r="E15127" s="96"/>
    </row>
    <row r="15128" hidden="1">
      <c r="E15128" s="96"/>
    </row>
    <row r="15129" hidden="1">
      <c r="E15129" s="96"/>
    </row>
    <row r="15130" hidden="1">
      <c r="E15130" s="96"/>
    </row>
    <row r="15131" hidden="1">
      <c r="E15131" s="96"/>
    </row>
    <row r="15132" hidden="1">
      <c r="E15132" s="96"/>
    </row>
    <row r="15133" hidden="1">
      <c r="E15133" s="96"/>
    </row>
    <row r="15134" hidden="1">
      <c r="E15134" s="96"/>
    </row>
    <row r="15135" hidden="1">
      <c r="E15135" s="96"/>
    </row>
    <row r="15136" hidden="1">
      <c r="E15136" s="96"/>
    </row>
    <row r="15137" hidden="1">
      <c r="E15137" s="96"/>
    </row>
    <row r="15138" hidden="1">
      <c r="E15138" s="96"/>
    </row>
    <row r="15139" hidden="1">
      <c r="E15139" s="96"/>
    </row>
    <row r="15140" hidden="1">
      <c r="E15140" s="96"/>
    </row>
    <row r="15141" hidden="1">
      <c r="E15141" s="96"/>
    </row>
    <row r="15142" hidden="1">
      <c r="E15142" s="96"/>
    </row>
    <row r="15143" hidden="1">
      <c r="E15143" s="96"/>
    </row>
    <row r="15144" hidden="1">
      <c r="E15144" s="96"/>
    </row>
    <row r="15145" hidden="1">
      <c r="E15145" s="96"/>
    </row>
    <row r="15146" hidden="1">
      <c r="E15146" s="96"/>
    </row>
    <row r="15147" hidden="1">
      <c r="E15147" s="96"/>
    </row>
    <row r="15148" hidden="1">
      <c r="E15148" s="96"/>
    </row>
    <row r="15149" hidden="1">
      <c r="E15149" s="96"/>
    </row>
    <row r="15150" hidden="1">
      <c r="E15150" s="96"/>
    </row>
    <row r="15151" hidden="1">
      <c r="E15151" s="96"/>
    </row>
    <row r="15152" hidden="1">
      <c r="E15152" s="96"/>
    </row>
    <row r="15153" hidden="1">
      <c r="E15153" s="96"/>
    </row>
    <row r="15154" hidden="1">
      <c r="E15154" s="96"/>
    </row>
    <row r="15155" hidden="1">
      <c r="E15155" s="96"/>
    </row>
    <row r="15156" hidden="1">
      <c r="E15156" s="96"/>
    </row>
    <row r="15157" hidden="1">
      <c r="E15157" s="96"/>
    </row>
    <row r="15158" hidden="1">
      <c r="E15158" s="96"/>
    </row>
    <row r="15159" hidden="1">
      <c r="E15159" s="96"/>
    </row>
    <row r="15160" hidden="1">
      <c r="E15160" s="96"/>
    </row>
    <row r="15161" hidden="1">
      <c r="E15161" s="96"/>
    </row>
    <row r="15162" hidden="1">
      <c r="E15162" s="96"/>
    </row>
    <row r="15163" hidden="1">
      <c r="E15163" s="96"/>
    </row>
    <row r="15164" hidden="1">
      <c r="E15164" s="96"/>
    </row>
    <row r="15165" hidden="1">
      <c r="E15165" s="96"/>
    </row>
    <row r="15166" hidden="1">
      <c r="E15166" s="96"/>
    </row>
    <row r="15167" hidden="1">
      <c r="E15167" s="96"/>
    </row>
    <row r="15168" hidden="1">
      <c r="E15168" s="96"/>
    </row>
    <row r="15169" hidden="1">
      <c r="E15169" s="96"/>
    </row>
    <row r="15170" hidden="1">
      <c r="E15170" s="96"/>
    </row>
    <row r="15171" hidden="1">
      <c r="E15171" s="96"/>
    </row>
    <row r="15172" hidden="1">
      <c r="E15172" s="96"/>
    </row>
    <row r="15173" hidden="1">
      <c r="E15173" s="96"/>
    </row>
    <row r="15174" hidden="1">
      <c r="E15174" s="96"/>
    </row>
    <row r="15175" hidden="1">
      <c r="E15175" s="96"/>
    </row>
    <row r="15176" hidden="1">
      <c r="E15176" s="96"/>
    </row>
    <row r="15177" hidden="1">
      <c r="E15177" s="96"/>
    </row>
    <row r="15178" hidden="1">
      <c r="E15178" s="96"/>
    </row>
    <row r="15179" hidden="1">
      <c r="E15179" s="96"/>
    </row>
    <row r="15180" hidden="1">
      <c r="E15180" s="96"/>
    </row>
    <row r="15181" hidden="1">
      <c r="E15181" s="96"/>
    </row>
    <row r="15182" hidden="1">
      <c r="E15182" s="96"/>
    </row>
    <row r="15183" hidden="1">
      <c r="E15183" s="96"/>
    </row>
    <row r="15184" hidden="1">
      <c r="E15184" s="96"/>
    </row>
    <row r="15185" hidden="1">
      <c r="E15185" s="96"/>
    </row>
    <row r="15186" hidden="1">
      <c r="E15186" s="96"/>
    </row>
    <row r="15187" hidden="1">
      <c r="E15187" s="96"/>
    </row>
    <row r="15188" hidden="1">
      <c r="E15188" s="96"/>
    </row>
    <row r="15189" hidden="1">
      <c r="E15189" s="96"/>
    </row>
    <row r="15190" hidden="1">
      <c r="E15190" s="96"/>
    </row>
    <row r="15191" hidden="1">
      <c r="E15191" s="96"/>
    </row>
    <row r="15192" hidden="1">
      <c r="E15192" s="96"/>
    </row>
    <row r="15193" hidden="1">
      <c r="E15193" s="96"/>
    </row>
    <row r="15194" hidden="1">
      <c r="E15194" s="96"/>
    </row>
    <row r="15195" hidden="1">
      <c r="E15195" s="96"/>
    </row>
    <row r="15196" hidden="1">
      <c r="E15196" s="96"/>
    </row>
    <row r="15197" hidden="1">
      <c r="E15197" s="96"/>
    </row>
    <row r="15198" hidden="1">
      <c r="E15198" s="96"/>
    </row>
    <row r="15199" hidden="1">
      <c r="E15199" s="96"/>
    </row>
    <row r="15200" hidden="1">
      <c r="E15200" s="96"/>
    </row>
    <row r="15201" hidden="1">
      <c r="E15201" s="96"/>
    </row>
    <row r="15202" hidden="1">
      <c r="E15202" s="96"/>
    </row>
    <row r="15203" hidden="1">
      <c r="E15203" s="96"/>
    </row>
    <row r="15204" hidden="1">
      <c r="E15204" s="96"/>
    </row>
    <row r="15205" hidden="1">
      <c r="E15205" s="96"/>
    </row>
    <row r="15206" hidden="1">
      <c r="E15206" s="96"/>
    </row>
    <row r="15207" hidden="1">
      <c r="E15207" s="96"/>
    </row>
    <row r="15208" hidden="1">
      <c r="E15208" s="96"/>
    </row>
    <row r="15209" hidden="1">
      <c r="E15209" s="96"/>
    </row>
    <row r="15210" hidden="1">
      <c r="E15210" s="96"/>
    </row>
    <row r="15211" hidden="1">
      <c r="E15211" s="96"/>
    </row>
    <row r="15212" hidden="1">
      <c r="E15212" s="96"/>
    </row>
    <row r="15213" hidden="1">
      <c r="E15213" s="96"/>
    </row>
    <row r="15214" hidden="1">
      <c r="E15214" s="96"/>
    </row>
    <row r="15215" hidden="1">
      <c r="E15215" s="96"/>
    </row>
    <row r="15216" hidden="1">
      <c r="E15216" s="96"/>
    </row>
    <row r="15217" hidden="1">
      <c r="E15217" s="96"/>
    </row>
    <row r="15218" hidden="1">
      <c r="E15218" s="96"/>
    </row>
    <row r="15219" hidden="1">
      <c r="E15219" s="96"/>
    </row>
    <row r="15220" hidden="1">
      <c r="E15220" s="96"/>
    </row>
    <row r="15221" hidden="1">
      <c r="E15221" s="96"/>
    </row>
    <row r="15222" hidden="1">
      <c r="E15222" s="96"/>
    </row>
    <row r="15223" hidden="1">
      <c r="E15223" s="96"/>
    </row>
    <row r="15224" hidden="1">
      <c r="E15224" s="96"/>
    </row>
    <row r="15225" hidden="1">
      <c r="E15225" s="96"/>
    </row>
    <row r="15226" hidden="1">
      <c r="E15226" s="96"/>
    </row>
    <row r="15227" hidden="1">
      <c r="E15227" s="96"/>
    </row>
    <row r="15228" hidden="1">
      <c r="E15228" s="96"/>
    </row>
    <row r="15229" hidden="1">
      <c r="E15229" s="96"/>
    </row>
    <row r="15230" hidden="1">
      <c r="E15230" s="96"/>
    </row>
    <row r="15231" hidden="1">
      <c r="E15231" s="96"/>
    </row>
    <row r="15232" hidden="1">
      <c r="E15232" s="96"/>
    </row>
    <row r="15233" hidden="1">
      <c r="E15233" s="96"/>
    </row>
    <row r="15234" hidden="1">
      <c r="E15234" s="96"/>
    </row>
    <row r="15235" hidden="1">
      <c r="E15235" s="96"/>
    </row>
    <row r="15236" hidden="1">
      <c r="E15236" s="96"/>
    </row>
    <row r="15237" hidden="1">
      <c r="E15237" s="96"/>
    </row>
    <row r="15238" hidden="1">
      <c r="E15238" s="96"/>
    </row>
    <row r="15239" hidden="1">
      <c r="E15239" s="96"/>
    </row>
    <row r="15240" hidden="1">
      <c r="E15240" s="96"/>
    </row>
    <row r="15241" hidden="1">
      <c r="E15241" s="96"/>
    </row>
    <row r="15242" hidden="1">
      <c r="E15242" s="96"/>
    </row>
    <row r="15243" hidden="1">
      <c r="E15243" s="96"/>
    </row>
    <row r="15244" hidden="1">
      <c r="E15244" s="96"/>
    </row>
    <row r="15245" hidden="1">
      <c r="E15245" s="96"/>
    </row>
    <row r="15246" hidden="1">
      <c r="E15246" s="96"/>
    </row>
    <row r="15247" hidden="1">
      <c r="E15247" s="96"/>
    </row>
    <row r="15248" hidden="1">
      <c r="E15248" s="96"/>
    </row>
    <row r="15249" hidden="1">
      <c r="E15249" s="96"/>
    </row>
    <row r="15250" hidden="1">
      <c r="E15250" s="96"/>
    </row>
    <row r="15251" hidden="1">
      <c r="E15251" s="96"/>
    </row>
    <row r="15252" hidden="1">
      <c r="E15252" s="96"/>
    </row>
    <row r="15253" hidden="1">
      <c r="E15253" s="96"/>
    </row>
    <row r="15254" hidden="1">
      <c r="E15254" s="96"/>
    </row>
    <row r="15255" hidden="1">
      <c r="E15255" s="96"/>
    </row>
    <row r="15256" hidden="1">
      <c r="E15256" s="96"/>
    </row>
    <row r="15257" hidden="1">
      <c r="E15257" s="96"/>
    </row>
    <row r="15258" hidden="1">
      <c r="E15258" s="96"/>
    </row>
    <row r="15259" hidden="1">
      <c r="E15259" s="96"/>
    </row>
    <row r="15260" hidden="1">
      <c r="E15260" s="96"/>
    </row>
    <row r="15261" hidden="1">
      <c r="E15261" s="96"/>
    </row>
    <row r="15262" hidden="1">
      <c r="E15262" s="96"/>
    </row>
    <row r="15263" hidden="1">
      <c r="E15263" s="96"/>
    </row>
    <row r="15264" hidden="1">
      <c r="E15264" s="96"/>
    </row>
    <row r="15265" hidden="1">
      <c r="E15265" s="96"/>
    </row>
    <row r="15266" hidden="1">
      <c r="E15266" s="96"/>
    </row>
    <row r="15267" hidden="1">
      <c r="E15267" s="96"/>
    </row>
    <row r="15268" hidden="1">
      <c r="E15268" s="96"/>
    </row>
    <row r="15269" hidden="1">
      <c r="E15269" s="96"/>
    </row>
    <row r="15270" hidden="1">
      <c r="E15270" s="96"/>
    </row>
    <row r="15271" hidden="1">
      <c r="E15271" s="96"/>
    </row>
    <row r="15272" hidden="1">
      <c r="E15272" s="96"/>
    </row>
    <row r="15273" hidden="1">
      <c r="E15273" s="96"/>
    </row>
    <row r="15274" hidden="1">
      <c r="E15274" s="96"/>
    </row>
    <row r="15275" hidden="1">
      <c r="E15275" s="96"/>
    </row>
    <row r="15276" hidden="1">
      <c r="E15276" s="96"/>
    </row>
    <row r="15277" hidden="1">
      <c r="E15277" s="96"/>
    </row>
    <row r="15278" hidden="1">
      <c r="E15278" s="96"/>
    </row>
    <row r="15279" hidden="1">
      <c r="E15279" s="96"/>
    </row>
    <row r="15280" hidden="1">
      <c r="E15280" s="96"/>
    </row>
    <row r="15281" hidden="1">
      <c r="E15281" s="96"/>
    </row>
    <row r="15282" hidden="1">
      <c r="E15282" s="96"/>
    </row>
    <row r="15283" hidden="1">
      <c r="E15283" s="96"/>
    </row>
    <row r="15284" hidden="1">
      <c r="E15284" s="96"/>
    </row>
    <row r="15285" hidden="1">
      <c r="E15285" s="96"/>
    </row>
    <row r="15286" hidden="1">
      <c r="E15286" s="96"/>
    </row>
    <row r="15287" hidden="1">
      <c r="E15287" s="96"/>
    </row>
    <row r="15288" hidden="1">
      <c r="E15288" s="96"/>
    </row>
    <row r="15289" hidden="1">
      <c r="E15289" s="96"/>
    </row>
    <row r="15290" hidden="1">
      <c r="E15290" s="96"/>
    </row>
    <row r="15291" hidden="1">
      <c r="E15291" s="96"/>
    </row>
    <row r="15292" hidden="1">
      <c r="E15292" s="96"/>
    </row>
    <row r="15293" hidden="1">
      <c r="E15293" s="96"/>
    </row>
    <row r="15294" hidden="1">
      <c r="E15294" s="96"/>
    </row>
    <row r="15295" hidden="1">
      <c r="E15295" s="96"/>
    </row>
    <row r="15296" hidden="1">
      <c r="E15296" s="96"/>
    </row>
    <row r="15297" hidden="1">
      <c r="E15297" s="96"/>
    </row>
    <row r="15298" hidden="1">
      <c r="E15298" s="96"/>
    </row>
    <row r="15299" hidden="1">
      <c r="E15299" s="96"/>
    </row>
    <row r="15300" hidden="1">
      <c r="E15300" s="96"/>
    </row>
    <row r="15301" hidden="1">
      <c r="E15301" s="96"/>
    </row>
    <row r="15302" hidden="1">
      <c r="E15302" s="96"/>
    </row>
    <row r="15303" hidden="1">
      <c r="E15303" s="96"/>
    </row>
    <row r="15304" hidden="1">
      <c r="E15304" s="96"/>
    </row>
    <row r="15305" hidden="1">
      <c r="E15305" s="96"/>
    </row>
    <row r="15306" hidden="1">
      <c r="E15306" s="96"/>
    </row>
    <row r="15307" hidden="1">
      <c r="E15307" s="96"/>
    </row>
    <row r="15308" hidden="1">
      <c r="E15308" s="96"/>
    </row>
    <row r="15309" hidden="1">
      <c r="E15309" s="96"/>
    </row>
    <row r="15310" hidden="1">
      <c r="E15310" s="96"/>
    </row>
    <row r="15311" hidden="1">
      <c r="E15311" s="96"/>
    </row>
    <row r="15312" hidden="1">
      <c r="E15312" s="96"/>
    </row>
    <row r="15313" hidden="1">
      <c r="E15313" s="96"/>
    </row>
    <row r="15314" hidden="1">
      <c r="E15314" s="96"/>
    </row>
    <row r="15315" hidden="1">
      <c r="E15315" s="96"/>
    </row>
    <row r="15316" hidden="1">
      <c r="E15316" s="96"/>
    </row>
    <row r="15317" hidden="1">
      <c r="E15317" s="96"/>
    </row>
    <row r="15318" hidden="1">
      <c r="E15318" s="96"/>
    </row>
    <row r="15319" hidden="1">
      <c r="E15319" s="96"/>
    </row>
    <row r="15320" hidden="1">
      <c r="E15320" s="96"/>
    </row>
    <row r="15321" hidden="1">
      <c r="E15321" s="96"/>
    </row>
    <row r="15322" hidden="1">
      <c r="E15322" s="96"/>
    </row>
    <row r="15323" hidden="1">
      <c r="E15323" s="96"/>
    </row>
    <row r="15324" hidden="1">
      <c r="E15324" s="96"/>
    </row>
    <row r="15325" hidden="1">
      <c r="E15325" s="96"/>
    </row>
    <row r="15326" hidden="1">
      <c r="E15326" s="96"/>
    </row>
    <row r="15327" hidden="1">
      <c r="E15327" s="96"/>
    </row>
    <row r="15328" hidden="1">
      <c r="E15328" s="96"/>
    </row>
    <row r="15329" hidden="1">
      <c r="E15329" s="96"/>
    </row>
    <row r="15330" hidden="1">
      <c r="E15330" s="96"/>
    </row>
    <row r="15331" hidden="1">
      <c r="E15331" s="96"/>
    </row>
    <row r="15332" hidden="1">
      <c r="E15332" s="96"/>
    </row>
    <row r="15333" hidden="1">
      <c r="E15333" s="96"/>
    </row>
    <row r="15334" hidden="1">
      <c r="E15334" s="96"/>
    </row>
    <row r="15335" hidden="1">
      <c r="E15335" s="96"/>
    </row>
    <row r="15336" hidden="1">
      <c r="E15336" s="96"/>
    </row>
    <row r="15337" hidden="1">
      <c r="E15337" s="96"/>
    </row>
    <row r="15338" hidden="1">
      <c r="E15338" s="96"/>
    </row>
    <row r="15339" hidden="1">
      <c r="E15339" s="96"/>
    </row>
    <row r="15340" hidden="1">
      <c r="E15340" s="96"/>
    </row>
    <row r="15341" hidden="1">
      <c r="E15341" s="96"/>
    </row>
    <row r="15342" hidden="1">
      <c r="E15342" s="96"/>
    </row>
    <row r="15343" hidden="1">
      <c r="E15343" s="96"/>
    </row>
    <row r="15344" hidden="1">
      <c r="E15344" s="96"/>
    </row>
    <row r="15345" hidden="1">
      <c r="E15345" s="96"/>
    </row>
    <row r="15346" hidden="1">
      <c r="E15346" s="96"/>
    </row>
    <row r="15347" hidden="1">
      <c r="E15347" s="96"/>
    </row>
    <row r="15348" hidden="1">
      <c r="E15348" s="96"/>
    </row>
    <row r="15349" hidden="1">
      <c r="E15349" s="96"/>
    </row>
    <row r="15350" hidden="1">
      <c r="E15350" s="96"/>
    </row>
    <row r="15351" hidden="1">
      <c r="E15351" s="96"/>
    </row>
    <row r="15352" hidden="1">
      <c r="E15352" s="96"/>
    </row>
    <row r="15353" hidden="1">
      <c r="E15353" s="96"/>
    </row>
    <row r="15354" hidden="1">
      <c r="E15354" s="96"/>
    </row>
    <row r="15355" hidden="1">
      <c r="E15355" s="96"/>
    </row>
    <row r="15356" hidden="1">
      <c r="E15356" s="96"/>
    </row>
    <row r="15357" hidden="1">
      <c r="E15357" s="96"/>
    </row>
    <row r="15358" hidden="1">
      <c r="E15358" s="96"/>
    </row>
    <row r="15359" hidden="1">
      <c r="E15359" s="96"/>
    </row>
    <row r="15360" hidden="1">
      <c r="E15360" s="96"/>
    </row>
    <row r="15361" hidden="1">
      <c r="E15361" s="96"/>
    </row>
    <row r="15362" hidden="1">
      <c r="E15362" s="96"/>
    </row>
    <row r="15363" hidden="1">
      <c r="E15363" s="96"/>
    </row>
    <row r="15364" hidden="1">
      <c r="E15364" s="96"/>
    </row>
    <row r="15365" hidden="1">
      <c r="E15365" s="96"/>
    </row>
    <row r="15366" hidden="1">
      <c r="E15366" s="96"/>
    </row>
    <row r="15367" hidden="1">
      <c r="E15367" s="96"/>
    </row>
    <row r="15368" hidden="1">
      <c r="E15368" s="96"/>
    </row>
    <row r="15369" hidden="1">
      <c r="E15369" s="96"/>
    </row>
    <row r="15370" hidden="1">
      <c r="E15370" s="96"/>
    </row>
    <row r="15371" hidden="1">
      <c r="E15371" s="96"/>
    </row>
    <row r="15372" hidden="1">
      <c r="E15372" s="96"/>
    </row>
    <row r="15373" hidden="1">
      <c r="E15373" s="96"/>
    </row>
    <row r="15374" hidden="1">
      <c r="E15374" s="96"/>
    </row>
    <row r="15375" hidden="1">
      <c r="E15375" s="96"/>
    </row>
    <row r="15376" hidden="1">
      <c r="E15376" s="96"/>
    </row>
    <row r="15377" hidden="1">
      <c r="E15377" s="96"/>
    </row>
    <row r="15378" hidden="1">
      <c r="E15378" s="96"/>
    </row>
    <row r="15379" hidden="1">
      <c r="E15379" s="96"/>
    </row>
    <row r="15380" hidden="1">
      <c r="E15380" s="96"/>
    </row>
    <row r="15381" hidden="1">
      <c r="E15381" s="96"/>
    </row>
    <row r="15382" hidden="1">
      <c r="E15382" s="96"/>
    </row>
    <row r="15383" hidden="1">
      <c r="E15383" s="96"/>
    </row>
    <row r="15384" hidden="1">
      <c r="E15384" s="96"/>
    </row>
    <row r="15385" hidden="1">
      <c r="E15385" s="96"/>
    </row>
    <row r="15386" hidden="1">
      <c r="E15386" s="96"/>
    </row>
    <row r="15387" hidden="1">
      <c r="E15387" s="96"/>
    </row>
    <row r="15388" hidden="1">
      <c r="E15388" s="96"/>
    </row>
    <row r="15389" hidden="1">
      <c r="E15389" s="96"/>
    </row>
    <row r="15390" hidden="1">
      <c r="E15390" s="96"/>
    </row>
    <row r="15391" hidden="1">
      <c r="E15391" s="96"/>
    </row>
    <row r="15392" hidden="1">
      <c r="E15392" s="96"/>
    </row>
    <row r="15393" hidden="1">
      <c r="E15393" s="96"/>
    </row>
    <row r="15394" hidden="1">
      <c r="E15394" s="96"/>
    </row>
    <row r="15395" hidden="1">
      <c r="E15395" s="96"/>
    </row>
    <row r="15396" hidden="1">
      <c r="E15396" s="96"/>
    </row>
    <row r="15397" hidden="1">
      <c r="E15397" s="96"/>
    </row>
    <row r="15398" hidden="1">
      <c r="E15398" s="96"/>
    </row>
    <row r="15399" hidden="1">
      <c r="E15399" s="96"/>
    </row>
    <row r="15400" hidden="1">
      <c r="E15400" s="96"/>
    </row>
    <row r="15401" hidden="1">
      <c r="E15401" s="96"/>
    </row>
    <row r="15402" hidden="1">
      <c r="E15402" s="96"/>
    </row>
    <row r="15403" hidden="1">
      <c r="E15403" s="96"/>
    </row>
    <row r="15404" hidden="1">
      <c r="E15404" s="96"/>
    </row>
    <row r="15405" hidden="1">
      <c r="E15405" s="96"/>
    </row>
    <row r="15406" hidden="1">
      <c r="E15406" s="96"/>
    </row>
    <row r="15407" hidden="1">
      <c r="E15407" s="96"/>
    </row>
    <row r="15408" hidden="1">
      <c r="E15408" s="96"/>
    </row>
    <row r="15409" hidden="1">
      <c r="E15409" s="96"/>
    </row>
    <row r="15410" hidden="1">
      <c r="E15410" s="96"/>
    </row>
    <row r="15411" hidden="1">
      <c r="E15411" s="96"/>
    </row>
    <row r="15412" hidden="1">
      <c r="E15412" s="96"/>
    </row>
    <row r="15413" hidden="1">
      <c r="E15413" s="96"/>
    </row>
    <row r="15414" hidden="1">
      <c r="E15414" s="96"/>
    </row>
    <row r="15415" hidden="1">
      <c r="E15415" s="96"/>
    </row>
    <row r="15416" hidden="1">
      <c r="E15416" s="96"/>
    </row>
    <row r="15417" hidden="1">
      <c r="E15417" s="96"/>
    </row>
    <row r="15418" hidden="1">
      <c r="E15418" s="96"/>
    </row>
    <row r="15419" hidden="1">
      <c r="E15419" s="96"/>
    </row>
    <row r="15420" hidden="1">
      <c r="E15420" s="96"/>
    </row>
    <row r="15421" hidden="1">
      <c r="E15421" s="96"/>
    </row>
    <row r="15422" hidden="1">
      <c r="E15422" s="96"/>
    </row>
    <row r="15423" hidden="1">
      <c r="E15423" s="96"/>
    </row>
    <row r="15424" hidden="1">
      <c r="E15424" s="96"/>
    </row>
    <row r="15425" hidden="1">
      <c r="E15425" s="96"/>
    </row>
    <row r="15426" hidden="1">
      <c r="E15426" s="96"/>
    </row>
    <row r="15427" hidden="1">
      <c r="E15427" s="96"/>
    </row>
    <row r="15428" hidden="1">
      <c r="E15428" s="96"/>
    </row>
    <row r="15429" hidden="1">
      <c r="E15429" s="96"/>
    </row>
    <row r="15430" hidden="1">
      <c r="E15430" s="96"/>
    </row>
    <row r="15431" hidden="1">
      <c r="E15431" s="96"/>
    </row>
    <row r="15432" hidden="1">
      <c r="E15432" s="96"/>
    </row>
    <row r="15433" hidden="1">
      <c r="E15433" s="96"/>
    </row>
    <row r="15434" hidden="1">
      <c r="E15434" s="96"/>
    </row>
    <row r="15435" hidden="1">
      <c r="E15435" s="96"/>
    </row>
    <row r="15436" hidden="1">
      <c r="E15436" s="96"/>
    </row>
    <row r="15437" hidden="1">
      <c r="E15437" s="96"/>
    </row>
    <row r="15438" hidden="1">
      <c r="E15438" s="96"/>
    </row>
    <row r="15439" hidden="1">
      <c r="E15439" s="96"/>
    </row>
    <row r="15440" hidden="1">
      <c r="E15440" s="96"/>
    </row>
    <row r="15441" hidden="1">
      <c r="E15441" s="96"/>
    </row>
    <row r="15442" hidden="1">
      <c r="E15442" s="96"/>
    </row>
    <row r="15443" hidden="1">
      <c r="E15443" s="96"/>
    </row>
    <row r="15444" hidden="1">
      <c r="E15444" s="96"/>
    </row>
    <row r="15445" hidden="1">
      <c r="E15445" s="96"/>
    </row>
    <row r="15446" hidden="1">
      <c r="E15446" s="96"/>
    </row>
    <row r="15447" hidden="1">
      <c r="E15447" s="96"/>
    </row>
    <row r="15448" hidden="1">
      <c r="E15448" s="96"/>
    </row>
    <row r="15449" hidden="1">
      <c r="E15449" s="96"/>
    </row>
    <row r="15450" hidden="1">
      <c r="E15450" s="96"/>
    </row>
    <row r="15451" hidden="1">
      <c r="E15451" s="96"/>
    </row>
    <row r="15452" hidden="1">
      <c r="E15452" s="96"/>
    </row>
    <row r="15453" hidden="1">
      <c r="E15453" s="96"/>
    </row>
    <row r="15454" hidden="1">
      <c r="E15454" s="96"/>
    </row>
    <row r="15455" hidden="1">
      <c r="E15455" s="96"/>
    </row>
    <row r="15456" hidden="1">
      <c r="E15456" s="96"/>
    </row>
    <row r="15457" hidden="1">
      <c r="E15457" s="96"/>
    </row>
    <row r="15458" hidden="1">
      <c r="E15458" s="96"/>
    </row>
    <row r="15459" hidden="1">
      <c r="E15459" s="96"/>
    </row>
    <row r="15460" hidden="1">
      <c r="E15460" s="96"/>
    </row>
    <row r="15461" hidden="1">
      <c r="E15461" s="96"/>
    </row>
    <row r="15462" hidden="1">
      <c r="E15462" s="96"/>
    </row>
    <row r="15463" hidden="1">
      <c r="E15463" s="96"/>
    </row>
    <row r="15464" hidden="1">
      <c r="E15464" s="96"/>
    </row>
    <row r="15465" hidden="1">
      <c r="E15465" s="96"/>
    </row>
    <row r="15466" hidden="1">
      <c r="E15466" s="96"/>
    </row>
    <row r="15467" hidden="1">
      <c r="E15467" s="96"/>
    </row>
    <row r="15468" hidden="1">
      <c r="E15468" s="96"/>
    </row>
    <row r="15469" hidden="1">
      <c r="E15469" s="96"/>
    </row>
    <row r="15470" hidden="1">
      <c r="E15470" s="96"/>
    </row>
    <row r="15471" hidden="1">
      <c r="E15471" s="96"/>
    </row>
    <row r="15472" hidden="1">
      <c r="E15472" s="96"/>
    </row>
    <row r="15473" hidden="1">
      <c r="E15473" s="96"/>
    </row>
    <row r="15474" hidden="1">
      <c r="E15474" s="96"/>
    </row>
    <row r="15475" hidden="1">
      <c r="E15475" s="96"/>
    </row>
    <row r="15476" hidden="1">
      <c r="E15476" s="96"/>
    </row>
    <row r="15477" hidden="1">
      <c r="E15477" s="96"/>
    </row>
    <row r="15478" hidden="1">
      <c r="E15478" s="96"/>
    </row>
    <row r="15479" hidden="1">
      <c r="E15479" s="96"/>
    </row>
    <row r="15480" hidden="1">
      <c r="E15480" s="96"/>
    </row>
    <row r="15481" hidden="1">
      <c r="E15481" s="96"/>
    </row>
    <row r="15482" hidden="1">
      <c r="E15482" s="96"/>
    </row>
    <row r="15483" hidden="1">
      <c r="E15483" s="96"/>
    </row>
    <row r="15484" hidden="1">
      <c r="E15484" s="96"/>
    </row>
    <row r="15485" hidden="1">
      <c r="E15485" s="96"/>
    </row>
    <row r="15486" hidden="1">
      <c r="E15486" s="96"/>
    </row>
    <row r="15487" hidden="1">
      <c r="E15487" s="96"/>
    </row>
    <row r="15488" hidden="1">
      <c r="E15488" s="96"/>
    </row>
    <row r="15489" hidden="1">
      <c r="E15489" s="96"/>
    </row>
    <row r="15490" hidden="1">
      <c r="E15490" s="96"/>
    </row>
    <row r="15491" hidden="1">
      <c r="E15491" s="96"/>
    </row>
    <row r="15492" hidden="1">
      <c r="E15492" s="96"/>
    </row>
    <row r="15493" hidden="1">
      <c r="E15493" s="96"/>
    </row>
    <row r="15494" hidden="1">
      <c r="E15494" s="96"/>
    </row>
    <row r="15495" hidden="1">
      <c r="E15495" s="96"/>
    </row>
    <row r="15496" hidden="1">
      <c r="E15496" s="96"/>
    </row>
    <row r="15497" hidden="1">
      <c r="E15497" s="96"/>
    </row>
    <row r="15498" hidden="1">
      <c r="E15498" s="96"/>
    </row>
    <row r="15499" hidden="1">
      <c r="E15499" s="96"/>
    </row>
    <row r="15500" hidden="1">
      <c r="E15500" s="96"/>
    </row>
    <row r="15501" hidden="1">
      <c r="E15501" s="96"/>
    </row>
    <row r="15502" hidden="1">
      <c r="E15502" s="96"/>
    </row>
    <row r="15503" hidden="1">
      <c r="E15503" s="96"/>
    </row>
    <row r="15504" hidden="1">
      <c r="E15504" s="96"/>
    </row>
    <row r="15505" hidden="1">
      <c r="E15505" s="96"/>
    </row>
    <row r="15506" hidden="1">
      <c r="E15506" s="96"/>
    </row>
    <row r="15507" hidden="1">
      <c r="E15507" s="96"/>
    </row>
    <row r="15508" hidden="1">
      <c r="E15508" s="96"/>
    </row>
    <row r="15509" hidden="1">
      <c r="E15509" s="96"/>
    </row>
    <row r="15510" hidden="1">
      <c r="E15510" s="96"/>
    </row>
    <row r="15511" hidden="1">
      <c r="E15511" s="96"/>
    </row>
    <row r="15512" hidden="1">
      <c r="E15512" s="96"/>
    </row>
    <row r="15513" hidden="1">
      <c r="E15513" s="96"/>
    </row>
    <row r="15514" hidden="1">
      <c r="E15514" s="96"/>
    </row>
    <row r="15515" hidden="1">
      <c r="E15515" s="96"/>
    </row>
    <row r="15516" hidden="1">
      <c r="E15516" s="96"/>
    </row>
    <row r="15517" hidden="1">
      <c r="E15517" s="96"/>
    </row>
    <row r="15518" hidden="1">
      <c r="E15518" s="96"/>
    </row>
    <row r="15519" hidden="1">
      <c r="E15519" s="96"/>
    </row>
    <row r="15520" hidden="1">
      <c r="E15520" s="96"/>
    </row>
    <row r="15521" hidden="1">
      <c r="E15521" s="96"/>
    </row>
    <row r="15522" hidden="1">
      <c r="E15522" s="96"/>
    </row>
    <row r="15523" hidden="1">
      <c r="E15523" s="96"/>
    </row>
    <row r="15524" hidden="1">
      <c r="E15524" s="96"/>
    </row>
    <row r="15525" hidden="1">
      <c r="E15525" s="96"/>
    </row>
    <row r="15526" hidden="1">
      <c r="E15526" s="96"/>
    </row>
    <row r="15527" hidden="1">
      <c r="E15527" s="96"/>
    </row>
    <row r="15528" hidden="1">
      <c r="E15528" s="96"/>
    </row>
    <row r="15529" hidden="1">
      <c r="E15529" s="96"/>
    </row>
    <row r="15530" hidden="1">
      <c r="E15530" s="96"/>
    </row>
    <row r="15531" hidden="1">
      <c r="E15531" s="96"/>
    </row>
    <row r="15532" hidden="1">
      <c r="E15532" s="96"/>
    </row>
    <row r="15533" hidden="1">
      <c r="E15533" s="96"/>
    </row>
    <row r="15534" hidden="1">
      <c r="E15534" s="96"/>
    </row>
    <row r="15535" hidden="1">
      <c r="E15535" s="96"/>
    </row>
    <row r="15536" hidden="1">
      <c r="E15536" s="96"/>
    </row>
    <row r="15537" hidden="1">
      <c r="E15537" s="96"/>
    </row>
    <row r="15538" hidden="1">
      <c r="E15538" s="96"/>
    </row>
    <row r="15539" hidden="1">
      <c r="E15539" s="96"/>
    </row>
    <row r="15540" hidden="1">
      <c r="E15540" s="96"/>
    </row>
    <row r="15541" hidden="1">
      <c r="E15541" s="96"/>
    </row>
    <row r="15542" hidden="1">
      <c r="E15542" s="96"/>
    </row>
    <row r="15543" hidden="1">
      <c r="E15543" s="96"/>
    </row>
    <row r="15544" hidden="1">
      <c r="E15544" s="96"/>
    </row>
    <row r="15545" hidden="1">
      <c r="E15545" s="96"/>
    </row>
    <row r="15546" hidden="1">
      <c r="E15546" s="96"/>
    </row>
    <row r="15547" hidden="1">
      <c r="E15547" s="96"/>
    </row>
    <row r="15548" hidden="1">
      <c r="E15548" s="96"/>
    </row>
    <row r="15549" hidden="1">
      <c r="E15549" s="96"/>
    </row>
    <row r="15550" hidden="1">
      <c r="E15550" s="96"/>
    </row>
    <row r="15551" hidden="1">
      <c r="E15551" s="96"/>
    </row>
    <row r="15552" hidden="1">
      <c r="E15552" s="96"/>
    </row>
    <row r="15553" hidden="1">
      <c r="E15553" s="96"/>
    </row>
    <row r="15554" hidden="1">
      <c r="E15554" s="96"/>
    </row>
    <row r="15555" hidden="1">
      <c r="E15555" s="96"/>
    </row>
    <row r="15556" hidden="1">
      <c r="E15556" s="96"/>
    </row>
    <row r="15557" hidden="1">
      <c r="E15557" s="96"/>
    </row>
    <row r="15558" hidden="1">
      <c r="E15558" s="96"/>
    </row>
    <row r="15559" hidden="1">
      <c r="E15559" s="96"/>
    </row>
    <row r="15560" hidden="1">
      <c r="E15560" s="96"/>
    </row>
    <row r="15561" hidden="1">
      <c r="E15561" s="96"/>
    </row>
    <row r="15562" hidden="1">
      <c r="E15562" s="96"/>
    </row>
    <row r="15563" hidden="1">
      <c r="E15563" s="96"/>
    </row>
    <row r="15564" hidden="1">
      <c r="E15564" s="96"/>
    </row>
    <row r="15565" hidden="1">
      <c r="E15565" s="96"/>
    </row>
    <row r="15566" hidden="1">
      <c r="E15566" s="96"/>
    </row>
    <row r="15567" hidden="1">
      <c r="E15567" s="96"/>
    </row>
    <row r="15568" hidden="1">
      <c r="E15568" s="96"/>
    </row>
    <row r="15569" hidden="1">
      <c r="E15569" s="96"/>
    </row>
    <row r="15570" hidden="1">
      <c r="E15570" s="96"/>
    </row>
    <row r="15571" hidden="1">
      <c r="E15571" s="96"/>
    </row>
    <row r="15572" hidden="1">
      <c r="E15572" s="96"/>
    </row>
    <row r="15573" hidden="1">
      <c r="E15573" s="96"/>
    </row>
    <row r="15574" hidden="1">
      <c r="E15574" s="96"/>
    </row>
    <row r="15575" hidden="1">
      <c r="E15575" s="96"/>
    </row>
    <row r="15576" hidden="1">
      <c r="E15576" s="96"/>
    </row>
    <row r="15577" hidden="1">
      <c r="E15577" s="96"/>
    </row>
    <row r="15578" hidden="1">
      <c r="E15578" s="96"/>
    </row>
    <row r="15579" hidden="1">
      <c r="E15579" s="96"/>
    </row>
    <row r="15580" hidden="1">
      <c r="E15580" s="96"/>
    </row>
    <row r="15581" hidden="1">
      <c r="E15581" s="96"/>
    </row>
    <row r="15582" hidden="1">
      <c r="E15582" s="96"/>
    </row>
    <row r="15583" hidden="1">
      <c r="E15583" s="96"/>
    </row>
    <row r="15584" hidden="1">
      <c r="E15584" s="96"/>
    </row>
    <row r="15585" hidden="1">
      <c r="E15585" s="96"/>
    </row>
    <row r="15586" hidden="1">
      <c r="E15586" s="96"/>
    </row>
    <row r="15587" hidden="1">
      <c r="E15587" s="96"/>
    </row>
    <row r="15588" hidden="1">
      <c r="E15588" s="96"/>
    </row>
    <row r="15589" hidden="1">
      <c r="E15589" s="96"/>
    </row>
    <row r="15590" hidden="1">
      <c r="E15590" s="96"/>
    </row>
    <row r="15591" hidden="1">
      <c r="E15591" s="96"/>
    </row>
    <row r="15592" hidden="1">
      <c r="E15592" s="96"/>
    </row>
    <row r="15593" hidden="1">
      <c r="E15593" s="96"/>
    </row>
    <row r="15594" hidden="1">
      <c r="E15594" s="96"/>
    </row>
    <row r="15595" hidden="1">
      <c r="E15595" s="96"/>
    </row>
    <row r="15596" hidden="1">
      <c r="E15596" s="96"/>
    </row>
    <row r="15597" hidden="1">
      <c r="E15597" s="96"/>
    </row>
    <row r="15598" hidden="1">
      <c r="E15598" s="96"/>
    </row>
    <row r="15599" hidden="1">
      <c r="E15599" s="96"/>
    </row>
    <row r="15600" hidden="1">
      <c r="E15600" s="96"/>
    </row>
    <row r="15601" hidden="1">
      <c r="E15601" s="96"/>
    </row>
    <row r="15602" hidden="1">
      <c r="E15602" s="96"/>
    </row>
    <row r="15603" hidden="1">
      <c r="E15603" s="96"/>
    </row>
    <row r="15604" hidden="1">
      <c r="E15604" s="96"/>
    </row>
    <row r="15605" hidden="1">
      <c r="E15605" s="96"/>
    </row>
    <row r="15606" hidden="1">
      <c r="E15606" s="96"/>
    </row>
    <row r="15607" hidden="1">
      <c r="E15607" s="96"/>
    </row>
    <row r="15608" hidden="1">
      <c r="E15608" s="96"/>
    </row>
    <row r="15609" hidden="1">
      <c r="E15609" s="96"/>
    </row>
    <row r="15610" hidden="1">
      <c r="E15610" s="96"/>
    </row>
    <row r="15611" hidden="1">
      <c r="E15611" s="96"/>
    </row>
    <row r="15612" hidden="1">
      <c r="E15612" s="96"/>
    </row>
    <row r="15613" hidden="1">
      <c r="E15613" s="96"/>
    </row>
    <row r="15614" hidden="1">
      <c r="E15614" s="96"/>
    </row>
    <row r="15615" hidden="1">
      <c r="E15615" s="96"/>
    </row>
    <row r="15616" hidden="1">
      <c r="E15616" s="96"/>
    </row>
    <row r="15617" hidden="1">
      <c r="E15617" s="96"/>
    </row>
    <row r="15618" hidden="1">
      <c r="E15618" s="96"/>
    </row>
    <row r="15619" hidden="1">
      <c r="E15619" s="96"/>
    </row>
    <row r="15620" hidden="1">
      <c r="E15620" s="96"/>
    </row>
    <row r="15621" hidden="1">
      <c r="E15621" s="96"/>
    </row>
    <row r="15622" hidden="1">
      <c r="E15622" s="96"/>
    </row>
    <row r="15623" hidden="1">
      <c r="E15623" s="96"/>
    </row>
    <row r="15624" hidden="1">
      <c r="E15624" s="96"/>
    </row>
    <row r="15625" hidden="1">
      <c r="E15625" s="96"/>
    </row>
    <row r="15626" hidden="1">
      <c r="E15626" s="96"/>
    </row>
    <row r="15627" hidden="1">
      <c r="E15627" s="96"/>
    </row>
    <row r="15628" hidden="1">
      <c r="E15628" s="96"/>
    </row>
    <row r="15629" hidden="1">
      <c r="E15629" s="96"/>
    </row>
    <row r="15630" hidden="1">
      <c r="E15630" s="96"/>
    </row>
    <row r="15631" hidden="1">
      <c r="E15631" s="96"/>
    </row>
    <row r="15632" hidden="1">
      <c r="E15632" s="96"/>
    </row>
    <row r="15633" hidden="1">
      <c r="E15633" s="96"/>
    </row>
    <row r="15634" hidden="1">
      <c r="E15634" s="96"/>
    </row>
    <row r="15635" hidden="1">
      <c r="E15635" s="96"/>
    </row>
    <row r="15636" hidden="1">
      <c r="E15636" s="96"/>
    </row>
    <row r="15637" hidden="1">
      <c r="E15637" s="96"/>
    </row>
    <row r="15638" hidden="1">
      <c r="E15638" s="96"/>
    </row>
    <row r="15639" hidden="1">
      <c r="E15639" s="96"/>
    </row>
    <row r="15640" hidden="1">
      <c r="E15640" s="96"/>
    </row>
    <row r="15641" hidden="1">
      <c r="E15641" s="96"/>
    </row>
    <row r="15642" hidden="1">
      <c r="E15642" s="96"/>
    </row>
    <row r="15643" hidden="1">
      <c r="E15643" s="96"/>
    </row>
    <row r="15644" hidden="1">
      <c r="E15644" s="96"/>
    </row>
    <row r="15645" hidden="1">
      <c r="E15645" s="96"/>
    </row>
    <row r="15646" hidden="1">
      <c r="E15646" s="96"/>
    </row>
    <row r="15647" hidden="1">
      <c r="E15647" s="96"/>
    </row>
    <row r="15648" hidden="1">
      <c r="E15648" s="96"/>
    </row>
    <row r="15649" hidden="1">
      <c r="E15649" s="96"/>
    </row>
    <row r="15650" hidden="1">
      <c r="E15650" s="96"/>
    </row>
    <row r="15651" hidden="1">
      <c r="E15651" s="96"/>
    </row>
    <row r="15652" hidden="1">
      <c r="E15652" s="96"/>
    </row>
    <row r="15653" hidden="1">
      <c r="E15653" s="96"/>
    </row>
    <row r="15654" hidden="1">
      <c r="E15654" s="96"/>
    </row>
    <row r="15655" hidden="1">
      <c r="E15655" s="96"/>
    </row>
    <row r="15656" hidden="1">
      <c r="E15656" s="96"/>
    </row>
    <row r="15657" hidden="1">
      <c r="E15657" s="96"/>
    </row>
    <row r="15658" hidden="1">
      <c r="E15658" s="96"/>
    </row>
    <row r="15659" hidden="1">
      <c r="E15659" s="96"/>
    </row>
    <row r="15660" hidden="1">
      <c r="E15660" s="96"/>
    </row>
    <row r="15661" hidden="1">
      <c r="E15661" s="96"/>
    </row>
    <row r="15662" hidden="1">
      <c r="E15662" s="96"/>
    </row>
    <row r="15663" hidden="1">
      <c r="E15663" s="96"/>
    </row>
    <row r="15664" hidden="1">
      <c r="E15664" s="96"/>
    </row>
    <row r="15665" hidden="1">
      <c r="E15665" s="96"/>
    </row>
    <row r="15666" hidden="1">
      <c r="E15666" s="96"/>
    </row>
    <row r="15667" hidden="1">
      <c r="E15667" s="96"/>
    </row>
    <row r="15668" hidden="1">
      <c r="E15668" s="96"/>
    </row>
    <row r="15669" hidden="1">
      <c r="E15669" s="96"/>
    </row>
    <row r="15670" hidden="1">
      <c r="E15670" s="96"/>
    </row>
    <row r="15671" hidden="1">
      <c r="E15671" s="96"/>
    </row>
    <row r="15672" hidden="1">
      <c r="E15672" s="96"/>
    </row>
    <row r="15673" hidden="1">
      <c r="E15673" s="96"/>
    </row>
    <row r="15674" hidden="1">
      <c r="E15674" s="96"/>
    </row>
    <row r="15675" hidden="1">
      <c r="E15675" s="96"/>
    </row>
    <row r="15676" hidden="1">
      <c r="E15676" s="96"/>
    </row>
    <row r="15677" hidden="1">
      <c r="E15677" s="96"/>
    </row>
    <row r="15678" hidden="1">
      <c r="E15678" s="96"/>
    </row>
    <row r="15679" hidden="1">
      <c r="E15679" s="96"/>
    </row>
    <row r="15680" hidden="1">
      <c r="E15680" s="96"/>
    </row>
    <row r="15681" hidden="1">
      <c r="E15681" s="96"/>
    </row>
    <row r="15682" hidden="1">
      <c r="E15682" s="96"/>
    </row>
    <row r="15683" hidden="1">
      <c r="E15683" s="96"/>
    </row>
    <row r="15684" hidden="1">
      <c r="E15684" s="96"/>
    </row>
    <row r="15685" hidden="1">
      <c r="E15685" s="96"/>
    </row>
    <row r="15686" hidden="1">
      <c r="E15686" s="96"/>
    </row>
    <row r="15687" hidden="1">
      <c r="E15687" s="96"/>
    </row>
    <row r="15688" hidden="1">
      <c r="E15688" s="96"/>
    </row>
    <row r="15689" hidden="1">
      <c r="E15689" s="96"/>
    </row>
    <row r="15690" hidden="1">
      <c r="E15690" s="96"/>
    </row>
    <row r="15691" hidden="1">
      <c r="E15691" s="96"/>
    </row>
    <row r="15692" hidden="1">
      <c r="E15692" s="96"/>
    </row>
    <row r="15693" hidden="1">
      <c r="E15693" s="96"/>
    </row>
    <row r="15694" hidden="1">
      <c r="E15694" s="96"/>
    </row>
    <row r="15695" hidden="1">
      <c r="E15695" s="96"/>
    </row>
    <row r="15696" hidden="1">
      <c r="E15696" s="96"/>
    </row>
    <row r="15697" hidden="1">
      <c r="E15697" s="96"/>
    </row>
    <row r="15698" hidden="1">
      <c r="E15698" s="96"/>
    </row>
    <row r="15699" hidden="1">
      <c r="E15699" s="96"/>
    </row>
    <row r="15700" hidden="1">
      <c r="E15700" s="96"/>
    </row>
    <row r="15701" hidden="1">
      <c r="E15701" s="96"/>
    </row>
    <row r="15702" hidden="1">
      <c r="E15702" s="96"/>
    </row>
    <row r="15703" hidden="1">
      <c r="E15703" s="96"/>
    </row>
    <row r="15704" hidden="1">
      <c r="E15704" s="96"/>
    </row>
    <row r="15705" hidden="1">
      <c r="E15705" s="96"/>
    </row>
    <row r="15706" hidden="1">
      <c r="E15706" s="96"/>
    </row>
    <row r="15707" hidden="1">
      <c r="E15707" s="96"/>
    </row>
    <row r="15708" hidden="1">
      <c r="E15708" s="96"/>
    </row>
    <row r="15709" hidden="1">
      <c r="E15709" s="96"/>
    </row>
    <row r="15710" hidden="1">
      <c r="E15710" s="96"/>
    </row>
    <row r="15711" hidden="1">
      <c r="E15711" s="96"/>
    </row>
    <row r="15712" hidden="1">
      <c r="E15712" s="96"/>
    </row>
    <row r="15713" hidden="1">
      <c r="E15713" s="96"/>
    </row>
    <row r="15714" hidden="1">
      <c r="E15714" s="96"/>
    </row>
    <row r="15715" hidden="1">
      <c r="E15715" s="96"/>
    </row>
    <row r="15716" hidden="1">
      <c r="E15716" s="96"/>
    </row>
    <row r="15717" hidden="1">
      <c r="E15717" s="96"/>
    </row>
    <row r="15718" hidden="1">
      <c r="E15718" s="96"/>
    </row>
    <row r="15719" hidden="1">
      <c r="E15719" s="96"/>
    </row>
    <row r="15720" hidden="1">
      <c r="E15720" s="96"/>
    </row>
    <row r="15721" hidden="1">
      <c r="E15721" s="96"/>
    </row>
    <row r="15722" hidden="1">
      <c r="E15722" s="96"/>
    </row>
    <row r="15723" hidden="1">
      <c r="E15723" s="96"/>
    </row>
    <row r="15724" hidden="1">
      <c r="E15724" s="96"/>
    </row>
    <row r="15725" hidden="1">
      <c r="E15725" s="96"/>
    </row>
    <row r="15726" hidden="1">
      <c r="E15726" s="96"/>
    </row>
    <row r="15727" hidden="1">
      <c r="E15727" s="96"/>
    </row>
    <row r="15728" hidden="1">
      <c r="E15728" s="96"/>
    </row>
    <row r="15729" hidden="1">
      <c r="E15729" s="96"/>
    </row>
    <row r="15730" hidden="1">
      <c r="E15730" s="96"/>
    </row>
    <row r="15731" hidden="1">
      <c r="E15731" s="96"/>
    </row>
    <row r="15732" hidden="1">
      <c r="E15732" s="96"/>
    </row>
    <row r="15733" hidden="1">
      <c r="E15733" s="96"/>
    </row>
    <row r="15734" hidden="1">
      <c r="E15734" s="96"/>
    </row>
    <row r="15735" hidden="1">
      <c r="E15735" s="96"/>
    </row>
    <row r="15736" hidden="1">
      <c r="E15736" s="96"/>
    </row>
    <row r="15737" hidden="1">
      <c r="E15737" s="96"/>
    </row>
    <row r="15738" hidden="1">
      <c r="E15738" s="96"/>
    </row>
    <row r="15739" hidden="1">
      <c r="E15739" s="96"/>
    </row>
    <row r="15740" hidden="1">
      <c r="E15740" s="96"/>
    </row>
    <row r="15741" hidden="1">
      <c r="E15741" s="96"/>
    </row>
    <row r="15742" hidden="1">
      <c r="E15742" s="96"/>
    </row>
    <row r="15743" hidden="1">
      <c r="E15743" s="96"/>
    </row>
    <row r="15744" hidden="1">
      <c r="E15744" s="96"/>
    </row>
    <row r="15745" hidden="1">
      <c r="E15745" s="96"/>
    </row>
    <row r="15746" hidden="1">
      <c r="E15746" s="96"/>
    </row>
    <row r="15747" hidden="1">
      <c r="E15747" s="96"/>
    </row>
    <row r="15748" hidden="1">
      <c r="E15748" s="96"/>
    </row>
    <row r="15749" hidden="1">
      <c r="E15749" s="96"/>
    </row>
    <row r="15750" hidden="1">
      <c r="E15750" s="96"/>
    </row>
    <row r="15751" hidden="1">
      <c r="E15751" s="96"/>
    </row>
    <row r="15752" hidden="1">
      <c r="E15752" s="96"/>
    </row>
    <row r="15753" hidden="1">
      <c r="E15753" s="96"/>
    </row>
    <row r="15754" hidden="1">
      <c r="E15754" s="96"/>
    </row>
    <row r="15755" hidden="1">
      <c r="E15755" s="96"/>
    </row>
    <row r="15756" hidden="1">
      <c r="E15756" s="96"/>
    </row>
    <row r="15757" hidden="1">
      <c r="E15757" s="96"/>
    </row>
    <row r="15758" hidden="1">
      <c r="E15758" s="96"/>
    </row>
    <row r="15759" hidden="1">
      <c r="E15759" s="96"/>
    </row>
    <row r="15760" hidden="1">
      <c r="E15760" s="96"/>
    </row>
    <row r="15761" hidden="1">
      <c r="E15761" s="96"/>
    </row>
    <row r="15762" hidden="1">
      <c r="E15762" s="96"/>
    </row>
    <row r="15763" hidden="1">
      <c r="E15763" s="96"/>
    </row>
    <row r="15764" hidden="1">
      <c r="E15764" s="96"/>
    </row>
    <row r="15765" hidden="1">
      <c r="E15765" s="96"/>
    </row>
    <row r="15766" hidden="1">
      <c r="E15766" s="96"/>
    </row>
    <row r="15767" hidden="1">
      <c r="E15767" s="96"/>
    </row>
    <row r="15768" hidden="1">
      <c r="E15768" s="96"/>
    </row>
    <row r="15769" hidden="1">
      <c r="E15769" s="96"/>
    </row>
    <row r="15770" hidden="1">
      <c r="E15770" s="96"/>
    </row>
    <row r="15771" hidden="1">
      <c r="E15771" s="96"/>
    </row>
    <row r="15772" hidden="1">
      <c r="E15772" s="96"/>
    </row>
    <row r="15773" hidden="1">
      <c r="E15773" s="96"/>
    </row>
    <row r="15774" hidden="1">
      <c r="E15774" s="96"/>
    </row>
    <row r="15775" hidden="1">
      <c r="E15775" s="96"/>
    </row>
    <row r="15776" hidden="1">
      <c r="E15776" s="96"/>
    </row>
    <row r="15777" hidden="1">
      <c r="E15777" s="96"/>
    </row>
    <row r="15778" hidden="1">
      <c r="E15778" s="96"/>
    </row>
    <row r="15779" hidden="1">
      <c r="E15779" s="96"/>
    </row>
    <row r="15780" hidden="1">
      <c r="E15780" s="96"/>
    </row>
    <row r="15781" hidden="1">
      <c r="E15781" s="96"/>
    </row>
    <row r="15782" hidden="1">
      <c r="E15782" s="96"/>
    </row>
    <row r="15783" hidden="1">
      <c r="E15783" s="96"/>
    </row>
    <row r="15784" hidden="1">
      <c r="E15784" s="96"/>
    </row>
    <row r="15785" hidden="1">
      <c r="E15785" s="96"/>
    </row>
    <row r="15786" hidden="1">
      <c r="E15786" s="96"/>
    </row>
    <row r="15787" hidden="1">
      <c r="E15787" s="96"/>
    </row>
    <row r="15788" hidden="1">
      <c r="E15788" s="96"/>
    </row>
    <row r="15789" hidden="1">
      <c r="E15789" s="96"/>
    </row>
    <row r="15790" hidden="1">
      <c r="E15790" s="96"/>
    </row>
    <row r="15791" hidden="1">
      <c r="E15791" s="96"/>
    </row>
    <row r="15792" hidden="1">
      <c r="E15792" s="96"/>
    </row>
    <row r="15793" hidden="1">
      <c r="E15793" s="96"/>
    </row>
    <row r="15794" hidden="1">
      <c r="E15794" s="96"/>
    </row>
    <row r="15795" hidden="1">
      <c r="E15795" s="96"/>
    </row>
    <row r="15796" hidden="1">
      <c r="E15796" s="96"/>
    </row>
    <row r="15797" hidden="1">
      <c r="E15797" s="96"/>
    </row>
    <row r="15798" hidden="1">
      <c r="E15798" s="96"/>
    </row>
    <row r="15799" hidden="1">
      <c r="E15799" s="96"/>
    </row>
    <row r="15800" hidden="1">
      <c r="E15800" s="96"/>
    </row>
    <row r="15801" hidden="1">
      <c r="E15801" s="96"/>
    </row>
    <row r="15802" hidden="1">
      <c r="E15802" s="96"/>
    </row>
    <row r="15803" hidden="1">
      <c r="E15803" s="96"/>
    </row>
    <row r="15804" hidden="1">
      <c r="E15804" s="96"/>
    </row>
    <row r="15805" hidden="1">
      <c r="E15805" s="96"/>
    </row>
    <row r="15806" hidden="1">
      <c r="E15806" s="96"/>
    </row>
    <row r="15807" hidden="1">
      <c r="E15807" s="96"/>
    </row>
    <row r="15808" hidden="1">
      <c r="E15808" s="96"/>
    </row>
    <row r="15809" hidden="1">
      <c r="E15809" s="96"/>
    </row>
    <row r="15810" hidden="1">
      <c r="E15810" s="96"/>
    </row>
    <row r="15811" hidden="1">
      <c r="E15811" s="96"/>
    </row>
    <row r="15812" hidden="1">
      <c r="E15812" s="96"/>
    </row>
    <row r="15813" hidden="1">
      <c r="E15813" s="96"/>
    </row>
    <row r="15814" hidden="1">
      <c r="E15814" s="96"/>
    </row>
    <row r="15815" hidden="1">
      <c r="E15815" s="96"/>
    </row>
    <row r="15816" hidden="1">
      <c r="E15816" s="96"/>
    </row>
    <row r="15817" hidden="1">
      <c r="E15817" s="96"/>
    </row>
    <row r="15818" hidden="1">
      <c r="E15818" s="96"/>
    </row>
    <row r="15819" hidden="1">
      <c r="E15819" s="96"/>
    </row>
    <row r="15820" hidden="1">
      <c r="E15820" s="96"/>
    </row>
    <row r="15821" hidden="1">
      <c r="E15821" s="96"/>
    </row>
    <row r="15822" hidden="1">
      <c r="E15822" s="96"/>
    </row>
    <row r="15823" hidden="1">
      <c r="E15823" s="96"/>
    </row>
    <row r="15824" hidden="1">
      <c r="E15824" s="96"/>
    </row>
    <row r="15825" hidden="1">
      <c r="E15825" s="96"/>
    </row>
    <row r="15826" hidden="1">
      <c r="E15826" s="96"/>
    </row>
    <row r="15827" hidden="1">
      <c r="E15827" s="96"/>
    </row>
    <row r="15828" hidden="1">
      <c r="E15828" s="96"/>
    </row>
    <row r="15829" hidden="1">
      <c r="E15829" s="96"/>
    </row>
    <row r="15830" hidden="1">
      <c r="E15830" s="96"/>
    </row>
    <row r="15831" hidden="1">
      <c r="E15831" s="96"/>
    </row>
    <row r="15832" hidden="1">
      <c r="E15832" s="96"/>
    </row>
    <row r="15833" hidden="1">
      <c r="E15833" s="96"/>
    </row>
    <row r="15834" hidden="1">
      <c r="E15834" s="96"/>
    </row>
    <row r="15835" hidden="1">
      <c r="E15835" s="96"/>
    </row>
    <row r="15836" hidden="1">
      <c r="E15836" s="96"/>
    </row>
    <row r="15837" hidden="1">
      <c r="E15837" s="96"/>
    </row>
    <row r="15838" hidden="1">
      <c r="E15838" s="96"/>
    </row>
    <row r="15839" hidden="1">
      <c r="E15839" s="96"/>
    </row>
    <row r="15840" hidden="1">
      <c r="E15840" s="96"/>
    </row>
    <row r="15841" hidden="1">
      <c r="E15841" s="96"/>
    </row>
    <row r="15842" hidden="1">
      <c r="E15842" s="96"/>
    </row>
    <row r="15843" hidden="1">
      <c r="E15843" s="96"/>
    </row>
    <row r="15844" hidden="1">
      <c r="E15844" s="96"/>
    </row>
    <row r="15845" hidden="1">
      <c r="E15845" s="96"/>
    </row>
    <row r="15846" hidden="1">
      <c r="E15846" s="96"/>
    </row>
    <row r="15847" hidden="1">
      <c r="E15847" s="96"/>
    </row>
    <row r="15848" hidden="1">
      <c r="E15848" s="96"/>
    </row>
    <row r="15849" hidden="1">
      <c r="E15849" s="96"/>
    </row>
    <row r="15850" hidden="1">
      <c r="E15850" s="96"/>
    </row>
    <row r="15851" hidden="1">
      <c r="E15851" s="96"/>
    </row>
    <row r="15852" hidden="1">
      <c r="E15852" s="96"/>
    </row>
    <row r="15853" hidden="1">
      <c r="E15853" s="96"/>
    </row>
    <row r="15854" hidden="1">
      <c r="E15854" s="96"/>
    </row>
    <row r="15855" hidden="1">
      <c r="E15855" s="96"/>
    </row>
    <row r="15856" hidden="1">
      <c r="E15856" s="96"/>
    </row>
    <row r="15857" hidden="1">
      <c r="E15857" s="96"/>
    </row>
    <row r="15858" hidden="1">
      <c r="E15858" s="96"/>
    </row>
    <row r="15859" hidden="1">
      <c r="E15859" s="96"/>
    </row>
    <row r="15860" hidden="1">
      <c r="E15860" s="96"/>
    </row>
    <row r="15861" hidden="1">
      <c r="E15861" s="96"/>
    </row>
    <row r="15862" hidden="1">
      <c r="E15862" s="96"/>
    </row>
    <row r="15863" hidden="1">
      <c r="E15863" s="96"/>
    </row>
    <row r="15864" hidden="1">
      <c r="E15864" s="96"/>
    </row>
    <row r="15865" hidden="1">
      <c r="E15865" s="96"/>
    </row>
    <row r="15866" hidden="1">
      <c r="E15866" s="96"/>
    </row>
    <row r="15867" hidden="1">
      <c r="E15867" s="96"/>
    </row>
    <row r="15868" hidden="1">
      <c r="E15868" s="96"/>
    </row>
    <row r="15869" hidden="1">
      <c r="E15869" s="96"/>
    </row>
    <row r="15870" hidden="1">
      <c r="E15870" s="96"/>
    </row>
    <row r="15871" hidden="1">
      <c r="E15871" s="96"/>
    </row>
    <row r="15872" hidden="1">
      <c r="E15872" s="96"/>
    </row>
    <row r="15873" hidden="1">
      <c r="E15873" s="96"/>
    </row>
    <row r="15874" hidden="1">
      <c r="E15874" s="96"/>
    </row>
    <row r="15875" hidden="1">
      <c r="E15875" s="96"/>
    </row>
    <row r="15876" hidden="1">
      <c r="E15876" s="96"/>
    </row>
    <row r="15877" hidden="1">
      <c r="E15877" s="96"/>
    </row>
    <row r="15878" hidden="1">
      <c r="E15878" s="96"/>
    </row>
    <row r="15879" hidden="1">
      <c r="E15879" s="96"/>
    </row>
    <row r="15880" hidden="1">
      <c r="E15880" s="96"/>
    </row>
    <row r="15881" hidden="1">
      <c r="E15881" s="96"/>
    </row>
    <row r="15882" hidden="1">
      <c r="E15882" s="96"/>
    </row>
    <row r="15883" hidden="1">
      <c r="E15883" s="96"/>
    </row>
    <row r="15884" hidden="1">
      <c r="E15884" s="96"/>
    </row>
    <row r="15885" hidden="1">
      <c r="E15885" s="96"/>
    </row>
    <row r="15886" hidden="1">
      <c r="E15886" s="96"/>
    </row>
    <row r="15887" hidden="1">
      <c r="E15887" s="96"/>
    </row>
    <row r="15888" hidden="1">
      <c r="E15888" s="96"/>
    </row>
    <row r="15889" hidden="1">
      <c r="E15889" s="96"/>
    </row>
    <row r="15890" hidden="1">
      <c r="E15890" s="96"/>
    </row>
    <row r="15891" hidden="1">
      <c r="E15891" s="96"/>
    </row>
    <row r="15892" hidden="1">
      <c r="E15892" s="96"/>
    </row>
    <row r="15893" hidden="1">
      <c r="E15893" s="96"/>
    </row>
    <row r="15894" hidden="1">
      <c r="E15894" s="96"/>
    </row>
    <row r="15895" hidden="1">
      <c r="E15895" s="96"/>
    </row>
    <row r="15896" hidden="1">
      <c r="E15896" s="96"/>
    </row>
    <row r="15897" hidden="1">
      <c r="E15897" s="96"/>
    </row>
    <row r="15898" hidden="1">
      <c r="E15898" s="96"/>
    </row>
    <row r="15899" hidden="1">
      <c r="E15899" s="96"/>
    </row>
    <row r="15900" hidden="1">
      <c r="E15900" s="96"/>
    </row>
    <row r="15901" hidden="1">
      <c r="E15901" s="96"/>
    </row>
    <row r="15902" hidden="1">
      <c r="E15902" s="96"/>
    </row>
    <row r="15903" hidden="1">
      <c r="E15903" s="96"/>
    </row>
    <row r="15904" hidden="1">
      <c r="E15904" s="96"/>
    </row>
    <row r="15905" hidden="1">
      <c r="E15905" s="96"/>
    </row>
    <row r="15906" hidden="1">
      <c r="E15906" s="96"/>
    </row>
    <row r="15907" hidden="1">
      <c r="E15907" s="96"/>
    </row>
    <row r="15908" hidden="1">
      <c r="E15908" s="96"/>
    </row>
    <row r="15909" hidden="1">
      <c r="E15909" s="96"/>
    </row>
    <row r="15910" hidden="1">
      <c r="E15910" s="96"/>
    </row>
    <row r="15911" hidden="1">
      <c r="E15911" s="96"/>
    </row>
    <row r="15912" hidden="1">
      <c r="E15912" s="96"/>
    </row>
    <row r="15913" hidden="1">
      <c r="E15913" s="96"/>
    </row>
    <row r="15914" hidden="1">
      <c r="E15914" s="96"/>
    </row>
    <row r="15915" hidden="1">
      <c r="E15915" s="96"/>
    </row>
    <row r="15916" hidden="1">
      <c r="E15916" s="96"/>
    </row>
    <row r="15917" hidden="1">
      <c r="E15917" s="96"/>
    </row>
    <row r="15918" hidden="1">
      <c r="E15918" s="96"/>
    </row>
    <row r="15919" hidden="1">
      <c r="E15919" s="96"/>
    </row>
    <row r="15920" hidden="1">
      <c r="E15920" s="96"/>
    </row>
    <row r="15921" hidden="1">
      <c r="E15921" s="96"/>
    </row>
    <row r="15922" hidden="1">
      <c r="E15922" s="96"/>
    </row>
    <row r="15923" hidden="1">
      <c r="E15923" s="96"/>
    </row>
    <row r="15924" hidden="1">
      <c r="E15924" s="96"/>
    </row>
    <row r="15925" hidden="1">
      <c r="E15925" s="96"/>
    </row>
    <row r="15926" hidden="1">
      <c r="E15926" s="96"/>
    </row>
    <row r="15927" hidden="1">
      <c r="E15927" s="96"/>
    </row>
    <row r="15928" hidden="1">
      <c r="E15928" s="96"/>
    </row>
    <row r="15929" hidden="1">
      <c r="E15929" s="96"/>
    </row>
    <row r="15930" hidden="1">
      <c r="E15930" s="96"/>
    </row>
    <row r="15931" hidden="1">
      <c r="E15931" s="96"/>
    </row>
    <row r="15932" hidden="1">
      <c r="E15932" s="96"/>
    </row>
    <row r="15933" hidden="1">
      <c r="E15933" s="96"/>
    </row>
    <row r="15934" hidden="1">
      <c r="E15934" s="96"/>
    </row>
    <row r="15935" hidden="1">
      <c r="E15935" s="96"/>
    </row>
    <row r="15936" hidden="1">
      <c r="E15936" s="96"/>
    </row>
    <row r="15937" hidden="1">
      <c r="E15937" s="96"/>
    </row>
    <row r="15938" hidden="1">
      <c r="E15938" s="96"/>
    </row>
    <row r="15939" hidden="1">
      <c r="E15939" s="96"/>
    </row>
    <row r="15940" hidden="1">
      <c r="E15940" s="96"/>
    </row>
    <row r="15941" hidden="1">
      <c r="E15941" s="96"/>
    </row>
    <row r="15942" hidden="1">
      <c r="E15942" s="96"/>
    </row>
    <row r="15943" hidden="1">
      <c r="E15943" s="96"/>
    </row>
    <row r="15944" hidden="1">
      <c r="E15944" s="96"/>
    </row>
    <row r="15945" hidden="1">
      <c r="E15945" s="96"/>
    </row>
    <row r="15946" hidden="1">
      <c r="E15946" s="96"/>
    </row>
    <row r="15947" hidden="1">
      <c r="E15947" s="96"/>
    </row>
    <row r="15948" hidden="1">
      <c r="E15948" s="96"/>
    </row>
    <row r="15949" hidden="1">
      <c r="E15949" s="96"/>
    </row>
    <row r="15950" hidden="1">
      <c r="E15950" s="96"/>
    </row>
    <row r="15951" hidden="1">
      <c r="E15951" s="96"/>
    </row>
    <row r="15952" hidden="1">
      <c r="E15952" s="96"/>
    </row>
    <row r="15953" hidden="1">
      <c r="E15953" s="96"/>
    </row>
    <row r="15954" hidden="1">
      <c r="E15954" s="96"/>
    </row>
    <row r="15955" hidden="1">
      <c r="E15955" s="96"/>
    </row>
    <row r="15956" hidden="1">
      <c r="E15956" s="96"/>
    </row>
    <row r="15957" hidden="1">
      <c r="E15957" s="96"/>
    </row>
    <row r="15958" hidden="1">
      <c r="E15958" s="96"/>
    </row>
    <row r="15959" hidden="1">
      <c r="E15959" s="96"/>
    </row>
    <row r="15960" hidden="1">
      <c r="E15960" s="96"/>
    </row>
    <row r="15961" hidden="1">
      <c r="E15961" s="96"/>
    </row>
    <row r="15962" hidden="1">
      <c r="E15962" s="96"/>
    </row>
    <row r="15963" hidden="1">
      <c r="E15963" s="96"/>
    </row>
    <row r="15964" hidden="1">
      <c r="E15964" s="96"/>
    </row>
    <row r="15965" hidden="1">
      <c r="E15965" s="96"/>
    </row>
    <row r="15966" hidden="1">
      <c r="E15966" s="96"/>
    </row>
    <row r="15967" hidden="1">
      <c r="E15967" s="96"/>
    </row>
    <row r="15968" hidden="1">
      <c r="E15968" s="96"/>
    </row>
    <row r="15969" hidden="1">
      <c r="E15969" s="96"/>
    </row>
    <row r="15970" hidden="1">
      <c r="E15970" s="96"/>
    </row>
    <row r="15971" hidden="1">
      <c r="E15971" s="96"/>
    </row>
    <row r="15972" hidden="1">
      <c r="E15972" s="96"/>
    </row>
    <row r="15973" hidden="1">
      <c r="E15973" s="96"/>
    </row>
    <row r="15974" hidden="1">
      <c r="E15974" s="96"/>
    </row>
    <row r="15975" hidden="1">
      <c r="E15975" s="96"/>
    </row>
    <row r="15976" hidden="1">
      <c r="E15976" s="96"/>
    </row>
    <row r="15977" hidden="1">
      <c r="E15977" s="96"/>
    </row>
    <row r="15978" hidden="1">
      <c r="E15978" s="96"/>
    </row>
    <row r="15979" hidden="1">
      <c r="E15979" s="96"/>
    </row>
    <row r="15980" hidden="1">
      <c r="E15980" s="96"/>
    </row>
    <row r="15981" hidden="1">
      <c r="E15981" s="96"/>
    </row>
    <row r="15982" hidden="1">
      <c r="E15982" s="96"/>
    </row>
    <row r="15983" hidden="1">
      <c r="E15983" s="96"/>
    </row>
    <row r="15984" hidden="1">
      <c r="E15984" s="96"/>
    </row>
    <row r="15985" hidden="1">
      <c r="E15985" s="96"/>
    </row>
    <row r="15986" hidden="1">
      <c r="E15986" s="96"/>
    </row>
    <row r="15987" hidden="1">
      <c r="E15987" s="96"/>
    </row>
    <row r="15988" hidden="1">
      <c r="E15988" s="96"/>
    </row>
    <row r="15989" hidden="1">
      <c r="E15989" s="96"/>
    </row>
    <row r="15990" hidden="1">
      <c r="E15990" s="96"/>
    </row>
    <row r="15991" hidden="1">
      <c r="E15991" s="96"/>
    </row>
    <row r="15992" hidden="1">
      <c r="E15992" s="96"/>
    </row>
    <row r="15993" hidden="1">
      <c r="E15993" s="96"/>
    </row>
    <row r="15994" hidden="1">
      <c r="E15994" s="96"/>
    </row>
    <row r="15995" hidden="1">
      <c r="E15995" s="96"/>
    </row>
    <row r="15996" hidden="1">
      <c r="E15996" s="96"/>
    </row>
    <row r="15997" hidden="1">
      <c r="E15997" s="96"/>
    </row>
    <row r="15998" hidden="1">
      <c r="E15998" s="96"/>
    </row>
    <row r="15999" hidden="1">
      <c r="E15999" s="96"/>
    </row>
    <row r="16000" hidden="1">
      <c r="E16000" s="96"/>
    </row>
    <row r="16001" hidden="1">
      <c r="E16001" s="96"/>
    </row>
    <row r="16002" hidden="1">
      <c r="E16002" s="96"/>
    </row>
    <row r="16003" hidden="1">
      <c r="E16003" s="96"/>
    </row>
    <row r="16004" hidden="1">
      <c r="E16004" s="96"/>
    </row>
    <row r="16005" hidden="1">
      <c r="E16005" s="96"/>
    </row>
    <row r="16006" hidden="1">
      <c r="E16006" s="96"/>
    </row>
    <row r="16007" hidden="1">
      <c r="E16007" s="96"/>
    </row>
    <row r="16008" hidden="1">
      <c r="E16008" s="96"/>
    </row>
    <row r="16009" hidden="1">
      <c r="E16009" s="96"/>
    </row>
    <row r="16010" hidden="1">
      <c r="E16010" s="96"/>
    </row>
    <row r="16011" hidden="1">
      <c r="E16011" s="96"/>
    </row>
    <row r="16012" hidden="1">
      <c r="E16012" s="96"/>
    </row>
    <row r="16013" hidden="1">
      <c r="E16013" s="96"/>
    </row>
    <row r="16014" hidden="1">
      <c r="E16014" s="96"/>
    </row>
    <row r="16015" hidden="1">
      <c r="E16015" s="96"/>
    </row>
    <row r="16016" hidden="1">
      <c r="E16016" s="96"/>
    </row>
    <row r="16017" hidden="1">
      <c r="E16017" s="96"/>
    </row>
    <row r="16018" hidden="1">
      <c r="E16018" s="96"/>
    </row>
    <row r="16019" hidden="1">
      <c r="E16019" s="96"/>
    </row>
    <row r="16020" hidden="1">
      <c r="E16020" s="96"/>
    </row>
    <row r="16021" hidden="1">
      <c r="E16021" s="96"/>
    </row>
    <row r="16022" hidden="1">
      <c r="E16022" s="96"/>
    </row>
    <row r="16023" hidden="1">
      <c r="E16023" s="96"/>
    </row>
    <row r="16024" hidden="1">
      <c r="E16024" s="96"/>
    </row>
    <row r="16025" hidden="1">
      <c r="E16025" s="96"/>
    </row>
    <row r="16026" hidden="1">
      <c r="E16026" s="96"/>
    </row>
    <row r="16027" hidden="1">
      <c r="E16027" s="96"/>
    </row>
    <row r="16028" hidden="1">
      <c r="E16028" s="96"/>
    </row>
    <row r="16029" hidden="1">
      <c r="E16029" s="96"/>
    </row>
    <row r="16030" hidden="1">
      <c r="E16030" s="96"/>
    </row>
    <row r="16031" hidden="1">
      <c r="E16031" s="96"/>
    </row>
    <row r="16032" hidden="1">
      <c r="E16032" s="96"/>
    </row>
    <row r="16033" hidden="1">
      <c r="E16033" s="96"/>
    </row>
    <row r="16034" hidden="1">
      <c r="E16034" s="96"/>
    </row>
    <row r="16035" hidden="1">
      <c r="E16035" s="96"/>
    </row>
    <row r="16036" hidden="1">
      <c r="E16036" s="96"/>
    </row>
    <row r="16037" hidden="1">
      <c r="E16037" s="96"/>
    </row>
    <row r="16038" hidden="1">
      <c r="E16038" s="96"/>
    </row>
    <row r="16039" hidden="1">
      <c r="E16039" s="96"/>
    </row>
    <row r="16040" hidden="1">
      <c r="E16040" s="96"/>
    </row>
    <row r="16041" hidden="1">
      <c r="E16041" s="96"/>
    </row>
    <row r="16042" hidden="1">
      <c r="E16042" s="96"/>
    </row>
    <row r="16043" hidden="1">
      <c r="E16043" s="96"/>
    </row>
    <row r="16044" hidden="1">
      <c r="E16044" s="96"/>
    </row>
    <row r="16045" hidden="1">
      <c r="E16045" s="96"/>
    </row>
    <row r="16046" hidden="1">
      <c r="E16046" s="96"/>
    </row>
    <row r="16047" hidden="1">
      <c r="E16047" s="96"/>
    </row>
    <row r="16048" hidden="1">
      <c r="E16048" s="96"/>
    </row>
    <row r="16049" hidden="1">
      <c r="E16049" s="96"/>
    </row>
    <row r="16050" hidden="1">
      <c r="E16050" s="96"/>
    </row>
    <row r="16051" hidden="1">
      <c r="E16051" s="96"/>
    </row>
    <row r="16052" hidden="1">
      <c r="E16052" s="96"/>
    </row>
    <row r="16053" hidden="1">
      <c r="E16053" s="96"/>
    </row>
    <row r="16054" hidden="1">
      <c r="E16054" s="96"/>
    </row>
    <row r="16055" hidden="1">
      <c r="E16055" s="96"/>
    </row>
    <row r="16056" hidden="1">
      <c r="E16056" s="96"/>
    </row>
    <row r="16057" hidden="1">
      <c r="E16057" s="96"/>
    </row>
    <row r="16058" hidden="1">
      <c r="E16058" s="96"/>
    </row>
    <row r="16059" hidden="1">
      <c r="E16059" s="96"/>
    </row>
    <row r="16060" hidden="1">
      <c r="E16060" s="96"/>
    </row>
    <row r="16061" hidden="1">
      <c r="E16061" s="96"/>
    </row>
    <row r="16062" hidden="1">
      <c r="E16062" s="96"/>
    </row>
    <row r="16063" hidden="1">
      <c r="E16063" s="96"/>
    </row>
    <row r="16064" hidden="1">
      <c r="E16064" s="96"/>
    </row>
    <row r="16065" hidden="1">
      <c r="E16065" s="96"/>
    </row>
    <row r="16066" hidden="1">
      <c r="E16066" s="96"/>
    </row>
    <row r="16067" hidden="1">
      <c r="E16067" s="96"/>
    </row>
    <row r="16068" hidden="1">
      <c r="E16068" s="96"/>
    </row>
    <row r="16069" hidden="1">
      <c r="E16069" s="96"/>
    </row>
    <row r="16070" hidden="1">
      <c r="E16070" s="96"/>
    </row>
    <row r="16071" hidden="1">
      <c r="E16071" s="96"/>
    </row>
    <row r="16072" hidden="1">
      <c r="E16072" s="96"/>
    </row>
    <row r="16073" hidden="1">
      <c r="E16073" s="96"/>
    </row>
    <row r="16074" hidden="1">
      <c r="E16074" s="96"/>
    </row>
    <row r="16075" hidden="1">
      <c r="E16075" s="96"/>
    </row>
    <row r="16076" hidden="1">
      <c r="E16076" s="96"/>
    </row>
    <row r="16077" hidden="1">
      <c r="E16077" s="96"/>
    </row>
    <row r="16078" hidden="1">
      <c r="E16078" s="96"/>
    </row>
    <row r="16079" hidden="1">
      <c r="E16079" s="96"/>
    </row>
    <row r="16080" hidden="1">
      <c r="E16080" s="96"/>
    </row>
    <row r="16081" hidden="1">
      <c r="E16081" s="96"/>
    </row>
    <row r="16082" hidden="1">
      <c r="E16082" s="96"/>
    </row>
    <row r="16083" hidden="1">
      <c r="E16083" s="96"/>
    </row>
    <row r="16084" hidden="1">
      <c r="E16084" s="96"/>
    </row>
    <row r="16085" hidden="1">
      <c r="E16085" s="96"/>
    </row>
    <row r="16086" hidden="1">
      <c r="E16086" s="96"/>
    </row>
    <row r="16087" hidden="1">
      <c r="E16087" s="96"/>
    </row>
    <row r="16088" hidden="1">
      <c r="E16088" s="96"/>
    </row>
    <row r="16089" hidden="1">
      <c r="E16089" s="96"/>
    </row>
    <row r="16090" hidden="1">
      <c r="E16090" s="96"/>
    </row>
    <row r="16091" hidden="1">
      <c r="E16091" s="96"/>
    </row>
    <row r="16092" hidden="1">
      <c r="E16092" s="96"/>
    </row>
    <row r="16093" hidden="1">
      <c r="E16093" s="96"/>
    </row>
    <row r="16094" hidden="1">
      <c r="E16094" s="96"/>
    </row>
    <row r="16095" hidden="1">
      <c r="E16095" s="96"/>
    </row>
    <row r="16096" hidden="1">
      <c r="E16096" s="96"/>
    </row>
    <row r="16097" hidden="1">
      <c r="E16097" s="96"/>
    </row>
    <row r="16098" hidden="1">
      <c r="E16098" s="96"/>
    </row>
    <row r="16099" hidden="1">
      <c r="E16099" s="96"/>
    </row>
    <row r="16100" hidden="1">
      <c r="E16100" s="96"/>
    </row>
    <row r="16101" hidden="1">
      <c r="E16101" s="96"/>
    </row>
    <row r="16102" hidden="1">
      <c r="E16102" s="96"/>
    </row>
    <row r="16103" hidden="1">
      <c r="E16103" s="96"/>
    </row>
    <row r="16104" hidden="1">
      <c r="E16104" s="96"/>
    </row>
    <row r="16105" hidden="1">
      <c r="E16105" s="96"/>
    </row>
    <row r="16106" hidden="1">
      <c r="E16106" s="96"/>
    </row>
    <row r="16107" hidden="1">
      <c r="E16107" s="96"/>
    </row>
    <row r="16108" hidden="1">
      <c r="E16108" s="96"/>
    </row>
    <row r="16109" hidden="1">
      <c r="E16109" s="96"/>
    </row>
    <row r="16110" hidden="1">
      <c r="E16110" s="96"/>
    </row>
    <row r="16111" hidden="1">
      <c r="E16111" s="96"/>
    </row>
    <row r="16112" hidden="1">
      <c r="E16112" s="96"/>
    </row>
    <row r="16113" hidden="1">
      <c r="E16113" s="96"/>
    </row>
    <row r="16114" hidden="1">
      <c r="E16114" s="96"/>
    </row>
    <row r="16115" hidden="1">
      <c r="E16115" s="96"/>
    </row>
    <row r="16116" hidden="1">
      <c r="E16116" s="96"/>
    </row>
    <row r="16117" hidden="1">
      <c r="E16117" s="96"/>
    </row>
    <row r="16118" hidden="1">
      <c r="E16118" s="96"/>
    </row>
    <row r="16119" hidden="1">
      <c r="E16119" s="96"/>
    </row>
    <row r="16120" hidden="1">
      <c r="E16120" s="96"/>
    </row>
    <row r="16121" hidden="1">
      <c r="E16121" s="96"/>
    </row>
    <row r="16122" hidden="1">
      <c r="E16122" s="96"/>
    </row>
    <row r="16123" hidden="1">
      <c r="E16123" s="96"/>
    </row>
    <row r="16124" hidden="1">
      <c r="E16124" s="96"/>
    </row>
    <row r="16125" hidden="1">
      <c r="E16125" s="96"/>
    </row>
    <row r="16126" hidden="1">
      <c r="E16126" s="96"/>
    </row>
    <row r="16127" hidden="1">
      <c r="E16127" s="96"/>
    </row>
    <row r="16128" hidden="1">
      <c r="E16128" s="96"/>
    </row>
    <row r="16129" hidden="1">
      <c r="E16129" s="96"/>
    </row>
    <row r="16130" hidden="1">
      <c r="E16130" s="96"/>
    </row>
    <row r="16131" hidden="1">
      <c r="E16131" s="96"/>
    </row>
    <row r="16132" hidden="1">
      <c r="E16132" s="96"/>
    </row>
    <row r="16133" hidden="1">
      <c r="E16133" s="96"/>
    </row>
    <row r="16134" hidden="1">
      <c r="E16134" s="96"/>
    </row>
    <row r="16135" hidden="1">
      <c r="E16135" s="96"/>
    </row>
    <row r="16136" hidden="1">
      <c r="E16136" s="96"/>
    </row>
    <row r="16137" hidden="1">
      <c r="E16137" s="96"/>
    </row>
    <row r="16138" hidden="1">
      <c r="E16138" s="96"/>
    </row>
    <row r="16139" hidden="1">
      <c r="E16139" s="96"/>
    </row>
    <row r="16140" hidden="1">
      <c r="E16140" s="96"/>
    </row>
    <row r="16141" hidden="1">
      <c r="E16141" s="96"/>
    </row>
    <row r="16142" hidden="1">
      <c r="E16142" s="96"/>
    </row>
    <row r="16143" hidden="1">
      <c r="E16143" s="96"/>
    </row>
    <row r="16144" hidden="1">
      <c r="E16144" s="96"/>
    </row>
    <row r="16145" hidden="1">
      <c r="E16145" s="96"/>
    </row>
    <row r="16146" hidden="1">
      <c r="E16146" s="96"/>
    </row>
    <row r="16147" hidden="1">
      <c r="E16147" s="96"/>
    </row>
    <row r="16148" hidden="1">
      <c r="E16148" s="96"/>
    </row>
    <row r="16149" hidden="1">
      <c r="E16149" s="96"/>
    </row>
    <row r="16150" hidden="1">
      <c r="E16150" s="96"/>
    </row>
    <row r="16151" hidden="1">
      <c r="E16151" s="96"/>
    </row>
    <row r="16152" hidden="1">
      <c r="E16152" s="96"/>
    </row>
    <row r="16153" hidden="1">
      <c r="E16153" s="96"/>
    </row>
    <row r="16154" hidden="1">
      <c r="E16154" s="96"/>
    </row>
    <row r="16155" hidden="1">
      <c r="E16155" s="96"/>
    </row>
    <row r="16156" hidden="1">
      <c r="E16156" s="96"/>
    </row>
    <row r="16157" hidden="1">
      <c r="E16157" s="96"/>
    </row>
    <row r="16158" hidden="1">
      <c r="E16158" s="96"/>
    </row>
    <row r="16159" hidden="1">
      <c r="E16159" s="96"/>
    </row>
    <row r="16160" hidden="1">
      <c r="E16160" s="96"/>
    </row>
    <row r="16161" hidden="1">
      <c r="E16161" s="96"/>
    </row>
    <row r="16162" hidden="1">
      <c r="E16162" s="96"/>
    </row>
    <row r="16163" hidden="1">
      <c r="E16163" s="96"/>
    </row>
    <row r="16164" hidden="1">
      <c r="E16164" s="96"/>
    </row>
    <row r="16165" hidden="1">
      <c r="E16165" s="96"/>
    </row>
    <row r="16166" hidden="1">
      <c r="E16166" s="96"/>
    </row>
    <row r="16167" hidden="1">
      <c r="E16167" s="96"/>
    </row>
    <row r="16168" hidden="1">
      <c r="E16168" s="96"/>
    </row>
    <row r="16169" hidden="1">
      <c r="E16169" s="96"/>
    </row>
    <row r="16170" hidden="1">
      <c r="E16170" s="96"/>
    </row>
    <row r="16171" hidden="1">
      <c r="E16171" s="96"/>
    </row>
    <row r="16172" hidden="1">
      <c r="E16172" s="96"/>
    </row>
    <row r="16173" hidden="1">
      <c r="E16173" s="96"/>
    </row>
    <row r="16174" hidden="1">
      <c r="E16174" s="96"/>
    </row>
    <row r="16175" hidden="1">
      <c r="E16175" s="96"/>
    </row>
    <row r="16176" hidden="1">
      <c r="E16176" s="96"/>
    </row>
    <row r="16177" hidden="1">
      <c r="E16177" s="96"/>
    </row>
    <row r="16178" hidden="1">
      <c r="E16178" s="96"/>
    </row>
    <row r="16179" hidden="1">
      <c r="E16179" s="96"/>
    </row>
    <row r="16180" hidden="1">
      <c r="E16180" s="96"/>
    </row>
    <row r="16181" hidden="1">
      <c r="E16181" s="96"/>
    </row>
    <row r="16182" hidden="1">
      <c r="E16182" s="96"/>
    </row>
    <row r="16183" hidden="1">
      <c r="E16183" s="96"/>
    </row>
    <row r="16184" hidden="1">
      <c r="E16184" s="96"/>
    </row>
    <row r="16185" hidden="1">
      <c r="E16185" s="96"/>
    </row>
    <row r="16186" hidden="1">
      <c r="E16186" s="96"/>
    </row>
    <row r="16187" hidden="1">
      <c r="E16187" s="96"/>
    </row>
    <row r="16188" hidden="1">
      <c r="E16188" s="96"/>
    </row>
    <row r="16189" hidden="1">
      <c r="E16189" s="96"/>
    </row>
    <row r="16190" hidden="1">
      <c r="E16190" s="96"/>
    </row>
    <row r="16191" hidden="1">
      <c r="E16191" s="96"/>
    </row>
    <row r="16192" hidden="1">
      <c r="E16192" s="96"/>
    </row>
    <row r="16193" hidden="1">
      <c r="E16193" s="96"/>
    </row>
    <row r="16194" hidden="1">
      <c r="E16194" s="96"/>
    </row>
    <row r="16195" hidden="1">
      <c r="E16195" s="96"/>
    </row>
    <row r="16196" hidden="1">
      <c r="E16196" s="96"/>
    </row>
    <row r="16197" hidden="1">
      <c r="E16197" s="96"/>
    </row>
    <row r="16198" hidden="1">
      <c r="E16198" s="96"/>
    </row>
    <row r="16199" hidden="1">
      <c r="E16199" s="96"/>
    </row>
    <row r="16200" hidden="1">
      <c r="E16200" s="96"/>
    </row>
    <row r="16201" hidden="1">
      <c r="E16201" s="96"/>
    </row>
    <row r="16202" hidden="1">
      <c r="E16202" s="96"/>
    </row>
    <row r="16203" hidden="1">
      <c r="E16203" s="96"/>
    </row>
    <row r="16204" hidden="1">
      <c r="E16204" s="96"/>
    </row>
    <row r="16205" hidden="1">
      <c r="E16205" s="96"/>
    </row>
    <row r="16206" hidden="1">
      <c r="E16206" s="96"/>
    </row>
    <row r="16207" hidden="1">
      <c r="E16207" s="96"/>
    </row>
    <row r="16208" hidden="1">
      <c r="E16208" s="96"/>
    </row>
    <row r="16209" hidden="1">
      <c r="E16209" s="96"/>
    </row>
    <row r="16210" hidden="1">
      <c r="E16210" s="96"/>
    </row>
    <row r="16211" hidden="1">
      <c r="E16211" s="96"/>
    </row>
    <row r="16212" hidden="1">
      <c r="E16212" s="96"/>
    </row>
    <row r="16213" hidden="1">
      <c r="E16213" s="96"/>
    </row>
    <row r="16214" hidden="1">
      <c r="E16214" s="96"/>
    </row>
    <row r="16215" hidden="1">
      <c r="E16215" s="96"/>
    </row>
    <row r="16216" hidden="1">
      <c r="E16216" s="96"/>
    </row>
    <row r="16217" hidden="1">
      <c r="E16217" s="96"/>
    </row>
    <row r="16218" hidden="1">
      <c r="E16218" s="96"/>
    </row>
    <row r="16219" hidden="1">
      <c r="E16219" s="96"/>
    </row>
    <row r="16220" hidden="1">
      <c r="E16220" s="96"/>
    </row>
    <row r="16221" hidden="1">
      <c r="E16221" s="96"/>
    </row>
    <row r="16222" hidden="1">
      <c r="E16222" s="96"/>
    </row>
    <row r="16223" hidden="1">
      <c r="E16223" s="96"/>
    </row>
    <row r="16224" hidden="1">
      <c r="E16224" s="96"/>
    </row>
    <row r="16225" hidden="1">
      <c r="E16225" s="96"/>
    </row>
    <row r="16226" hidden="1">
      <c r="E16226" s="96"/>
    </row>
    <row r="16227" hidden="1">
      <c r="E16227" s="96"/>
    </row>
    <row r="16228" hidden="1">
      <c r="E16228" s="96"/>
    </row>
    <row r="16229" hidden="1">
      <c r="E16229" s="96"/>
    </row>
    <row r="16230" hidden="1">
      <c r="E16230" s="96"/>
    </row>
    <row r="16231" hidden="1">
      <c r="E16231" s="96"/>
    </row>
    <row r="16232" hidden="1">
      <c r="E16232" s="96"/>
    </row>
    <row r="16233" hidden="1">
      <c r="E16233" s="96"/>
    </row>
    <row r="16234" hidden="1">
      <c r="E16234" s="96"/>
    </row>
    <row r="16235" hidden="1">
      <c r="E16235" s="96"/>
    </row>
    <row r="16236" hidden="1">
      <c r="E16236" s="96"/>
    </row>
    <row r="16237" hidden="1">
      <c r="E16237" s="96"/>
    </row>
    <row r="16238" hidden="1">
      <c r="E16238" s="96"/>
    </row>
    <row r="16239" hidden="1">
      <c r="E16239" s="96"/>
    </row>
    <row r="16240" hidden="1">
      <c r="E16240" s="96"/>
    </row>
    <row r="16241" hidden="1">
      <c r="E16241" s="96"/>
    </row>
    <row r="16242" hidden="1">
      <c r="E16242" s="96"/>
    </row>
    <row r="16243" hidden="1">
      <c r="E16243" s="96"/>
    </row>
    <row r="16244" hidden="1">
      <c r="E16244" s="96"/>
    </row>
    <row r="16245" hidden="1">
      <c r="E16245" s="96"/>
    </row>
    <row r="16246" hidden="1">
      <c r="E16246" s="96"/>
    </row>
    <row r="16247" hidden="1">
      <c r="E16247" s="96"/>
    </row>
    <row r="16248" hidden="1">
      <c r="E16248" s="96"/>
    </row>
    <row r="16249" hidden="1">
      <c r="E16249" s="96"/>
    </row>
    <row r="16250" hidden="1">
      <c r="E16250" s="96"/>
    </row>
    <row r="16251" hidden="1">
      <c r="E16251" s="96"/>
    </row>
    <row r="16252" hidden="1">
      <c r="E16252" s="96"/>
    </row>
    <row r="16253" hidden="1">
      <c r="E16253" s="96"/>
    </row>
    <row r="16254" hidden="1">
      <c r="E16254" s="96"/>
    </row>
    <row r="16255" hidden="1">
      <c r="E16255" s="96"/>
    </row>
    <row r="16256" hidden="1">
      <c r="E16256" s="96"/>
    </row>
    <row r="16257" hidden="1">
      <c r="E16257" s="96"/>
    </row>
    <row r="16258" hidden="1">
      <c r="E16258" s="96"/>
    </row>
    <row r="16259" hidden="1">
      <c r="E16259" s="96"/>
    </row>
    <row r="16260" hidden="1">
      <c r="E16260" s="96"/>
    </row>
    <row r="16261" hidden="1">
      <c r="E16261" s="96"/>
    </row>
    <row r="16262" hidden="1">
      <c r="E16262" s="96"/>
    </row>
    <row r="16263" hidden="1">
      <c r="E16263" s="96"/>
    </row>
    <row r="16264" hidden="1">
      <c r="E16264" s="96"/>
    </row>
    <row r="16265" hidden="1">
      <c r="E16265" s="96"/>
    </row>
    <row r="16266" hidden="1">
      <c r="E16266" s="96"/>
    </row>
    <row r="16267" hidden="1">
      <c r="E16267" s="96"/>
    </row>
    <row r="16268" hidden="1">
      <c r="E16268" s="96"/>
    </row>
    <row r="16269" hidden="1">
      <c r="E16269" s="96"/>
    </row>
    <row r="16270" hidden="1">
      <c r="E16270" s="96"/>
    </row>
    <row r="16271" hidden="1">
      <c r="E16271" s="96"/>
    </row>
    <row r="16272" hidden="1">
      <c r="E16272" s="96"/>
    </row>
    <row r="16273" hidden="1">
      <c r="E16273" s="96"/>
    </row>
    <row r="16274" hidden="1">
      <c r="E16274" s="96"/>
    </row>
    <row r="16275" hidden="1">
      <c r="E16275" s="96"/>
    </row>
    <row r="16276" hidden="1">
      <c r="E16276" s="96"/>
    </row>
    <row r="16277" hidden="1">
      <c r="E16277" s="96"/>
    </row>
    <row r="16278" hidden="1">
      <c r="E16278" s="96"/>
    </row>
    <row r="16279" hidden="1">
      <c r="E16279" s="96"/>
    </row>
    <row r="16280" hidden="1">
      <c r="E16280" s="96"/>
    </row>
    <row r="16281" hidden="1">
      <c r="E16281" s="96"/>
    </row>
    <row r="16282" hidden="1">
      <c r="E16282" s="96"/>
    </row>
    <row r="16283" hidden="1">
      <c r="E16283" s="96"/>
    </row>
    <row r="16284" hidden="1">
      <c r="E16284" s="96"/>
    </row>
    <row r="16285" hidden="1">
      <c r="E16285" s="96"/>
    </row>
    <row r="16286" hidden="1">
      <c r="E16286" s="96"/>
    </row>
    <row r="16287" hidden="1">
      <c r="E16287" s="96"/>
    </row>
    <row r="16288" hidden="1">
      <c r="E16288" s="96"/>
    </row>
    <row r="16289" hidden="1">
      <c r="E16289" s="96"/>
    </row>
    <row r="16290" hidden="1">
      <c r="E16290" s="96"/>
    </row>
    <row r="16291" hidden="1">
      <c r="E16291" s="96"/>
    </row>
    <row r="16292" hidden="1">
      <c r="E16292" s="96"/>
    </row>
    <row r="16293" hidden="1">
      <c r="E16293" s="96"/>
    </row>
    <row r="16294" hidden="1">
      <c r="E16294" s="96"/>
    </row>
    <row r="16295" hidden="1">
      <c r="E16295" s="96"/>
    </row>
    <row r="16296" hidden="1">
      <c r="E16296" s="96"/>
    </row>
    <row r="16297" hidden="1">
      <c r="E16297" s="96"/>
    </row>
    <row r="16298" hidden="1">
      <c r="E16298" s="96"/>
    </row>
    <row r="16299" hidden="1">
      <c r="E16299" s="96"/>
    </row>
    <row r="16300" hidden="1">
      <c r="E16300" s="96"/>
    </row>
    <row r="16301" hidden="1">
      <c r="E16301" s="96"/>
    </row>
    <row r="16302" hidden="1">
      <c r="E16302" s="96"/>
    </row>
    <row r="16303" hidden="1">
      <c r="E16303" s="96"/>
    </row>
    <row r="16304" hidden="1">
      <c r="E16304" s="96"/>
    </row>
    <row r="16305" hidden="1">
      <c r="E16305" s="96"/>
    </row>
    <row r="16306" hidden="1">
      <c r="E16306" s="96"/>
    </row>
    <row r="16307" hidden="1">
      <c r="E16307" s="96"/>
    </row>
    <row r="16308" hidden="1">
      <c r="E16308" s="96"/>
    </row>
    <row r="16309" hidden="1">
      <c r="E16309" s="96"/>
    </row>
    <row r="16310" hidden="1">
      <c r="E16310" s="96"/>
    </row>
    <row r="16311" hidden="1">
      <c r="E16311" s="96"/>
    </row>
    <row r="16312" hidden="1">
      <c r="E16312" s="96"/>
    </row>
    <row r="16313" hidden="1">
      <c r="E16313" s="96"/>
    </row>
    <row r="16314" hidden="1">
      <c r="E16314" s="96"/>
    </row>
    <row r="16315" hidden="1">
      <c r="E16315" s="96"/>
    </row>
    <row r="16316" hidden="1">
      <c r="E16316" s="96"/>
    </row>
    <row r="16317" hidden="1">
      <c r="E16317" s="96"/>
    </row>
    <row r="16318" hidden="1">
      <c r="E16318" s="96"/>
    </row>
    <row r="16319" hidden="1">
      <c r="E16319" s="96"/>
    </row>
    <row r="16320" hidden="1">
      <c r="E16320" s="96"/>
    </row>
    <row r="16321" hidden="1">
      <c r="E16321" s="96"/>
    </row>
    <row r="16322" hidden="1">
      <c r="E16322" s="96"/>
    </row>
    <row r="16323" hidden="1">
      <c r="E16323" s="96"/>
    </row>
    <row r="16324" hidden="1">
      <c r="E16324" s="96"/>
    </row>
    <row r="16325" hidden="1">
      <c r="E16325" s="96"/>
    </row>
    <row r="16326" hidden="1">
      <c r="E16326" s="96"/>
    </row>
    <row r="16327" hidden="1">
      <c r="E16327" s="96"/>
    </row>
    <row r="16328" hidden="1">
      <c r="E16328" s="96"/>
    </row>
    <row r="16329" hidden="1">
      <c r="E16329" s="96"/>
    </row>
    <row r="16330" hidden="1">
      <c r="E16330" s="96"/>
    </row>
    <row r="16331" hidden="1">
      <c r="E16331" s="96"/>
    </row>
    <row r="16332" hidden="1">
      <c r="E16332" s="96"/>
    </row>
    <row r="16333" hidden="1">
      <c r="E16333" s="96"/>
    </row>
    <row r="16334" hidden="1">
      <c r="E16334" s="96"/>
    </row>
    <row r="16335" hidden="1">
      <c r="E16335" s="96"/>
    </row>
    <row r="16336" hidden="1">
      <c r="E16336" s="96"/>
    </row>
    <row r="16337" hidden="1">
      <c r="E16337" s="96"/>
    </row>
    <row r="16338" hidden="1">
      <c r="E16338" s="96"/>
    </row>
    <row r="16339" hidden="1">
      <c r="E16339" s="96"/>
    </row>
    <row r="16340" hidden="1">
      <c r="E16340" s="96"/>
    </row>
    <row r="16341" hidden="1">
      <c r="E16341" s="96"/>
    </row>
    <row r="16342" hidden="1">
      <c r="E16342" s="96"/>
    </row>
    <row r="16343" hidden="1">
      <c r="E16343" s="96"/>
    </row>
    <row r="16344" hidden="1">
      <c r="E16344" s="96"/>
    </row>
    <row r="16345" hidden="1">
      <c r="E16345" s="96"/>
    </row>
    <row r="16346" hidden="1">
      <c r="E16346" s="96"/>
    </row>
    <row r="16347" hidden="1">
      <c r="E16347" s="96"/>
    </row>
    <row r="16348" hidden="1">
      <c r="E16348" s="96"/>
    </row>
    <row r="16349" hidden="1">
      <c r="E16349" s="96"/>
    </row>
    <row r="16350" hidden="1">
      <c r="E16350" s="96"/>
    </row>
    <row r="16351" hidden="1">
      <c r="E16351" s="96"/>
    </row>
    <row r="16352" hidden="1">
      <c r="E16352" s="96"/>
    </row>
    <row r="16353" hidden="1">
      <c r="E16353" s="96"/>
    </row>
    <row r="16354" hidden="1">
      <c r="E16354" s="96"/>
    </row>
    <row r="16355" hidden="1">
      <c r="E16355" s="96"/>
    </row>
    <row r="16356" hidden="1">
      <c r="E16356" s="96"/>
    </row>
    <row r="16357" hidden="1">
      <c r="E16357" s="96"/>
    </row>
    <row r="16358" hidden="1">
      <c r="E16358" s="96"/>
    </row>
    <row r="16359" hidden="1">
      <c r="E16359" s="96"/>
    </row>
    <row r="16360" hidden="1">
      <c r="E16360" s="96"/>
    </row>
    <row r="16361" hidden="1">
      <c r="E16361" s="96"/>
    </row>
    <row r="16362" hidden="1">
      <c r="E16362" s="96"/>
    </row>
    <row r="16363" hidden="1">
      <c r="E16363" s="96"/>
    </row>
    <row r="16364" hidden="1">
      <c r="E16364" s="96"/>
    </row>
    <row r="16365" hidden="1">
      <c r="E16365" s="96"/>
    </row>
    <row r="16366" hidden="1">
      <c r="E16366" s="96"/>
    </row>
    <row r="16367" hidden="1">
      <c r="E16367" s="96"/>
    </row>
    <row r="16368" hidden="1">
      <c r="E16368" s="96"/>
    </row>
    <row r="16369" hidden="1">
      <c r="E16369" s="96"/>
    </row>
    <row r="16370" hidden="1">
      <c r="E16370" s="96"/>
    </row>
    <row r="16371" hidden="1">
      <c r="E16371" s="96"/>
    </row>
    <row r="16372" hidden="1">
      <c r="E16372" s="96"/>
    </row>
    <row r="16373" hidden="1">
      <c r="E16373" s="96"/>
    </row>
    <row r="16374" hidden="1">
      <c r="E16374" s="96"/>
    </row>
    <row r="16375" hidden="1">
      <c r="E16375" s="96"/>
    </row>
    <row r="16376" hidden="1">
      <c r="E16376" s="96"/>
    </row>
    <row r="16377" hidden="1">
      <c r="E16377" s="96"/>
    </row>
    <row r="16378" hidden="1">
      <c r="E16378" s="96"/>
    </row>
    <row r="16379" hidden="1">
      <c r="E16379" s="96"/>
    </row>
    <row r="16380" hidden="1">
      <c r="E16380" s="96"/>
    </row>
    <row r="16381" hidden="1">
      <c r="E16381" s="96"/>
    </row>
    <row r="16382" hidden="1">
      <c r="E16382" s="96"/>
    </row>
    <row r="16383" hidden="1">
      <c r="E16383" s="96"/>
    </row>
    <row r="16384" hidden="1">
      <c r="E16384" s="96"/>
    </row>
    <row r="16385" hidden="1">
      <c r="E16385" s="96"/>
    </row>
    <row r="16386" hidden="1">
      <c r="E16386" s="96"/>
    </row>
    <row r="16387" hidden="1">
      <c r="E16387" s="96"/>
    </row>
    <row r="16388" hidden="1">
      <c r="E16388" s="96"/>
    </row>
    <row r="16389" hidden="1">
      <c r="E16389" s="96"/>
    </row>
    <row r="16390" hidden="1">
      <c r="E16390" s="96"/>
    </row>
    <row r="16391" hidden="1">
      <c r="E16391" s="96"/>
    </row>
    <row r="16392" hidden="1">
      <c r="E16392" s="96"/>
    </row>
    <row r="16393" hidden="1">
      <c r="E16393" s="96"/>
    </row>
    <row r="16394" hidden="1">
      <c r="E16394" s="96"/>
    </row>
    <row r="16395" hidden="1">
      <c r="E16395" s="96"/>
    </row>
    <row r="16396" hidden="1">
      <c r="E16396" s="96"/>
    </row>
    <row r="16397" hidden="1">
      <c r="E16397" s="96"/>
    </row>
    <row r="16398" hidden="1">
      <c r="E16398" s="96"/>
    </row>
    <row r="16399" hidden="1">
      <c r="E16399" s="96"/>
    </row>
    <row r="16400" hidden="1">
      <c r="E16400" s="96"/>
    </row>
    <row r="16401" hidden="1">
      <c r="E16401" s="96"/>
    </row>
    <row r="16402" hidden="1">
      <c r="E16402" s="96"/>
    </row>
    <row r="16403" hidden="1">
      <c r="E16403" s="96"/>
    </row>
    <row r="16404" hidden="1">
      <c r="E16404" s="96"/>
    </row>
    <row r="16405" hidden="1">
      <c r="E16405" s="96"/>
    </row>
    <row r="16406" hidden="1">
      <c r="E16406" s="96"/>
    </row>
    <row r="16407" hidden="1">
      <c r="E16407" s="96"/>
    </row>
    <row r="16408" hidden="1">
      <c r="E16408" s="96"/>
    </row>
    <row r="16409" hidden="1">
      <c r="E16409" s="96"/>
    </row>
    <row r="16410" hidden="1">
      <c r="E16410" s="96"/>
    </row>
    <row r="16411" hidden="1">
      <c r="E16411" s="96"/>
    </row>
    <row r="16412" hidden="1">
      <c r="E16412" s="96"/>
    </row>
    <row r="16413" hidden="1">
      <c r="E16413" s="96"/>
    </row>
    <row r="16414" hidden="1">
      <c r="E16414" s="96"/>
    </row>
    <row r="16415" hidden="1">
      <c r="E16415" s="96"/>
    </row>
    <row r="16416" hidden="1">
      <c r="E16416" s="96"/>
    </row>
    <row r="16417" hidden="1">
      <c r="E16417" s="96"/>
    </row>
    <row r="16418" hidden="1">
      <c r="E16418" s="96"/>
    </row>
    <row r="16419" hidden="1">
      <c r="E16419" s="96"/>
    </row>
    <row r="16420" hidden="1">
      <c r="E16420" s="96"/>
    </row>
    <row r="16421" hidden="1">
      <c r="E16421" s="96"/>
    </row>
    <row r="16422" hidden="1">
      <c r="E16422" s="96"/>
    </row>
    <row r="16423" hidden="1">
      <c r="E16423" s="96"/>
    </row>
    <row r="16424" hidden="1">
      <c r="E16424" s="96"/>
    </row>
    <row r="16425" hidden="1">
      <c r="E16425" s="96"/>
    </row>
    <row r="16426" hidden="1">
      <c r="E16426" s="96"/>
    </row>
    <row r="16427" hidden="1">
      <c r="E16427" s="96"/>
    </row>
    <row r="16428" hidden="1">
      <c r="E16428" s="96"/>
    </row>
    <row r="16429" hidden="1">
      <c r="E16429" s="96"/>
    </row>
    <row r="16430" hidden="1">
      <c r="E16430" s="96"/>
    </row>
    <row r="16431" hidden="1">
      <c r="E16431" s="96"/>
    </row>
    <row r="16432" hidden="1">
      <c r="E16432" s="96"/>
    </row>
    <row r="16433" hidden="1">
      <c r="E16433" s="96"/>
    </row>
    <row r="16434" hidden="1">
      <c r="E16434" s="96"/>
    </row>
    <row r="16435" hidden="1">
      <c r="E16435" s="96"/>
    </row>
    <row r="16436" hidden="1">
      <c r="E16436" s="96"/>
    </row>
    <row r="16437" hidden="1">
      <c r="E16437" s="96"/>
    </row>
    <row r="16438" hidden="1">
      <c r="E16438" s="96"/>
    </row>
    <row r="16439" hidden="1">
      <c r="E16439" s="96"/>
    </row>
    <row r="16440" hidden="1">
      <c r="E16440" s="96"/>
    </row>
    <row r="16441" hidden="1">
      <c r="E16441" s="96"/>
    </row>
    <row r="16442" hidden="1">
      <c r="E16442" s="96"/>
    </row>
    <row r="16443" hidden="1">
      <c r="E16443" s="96"/>
    </row>
    <row r="16444" hidden="1">
      <c r="E16444" s="96"/>
    </row>
    <row r="16445" hidden="1">
      <c r="E16445" s="96"/>
    </row>
    <row r="16446" hidden="1">
      <c r="E16446" s="96"/>
    </row>
    <row r="16447" hidden="1">
      <c r="E16447" s="96"/>
    </row>
    <row r="16448" hidden="1">
      <c r="E16448" s="96"/>
    </row>
    <row r="16449" hidden="1">
      <c r="E16449" s="96"/>
    </row>
    <row r="16450" hidden="1">
      <c r="E16450" s="96"/>
    </row>
    <row r="16451" hidden="1">
      <c r="E16451" s="96"/>
    </row>
    <row r="16452" hidden="1">
      <c r="E16452" s="96"/>
    </row>
    <row r="16453" hidden="1">
      <c r="E16453" s="96"/>
    </row>
    <row r="16454" hidden="1">
      <c r="E16454" s="96"/>
    </row>
    <row r="16455" hidden="1">
      <c r="E16455" s="96"/>
    </row>
    <row r="16456" hidden="1">
      <c r="E16456" s="96"/>
    </row>
    <row r="16457" hidden="1">
      <c r="E16457" s="96"/>
    </row>
    <row r="16458" hidden="1">
      <c r="E16458" s="96"/>
    </row>
    <row r="16459" hidden="1">
      <c r="E16459" s="96"/>
    </row>
    <row r="16460" hidden="1">
      <c r="E16460" s="96"/>
    </row>
    <row r="16461" hidden="1">
      <c r="E16461" s="96"/>
    </row>
    <row r="16462" hidden="1">
      <c r="E16462" s="96"/>
    </row>
    <row r="16463" hidden="1">
      <c r="E16463" s="96"/>
    </row>
    <row r="16464" hidden="1">
      <c r="E16464" s="96"/>
    </row>
    <row r="16465" hidden="1">
      <c r="E16465" s="96"/>
    </row>
    <row r="16466" hidden="1">
      <c r="E16466" s="96"/>
    </row>
    <row r="16467" hidden="1">
      <c r="E16467" s="96"/>
    </row>
    <row r="16468" hidden="1">
      <c r="E16468" s="96"/>
    </row>
    <row r="16469" hidden="1">
      <c r="E16469" s="96"/>
    </row>
    <row r="16470" hidden="1">
      <c r="E16470" s="96"/>
    </row>
    <row r="16471" hidden="1">
      <c r="E16471" s="96"/>
    </row>
    <row r="16472" hidden="1">
      <c r="E16472" s="96"/>
    </row>
    <row r="16473" hidden="1">
      <c r="E16473" s="96"/>
    </row>
    <row r="16474" hidden="1">
      <c r="E16474" s="96"/>
    </row>
    <row r="16475" hidden="1">
      <c r="E16475" s="96"/>
    </row>
    <row r="16476" hidden="1">
      <c r="E16476" s="96"/>
    </row>
    <row r="16477" hidden="1">
      <c r="E16477" s="96"/>
    </row>
    <row r="16478" hidden="1">
      <c r="E16478" s="96"/>
    </row>
    <row r="16479" hidden="1">
      <c r="E16479" s="96"/>
    </row>
    <row r="16480" hidden="1">
      <c r="E16480" s="96"/>
    </row>
    <row r="16481" hidden="1">
      <c r="E16481" s="96"/>
    </row>
    <row r="16482" hidden="1">
      <c r="E16482" s="96"/>
    </row>
    <row r="16483" hidden="1">
      <c r="E16483" s="96"/>
    </row>
    <row r="16484" hidden="1">
      <c r="E16484" s="96"/>
    </row>
    <row r="16485" hidden="1">
      <c r="E16485" s="96"/>
    </row>
    <row r="16486" hidden="1">
      <c r="E16486" s="96"/>
    </row>
    <row r="16487" hidden="1">
      <c r="E16487" s="96"/>
    </row>
    <row r="16488" hidden="1">
      <c r="E16488" s="96"/>
    </row>
    <row r="16489" hidden="1">
      <c r="E16489" s="96"/>
    </row>
    <row r="16490" hidden="1">
      <c r="E16490" s="96"/>
    </row>
    <row r="16491" hidden="1">
      <c r="E16491" s="96"/>
    </row>
    <row r="16492" hidden="1">
      <c r="E16492" s="96"/>
    </row>
    <row r="16493" hidden="1">
      <c r="E16493" s="96"/>
    </row>
    <row r="16494" hidden="1">
      <c r="E16494" s="96"/>
    </row>
    <row r="16495" hidden="1">
      <c r="E16495" s="96"/>
    </row>
    <row r="16496" hidden="1">
      <c r="E16496" s="96"/>
    </row>
    <row r="16497" hidden="1">
      <c r="E16497" s="96"/>
    </row>
    <row r="16498" hidden="1">
      <c r="E16498" s="96"/>
    </row>
    <row r="16499" hidden="1">
      <c r="E16499" s="96"/>
    </row>
    <row r="16500" hidden="1">
      <c r="E16500" s="96"/>
    </row>
    <row r="16501" hidden="1">
      <c r="E16501" s="96"/>
    </row>
    <row r="16502" hidden="1">
      <c r="E16502" s="96"/>
    </row>
    <row r="16503" hidden="1">
      <c r="E16503" s="96"/>
    </row>
    <row r="16504" hidden="1">
      <c r="E16504" s="96"/>
    </row>
    <row r="16505" hidden="1">
      <c r="E16505" s="96"/>
    </row>
    <row r="16506" hidden="1">
      <c r="E16506" s="96"/>
    </row>
    <row r="16507" hidden="1">
      <c r="E16507" s="96"/>
    </row>
    <row r="16508" hidden="1">
      <c r="E16508" s="96"/>
    </row>
    <row r="16509" hidden="1">
      <c r="E16509" s="96"/>
    </row>
    <row r="16510" hidden="1">
      <c r="E16510" s="96"/>
    </row>
    <row r="16511" hidden="1">
      <c r="E16511" s="96"/>
    </row>
    <row r="16512" hidden="1">
      <c r="E16512" s="96"/>
    </row>
    <row r="16513" hidden="1">
      <c r="E16513" s="96"/>
    </row>
    <row r="16514" hidden="1">
      <c r="E16514" s="96"/>
    </row>
    <row r="16515" hidden="1">
      <c r="E16515" s="96"/>
    </row>
    <row r="16516" hidden="1">
      <c r="E16516" s="96"/>
    </row>
    <row r="16517" hidden="1">
      <c r="E16517" s="96"/>
    </row>
    <row r="16518" hidden="1">
      <c r="E16518" s="96"/>
    </row>
    <row r="16519" hidden="1">
      <c r="E16519" s="96"/>
    </row>
    <row r="16520" hidden="1">
      <c r="E16520" s="96"/>
    </row>
    <row r="16521" hidden="1">
      <c r="E16521" s="96"/>
    </row>
    <row r="16522" hidden="1">
      <c r="E16522" s="96"/>
    </row>
    <row r="16523" hidden="1">
      <c r="E16523" s="96"/>
    </row>
    <row r="16524" hidden="1">
      <c r="E16524" s="96"/>
    </row>
    <row r="16525" hidden="1">
      <c r="E16525" s="96"/>
    </row>
    <row r="16526" hidden="1">
      <c r="E16526" s="96"/>
    </row>
    <row r="16527" hidden="1">
      <c r="E16527" s="96"/>
    </row>
    <row r="16528" hidden="1">
      <c r="E16528" s="96"/>
    </row>
    <row r="16529" hidden="1">
      <c r="E16529" s="96"/>
    </row>
    <row r="16530" hidden="1">
      <c r="E16530" s="96"/>
    </row>
    <row r="16531" hidden="1">
      <c r="E16531" s="96"/>
    </row>
    <row r="16532" hidden="1">
      <c r="E16532" s="96"/>
    </row>
    <row r="16533" hidden="1">
      <c r="E16533" s="96"/>
    </row>
    <row r="16534" hidden="1">
      <c r="E16534" s="96"/>
    </row>
    <row r="16535" hidden="1">
      <c r="E16535" s="96"/>
    </row>
    <row r="16536" hidden="1">
      <c r="E16536" s="96"/>
    </row>
    <row r="16537" hidden="1">
      <c r="E16537" s="96"/>
    </row>
    <row r="16538" hidden="1">
      <c r="E16538" s="96"/>
    </row>
    <row r="16539" hidden="1">
      <c r="E16539" s="96"/>
    </row>
    <row r="16540" hidden="1">
      <c r="E16540" s="96"/>
    </row>
    <row r="16541" hidden="1">
      <c r="E16541" s="96"/>
    </row>
    <row r="16542" hidden="1">
      <c r="E16542" s="96"/>
    </row>
    <row r="16543" hidden="1">
      <c r="E16543" s="96"/>
    </row>
    <row r="16544" hidden="1">
      <c r="E16544" s="96"/>
    </row>
    <row r="16545" hidden="1">
      <c r="E16545" s="96"/>
    </row>
    <row r="16546" hidden="1">
      <c r="E16546" s="96"/>
    </row>
    <row r="16547" hidden="1">
      <c r="E16547" s="96"/>
    </row>
    <row r="16548" hidden="1">
      <c r="E16548" s="96"/>
    </row>
    <row r="16549" hidden="1">
      <c r="E16549" s="96"/>
    </row>
    <row r="16550" hidden="1">
      <c r="E16550" s="96"/>
    </row>
    <row r="16551" hidden="1">
      <c r="E16551" s="96"/>
    </row>
    <row r="16552" hidden="1">
      <c r="E16552" s="96"/>
    </row>
    <row r="16553" hidden="1">
      <c r="E16553" s="96"/>
    </row>
    <row r="16554" hidden="1">
      <c r="E16554" s="96"/>
    </row>
    <row r="16555" hidden="1">
      <c r="E16555" s="96"/>
    </row>
    <row r="16556" hidden="1">
      <c r="E16556" s="96"/>
    </row>
    <row r="16557" hidden="1">
      <c r="E16557" s="96"/>
    </row>
    <row r="16558" hidden="1">
      <c r="E16558" s="96"/>
    </row>
    <row r="16559" hidden="1">
      <c r="E16559" s="96"/>
    </row>
    <row r="16560" hidden="1">
      <c r="E16560" s="96"/>
    </row>
    <row r="16561" hidden="1">
      <c r="E16561" s="96"/>
    </row>
    <row r="16562" hidden="1">
      <c r="E16562" s="96"/>
    </row>
    <row r="16563" hidden="1">
      <c r="E16563" s="96"/>
    </row>
    <row r="16564" hidden="1">
      <c r="E16564" s="96"/>
    </row>
    <row r="16565" hidden="1">
      <c r="E16565" s="96"/>
    </row>
    <row r="16566" hidden="1">
      <c r="E16566" s="96"/>
    </row>
    <row r="16567" hidden="1">
      <c r="E16567" s="96"/>
    </row>
    <row r="16568" hidden="1">
      <c r="E16568" s="96"/>
    </row>
    <row r="16569" hidden="1">
      <c r="E16569" s="96"/>
    </row>
    <row r="16570" hidden="1">
      <c r="E16570" s="96"/>
    </row>
    <row r="16571" hidden="1">
      <c r="E16571" s="96"/>
    </row>
    <row r="16572" hidden="1">
      <c r="E16572" s="96"/>
    </row>
    <row r="16573" hidden="1">
      <c r="E16573" s="96"/>
    </row>
    <row r="16574" hidden="1">
      <c r="E16574" s="96"/>
    </row>
    <row r="16575" hidden="1">
      <c r="E16575" s="96"/>
    </row>
    <row r="16576" hidden="1">
      <c r="E16576" s="96"/>
    </row>
    <row r="16577" hidden="1">
      <c r="E16577" s="96"/>
    </row>
    <row r="16578" hidden="1">
      <c r="E16578" s="96"/>
    </row>
    <row r="16579" hidden="1">
      <c r="E16579" s="96"/>
    </row>
    <row r="16580" hidden="1">
      <c r="E16580" s="96"/>
    </row>
    <row r="16581" hidden="1">
      <c r="E16581" s="96"/>
    </row>
    <row r="16582" hidden="1">
      <c r="E16582" s="96"/>
    </row>
    <row r="16583" hidden="1">
      <c r="E16583" s="96"/>
    </row>
    <row r="16584" hidden="1">
      <c r="E16584" s="96"/>
    </row>
    <row r="16585" hidden="1">
      <c r="E16585" s="96"/>
    </row>
    <row r="16586" hidden="1">
      <c r="E16586" s="96"/>
    </row>
    <row r="16587" hidden="1">
      <c r="E16587" s="96"/>
    </row>
    <row r="16588" hidden="1">
      <c r="E16588" s="96"/>
    </row>
    <row r="16589" hidden="1">
      <c r="E16589" s="96"/>
    </row>
    <row r="16590" hidden="1">
      <c r="E16590" s="96"/>
    </row>
    <row r="16591" hidden="1">
      <c r="E16591" s="96"/>
    </row>
    <row r="16592" hidden="1">
      <c r="E16592" s="96"/>
    </row>
    <row r="16593" hidden="1">
      <c r="E16593" s="96"/>
    </row>
    <row r="16594" hidden="1">
      <c r="E16594" s="96"/>
    </row>
    <row r="16595" hidden="1">
      <c r="E16595" s="96"/>
    </row>
    <row r="16596" hidden="1">
      <c r="E16596" s="96"/>
    </row>
    <row r="16597" hidden="1">
      <c r="E16597" s="96"/>
    </row>
    <row r="16598" hidden="1">
      <c r="E16598" s="96"/>
    </row>
    <row r="16599" hidden="1">
      <c r="E16599" s="96"/>
    </row>
    <row r="16600" hidden="1">
      <c r="E16600" s="96"/>
    </row>
    <row r="16601" hidden="1">
      <c r="E16601" s="96"/>
    </row>
    <row r="16602" hidden="1">
      <c r="E16602" s="96"/>
    </row>
    <row r="16603" hidden="1">
      <c r="E16603" s="96"/>
    </row>
    <row r="16604" hidden="1">
      <c r="E16604" s="96"/>
    </row>
    <row r="16605" hidden="1">
      <c r="E16605" s="96"/>
    </row>
    <row r="16606" hidden="1">
      <c r="E16606" s="96"/>
    </row>
    <row r="16607" hidden="1">
      <c r="E16607" s="96"/>
    </row>
    <row r="16608" hidden="1">
      <c r="E16608" s="96"/>
    </row>
    <row r="16609" hidden="1">
      <c r="E16609" s="96"/>
    </row>
    <row r="16610" hidden="1">
      <c r="E16610" s="96"/>
    </row>
    <row r="16611" hidden="1">
      <c r="E16611" s="96"/>
    </row>
    <row r="16612" hidden="1">
      <c r="E16612" s="96"/>
    </row>
    <row r="16613" hidden="1">
      <c r="E16613" s="96"/>
    </row>
    <row r="16614" hidden="1">
      <c r="E16614" s="96"/>
    </row>
    <row r="16615" hidden="1">
      <c r="E16615" s="96"/>
    </row>
    <row r="16616" hidden="1">
      <c r="E16616" s="96"/>
    </row>
    <row r="16617" hidden="1">
      <c r="E16617" s="96"/>
    </row>
    <row r="16618" hidden="1">
      <c r="E16618" s="96"/>
    </row>
    <row r="16619" hidden="1">
      <c r="E16619" s="96"/>
    </row>
    <row r="16620" hidden="1">
      <c r="E16620" s="96"/>
    </row>
    <row r="16621" hidden="1">
      <c r="E16621" s="96"/>
    </row>
    <row r="16622" hidden="1">
      <c r="E16622" s="96"/>
    </row>
    <row r="16623" hidden="1">
      <c r="E16623" s="96"/>
    </row>
    <row r="16624" hidden="1">
      <c r="E16624" s="96"/>
    </row>
    <row r="16625" hidden="1">
      <c r="E16625" s="96"/>
    </row>
    <row r="16626" hidden="1">
      <c r="E16626" s="96"/>
    </row>
    <row r="16627" hidden="1">
      <c r="E16627" s="96"/>
    </row>
    <row r="16628" hidden="1">
      <c r="E16628" s="96"/>
    </row>
    <row r="16629" hidden="1">
      <c r="E16629" s="96"/>
    </row>
    <row r="16630" hidden="1">
      <c r="E16630" s="96"/>
    </row>
    <row r="16631" hidden="1">
      <c r="E16631" s="96"/>
    </row>
    <row r="16632" hidden="1">
      <c r="E16632" s="96"/>
    </row>
    <row r="16633" hidden="1">
      <c r="E16633" s="96"/>
    </row>
    <row r="16634" hidden="1">
      <c r="E16634" s="96"/>
    </row>
    <row r="16635" hidden="1">
      <c r="E16635" s="96"/>
    </row>
    <row r="16636" hidden="1">
      <c r="E16636" s="96"/>
    </row>
    <row r="16637" hidden="1">
      <c r="E16637" s="96"/>
    </row>
    <row r="16638" hidden="1">
      <c r="E16638" s="96"/>
    </row>
    <row r="16639" hidden="1">
      <c r="E16639" s="96"/>
    </row>
    <row r="16640" hidden="1">
      <c r="E16640" s="96"/>
    </row>
    <row r="16641" hidden="1">
      <c r="E16641" s="96"/>
    </row>
    <row r="16642" hidden="1">
      <c r="E16642" s="96"/>
    </row>
    <row r="16643" hidden="1">
      <c r="E16643" s="96"/>
    </row>
    <row r="16644" hidden="1">
      <c r="E16644" s="96"/>
    </row>
    <row r="16645" hidden="1">
      <c r="E16645" s="96"/>
    </row>
    <row r="16646" hidden="1">
      <c r="E16646" s="96"/>
    </row>
    <row r="16647" hidden="1">
      <c r="E16647" s="96"/>
    </row>
    <row r="16648" hidden="1">
      <c r="E16648" s="96"/>
    </row>
    <row r="16649" hidden="1">
      <c r="E16649" s="96"/>
    </row>
    <row r="16650" hidden="1">
      <c r="E16650" s="96"/>
    </row>
    <row r="16651" hidden="1">
      <c r="E16651" s="96"/>
    </row>
    <row r="16652" hidden="1">
      <c r="E16652" s="96"/>
    </row>
    <row r="16653" hidden="1">
      <c r="E16653" s="96"/>
    </row>
    <row r="16654" hidden="1">
      <c r="E16654" s="96"/>
    </row>
    <row r="16655" hidden="1">
      <c r="E16655" s="96"/>
    </row>
    <row r="16656" hidden="1">
      <c r="E16656" s="96"/>
    </row>
    <row r="16657" hidden="1">
      <c r="E16657" s="96"/>
    </row>
    <row r="16658" hidden="1">
      <c r="E16658" s="96"/>
    </row>
    <row r="16659" hidden="1">
      <c r="E16659" s="96"/>
    </row>
    <row r="16660" hidden="1">
      <c r="E16660" s="96"/>
    </row>
    <row r="16661" hidden="1">
      <c r="E16661" s="96"/>
    </row>
    <row r="16662" hidden="1">
      <c r="E16662" s="96"/>
    </row>
    <row r="16663" hidden="1">
      <c r="E16663" s="96"/>
    </row>
    <row r="16664" hidden="1">
      <c r="E16664" s="96"/>
    </row>
    <row r="16665" hidden="1">
      <c r="E16665" s="96"/>
    </row>
    <row r="16666" hidden="1">
      <c r="E16666" s="96"/>
    </row>
    <row r="16667" hidden="1">
      <c r="E16667" s="96"/>
    </row>
    <row r="16668" hidden="1">
      <c r="E16668" s="96"/>
    </row>
    <row r="16669" hidden="1">
      <c r="E16669" s="96"/>
    </row>
    <row r="16670" hidden="1">
      <c r="E16670" s="96"/>
    </row>
    <row r="16671" hidden="1">
      <c r="E16671" s="96"/>
    </row>
    <row r="16672" hidden="1">
      <c r="E16672" s="96"/>
    </row>
    <row r="16673" hidden="1">
      <c r="E16673" s="96"/>
    </row>
    <row r="16674" hidden="1">
      <c r="E16674" s="96"/>
    </row>
    <row r="16675" hidden="1">
      <c r="E16675" s="96"/>
    </row>
    <row r="16676" hidden="1">
      <c r="E16676" s="96"/>
    </row>
    <row r="16677" hidden="1">
      <c r="E16677" s="96"/>
    </row>
    <row r="16678" hidden="1">
      <c r="E16678" s="96"/>
    </row>
    <row r="16679" hidden="1">
      <c r="E16679" s="96"/>
    </row>
    <row r="16680" hidden="1">
      <c r="E16680" s="96"/>
    </row>
    <row r="16681" hidden="1">
      <c r="E16681" s="96"/>
    </row>
    <row r="16682" hidden="1">
      <c r="E16682" s="96"/>
    </row>
    <row r="16683" hidden="1">
      <c r="E16683" s="96"/>
    </row>
    <row r="16684" hidden="1">
      <c r="E16684" s="96"/>
    </row>
    <row r="16685" hidden="1">
      <c r="E16685" s="96"/>
    </row>
    <row r="16686" hidden="1">
      <c r="E16686" s="96"/>
    </row>
    <row r="16687" hidden="1">
      <c r="E16687" s="96"/>
    </row>
    <row r="16688" hidden="1">
      <c r="E16688" s="96"/>
    </row>
    <row r="16689" hidden="1">
      <c r="E16689" s="96"/>
    </row>
    <row r="16690" hidden="1">
      <c r="E16690" s="96"/>
    </row>
    <row r="16691" hidden="1">
      <c r="E16691" s="96"/>
    </row>
    <row r="16692" hidden="1">
      <c r="E16692" s="96"/>
    </row>
    <row r="16693" hidden="1">
      <c r="E16693" s="96"/>
    </row>
    <row r="16694" hidden="1">
      <c r="E16694" s="96"/>
    </row>
    <row r="16695" hidden="1">
      <c r="E16695" s="96"/>
    </row>
    <row r="16696" hidden="1">
      <c r="E16696" s="96"/>
    </row>
    <row r="16697" hidden="1">
      <c r="E16697" s="96"/>
    </row>
    <row r="16698" hidden="1">
      <c r="E16698" s="96"/>
    </row>
    <row r="16699" hidden="1">
      <c r="E16699" s="96"/>
    </row>
    <row r="16700" hidden="1">
      <c r="E16700" s="96"/>
    </row>
    <row r="16701" hidden="1">
      <c r="E16701" s="96"/>
    </row>
    <row r="16702" hidden="1">
      <c r="E16702" s="96"/>
    </row>
    <row r="16703" hidden="1">
      <c r="E16703" s="96"/>
    </row>
    <row r="16704" hidden="1">
      <c r="E16704" s="96"/>
    </row>
    <row r="16705" hidden="1">
      <c r="E16705" s="96"/>
    </row>
    <row r="16706" hidden="1">
      <c r="E16706" s="96"/>
    </row>
    <row r="16707" hidden="1">
      <c r="E16707" s="96"/>
    </row>
    <row r="16708" hidden="1">
      <c r="E16708" s="96"/>
    </row>
    <row r="16709" hidden="1">
      <c r="E16709" s="96"/>
    </row>
    <row r="16710" hidden="1">
      <c r="E16710" s="96"/>
    </row>
    <row r="16711" hidden="1">
      <c r="E16711" s="96"/>
    </row>
    <row r="16712" hidden="1">
      <c r="E16712" s="96"/>
    </row>
    <row r="16713" hidden="1">
      <c r="E16713" s="96"/>
    </row>
    <row r="16714" hidden="1">
      <c r="E16714" s="96"/>
    </row>
    <row r="16715" hidden="1">
      <c r="E16715" s="96"/>
    </row>
    <row r="16716" hidden="1">
      <c r="E16716" s="96"/>
    </row>
    <row r="16717" hidden="1">
      <c r="E16717" s="96"/>
    </row>
    <row r="16718" hidden="1">
      <c r="E16718" s="96"/>
    </row>
    <row r="16719" hidden="1">
      <c r="E16719" s="96"/>
    </row>
    <row r="16720" hidden="1">
      <c r="E16720" s="96"/>
    </row>
    <row r="16721" hidden="1">
      <c r="E16721" s="96"/>
    </row>
    <row r="16722" hidden="1">
      <c r="E16722" s="96"/>
    </row>
    <row r="16723" hidden="1">
      <c r="E16723" s="96"/>
    </row>
    <row r="16724" hidden="1">
      <c r="E16724" s="96"/>
    </row>
    <row r="16725" hidden="1">
      <c r="E16725" s="96"/>
    </row>
    <row r="16726" hidden="1">
      <c r="E16726" s="96"/>
    </row>
    <row r="16727" hidden="1">
      <c r="E16727" s="96"/>
    </row>
    <row r="16728" hidden="1">
      <c r="E16728" s="96"/>
    </row>
    <row r="16729" hidden="1">
      <c r="E16729" s="96"/>
    </row>
    <row r="16730" hidden="1">
      <c r="E16730" s="96"/>
    </row>
    <row r="16731" hidden="1">
      <c r="E16731" s="96"/>
    </row>
    <row r="16732" hidden="1">
      <c r="E16732" s="96"/>
    </row>
    <row r="16733" hidden="1">
      <c r="E16733" s="96"/>
    </row>
    <row r="16734" hidden="1">
      <c r="E16734" s="96"/>
    </row>
    <row r="16735" hidden="1">
      <c r="E16735" s="96"/>
    </row>
    <row r="16736" hidden="1">
      <c r="E16736" s="96"/>
    </row>
    <row r="16737" hidden="1">
      <c r="E16737" s="96"/>
    </row>
    <row r="16738" hidden="1">
      <c r="E16738" s="96"/>
    </row>
    <row r="16739" hidden="1">
      <c r="E16739" s="96"/>
    </row>
    <row r="16740" hidden="1">
      <c r="E16740" s="96"/>
    </row>
    <row r="16741" hidden="1">
      <c r="E16741" s="96"/>
    </row>
    <row r="16742" hidden="1">
      <c r="E16742" s="96"/>
    </row>
    <row r="16743" hidden="1">
      <c r="E16743" s="96"/>
    </row>
    <row r="16744" hidden="1">
      <c r="E16744" s="96"/>
    </row>
    <row r="16745" hidden="1">
      <c r="E16745" s="96"/>
    </row>
    <row r="16746" hidden="1">
      <c r="E16746" s="96"/>
    </row>
    <row r="16747" hidden="1">
      <c r="E16747" s="96"/>
    </row>
    <row r="16748" hidden="1">
      <c r="E16748" s="96"/>
    </row>
    <row r="16749" hidden="1">
      <c r="E16749" s="96"/>
    </row>
    <row r="16750" hidden="1">
      <c r="E16750" s="96"/>
    </row>
    <row r="16751" hidden="1">
      <c r="E16751" s="96"/>
    </row>
    <row r="16752" hidden="1">
      <c r="E16752" s="96"/>
    </row>
    <row r="16753" hidden="1">
      <c r="E16753" s="96"/>
    </row>
    <row r="16754" hidden="1">
      <c r="E16754" s="96"/>
    </row>
    <row r="16755" hidden="1">
      <c r="E16755" s="96"/>
    </row>
    <row r="16756" hidden="1">
      <c r="E16756" s="96"/>
    </row>
    <row r="16757" hidden="1">
      <c r="E16757" s="96"/>
    </row>
    <row r="16758" hidden="1">
      <c r="E16758" s="96"/>
    </row>
    <row r="16759" hidden="1">
      <c r="E16759" s="96"/>
    </row>
    <row r="16760" hidden="1">
      <c r="E16760" s="96"/>
    </row>
    <row r="16761" hidden="1">
      <c r="E16761" s="96"/>
    </row>
    <row r="16762" hidden="1">
      <c r="E16762" s="96"/>
    </row>
    <row r="16763" hidden="1">
      <c r="E16763" s="96"/>
    </row>
    <row r="16764" hidden="1">
      <c r="E16764" s="96"/>
    </row>
    <row r="16765" hidden="1">
      <c r="E16765" s="96"/>
    </row>
    <row r="16766" hidden="1">
      <c r="E16766" s="96"/>
    </row>
    <row r="16767" hidden="1">
      <c r="E16767" s="96"/>
    </row>
    <row r="16768" hidden="1">
      <c r="E16768" s="96"/>
    </row>
    <row r="16769" hidden="1">
      <c r="E16769" s="96"/>
    </row>
    <row r="16770" hidden="1">
      <c r="E16770" s="96"/>
    </row>
    <row r="16771" hidden="1">
      <c r="E16771" s="96"/>
    </row>
    <row r="16772" hidden="1">
      <c r="E16772" s="96"/>
    </row>
    <row r="16773" hidden="1">
      <c r="E16773" s="96"/>
    </row>
    <row r="16774" hidden="1">
      <c r="E16774" s="96"/>
    </row>
    <row r="16775" hidden="1">
      <c r="E16775" s="96"/>
    </row>
    <row r="16776" hidden="1">
      <c r="E16776" s="96"/>
    </row>
    <row r="16777" hidden="1">
      <c r="E16777" s="96"/>
    </row>
    <row r="16778" hidden="1">
      <c r="E16778" s="96"/>
    </row>
    <row r="16779" hidden="1">
      <c r="E16779" s="96"/>
    </row>
    <row r="16780" hidden="1">
      <c r="E16780" s="96"/>
    </row>
    <row r="16781" hidden="1">
      <c r="E16781" s="96"/>
    </row>
    <row r="16782" hidden="1">
      <c r="E16782" s="96"/>
    </row>
    <row r="16783" hidden="1">
      <c r="E16783" s="96"/>
    </row>
    <row r="16784" hidden="1">
      <c r="E16784" s="96"/>
    </row>
    <row r="16785" hidden="1">
      <c r="E16785" s="96"/>
    </row>
    <row r="16786" hidden="1">
      <c r="E16786" s="96"/>
    </row>
    <row r="16787" hidden="1">
      <c r="E16787" s="96"/>
    </row>
    <row r="16788" hidden="1">
      <c r="E16788" s="96"/>
    </row>
    <row r="16789" hidden="1">
      <c r="E16789" s="96"/>
    </row>
    <row r="16790" hidden="1">
      <c r="E16790" s="96"/>
    </row>
    <row r="16791" hidden="1">
      <c r="E16791" s="96"/>
    </row>
    <row r="16792" hidden="1">
      <c r="E16792" s="96"/>
    </row>
    <row r="16793" hidden="1">
      <c r="E16793" s="96"/>
    </row>
    <row r="16794" hidden="1">
      <c r="E16794" s="96"/>
    </row>
    <row r="16795" hidden="1">
      <c r="E16795" s="96"/>
    </row>
    <row r="16796" hidden="1">
      <c r="E16796" s="96"/>
    </row>
    <row r="16797" hidden="1">
      <c r="E16797" s="96"/>
    </row>
    <row r="16798" hidden="1">
      <c r="E16798" s="96"/>
    </row>
    <row r="16799" hidden="1">
      <c r="E16799" s="96"/>
    </row>
    <row r="16800" hidden="1">
      <c r="E16800" s="96"/>
    </row>
    <row r="16801" hidden="1">
      <c r="E16801" s="96"/>
    </row>
    <row r="16802" hidden="1">
      <c r="E16802" s="96"/>
    </row>
    <row r="16803" hidden="1">
      <c r="E16803" s="96"/>
    </row>
    <row r="16804" hidden="1">
      <c r="E16804" s="96"/>
    </row>
    <row r="16805" hidden="1">
      <c r="E16805" s="96"/>
    </row>
    <row r="16806" hidden="1">
      <c r="E16806" s="96"/>
    </row>
    <row r="16807" hidden="1">
      <c r="E16807" s="96"/>
    </row>
    <row r="16808" hidden="1">
      <c r="E16808" s="96"/>
    </row>
    <row r="16809" hidden="1">
      <c r="E16809" s="96"/>
    </row>
    <row r="16810" hidden="1">
      <c r="E16810" s="96"/>
    </row>
    <row r="16811" hidden="1">
      <c r="E16811" s="96"/>
    </row>
    <row r="16812" hidden="1">
      <c r="E16812" s="96"/>
    </row>
    <row r="16813" hidden="1">
      <c r="E16813" s="96"/>
    </row>
    <row r="16814" hidden="1">
      <c r="E16814" s="96"/>
    </row>
    <row r="16815" hidden="1">
      <c r="E16815" s="96"/>
    </row>
    <row r="16816" hidden="1">
      <c r="E16816" s="96"/>
    </row>
    <row r="16817" hidden="1">
      <c r="E16817" s="96"/>
    </row>
    <row r="16818" hidden="1">
      <c r="E16818" s="96"/>
    </row>
    <row r="16819" hidden="1">
      <c r="E16819" s="96"/>
    </row>
    <row r="16820" hidden="1">
      <c r="E16820" s="96"/>
    </row>
    <row r="16821" hidden="1">
      <c r="E16821" s="96"/>
    </row>
    <row r="16822" hidden="1">
      <c r="E16822" s="96"/>
    </row>
    <row r="16823" hidden="1">
      <c r="E16823" s="96"/>
    </row>
    <row r="16824" hidden="1">
      <c r="E16824" s="96"/>
    </row>
    <row r="16825" hidden="1">
      <c r="E16825" s="96"/>
    </row>
    <row r="16826" hidden="1">
      <c r="E16826" s="96"/>
    </row>
    <row r="16827" hidden="1">
      <c r="E16827" s="96"/>
    </row>
    <row r="16828" hidden="1">
      <c r="E16828" s="96"/>
    </row>
    <row r="16829" hidden="1">
      <c r="E16829" s="96"/>
    </row>
    <row r="16830" hidden="1">
      <c r="E16830" s="96"/>
    </row>
    <row r="16831" hidden="1">
      <c r="E16831" s="96"/>
    </row>
    <row r="16832" hidden="1">
      <c r="E16832" s="96"/>
    </row>
    <row r="16833" hidden="1">
      <c r="E16833" s="96"/>
    </row>
    <row r="16834" hidden="1">
      <c r="E16834" s="96"/>
    </row>
    <row r="16835" hidden="1">
      <c r="E16835" s="96"/>
    </row>
    <row r="16836" hidden="1">
      <c r="E16836" s="96"/>
    </row>
    <row r="16837" hidden="1">
      <c r="E16837" s="96"/>
    </row>
    <row r="16838" hidden="1">
      <c r="E16838" s="96"/>
    </row>
    <row r="16839" hidden="1">
      <c r="E16839" s="96"/>
    </row>
    <row r="16840" hidden="1">
      <c r="E16840" s="96"/>
    </row>
    <row r="16841" hidden="1">
      <c r="E16841" s="96"/>
    </row>
    <row r="16842" hidden="1">
      <c r="E16842" s="96"/>
    </row>
    <row r="16843" hidden="1">
      <c r="E16843" s="96"/>
    </row>
    <row r="16844" hidden="1">
      <c r="E16844" s="96"/>
    </row>
    <row r="16845" hidden="1">
      <c r="E16845" s="96"/>
    </row>
    <row r="16846" hidden="1">
      <c r="E16846" s="96"/>
    </row>
    <row r="16847" hidden="1">
      <c r="E16847" s="96"/>
    </row>
    <row r="16848" hidden="1">
      <c r="E16848" s="96"/>
    </row>
    <row r="16849" hidden="1">
      <c r="E16849" s="96"/>
    </row>
    <row r="16850" hidden="1">
      <c r="E16850" s="96"/>
    </row>
    <row r="16851" hidden="1">
      <c r="E16851" s="96"/>
    </row>
    <row r="16852" hidden="1">
      <c r="E16852" s="96"/>
    </row>
    <row r="16853" hidden="1">
      <c r="E16853" s="96"/>
    </row>
    <row r="16854" hidden="1">
      <c r="E16854" s="96"/>
    </row>
    <row r="16855" hidden="1">
      <c r="E16855" s="96"/>
    </row>
    <row r="16856" hidden="1">
      <c r="E16856" s="96"/>
    </row>
    <row r="16857" hidden="1">
      <c r="E16857" s="96"/>
    </row>
    <row r="16858" hidden="1">
      <c r="E16858" s="96"/>
    </row>
    <row r="16859" hidden="1">
      <c r="E16859" s="96"/>
    </row>
    <row r="16860" hidden="1">
      <c r="E16860" s="96"/>
    </row>
    <row r="16861" hidden="1">
      <c r="E16861" s="96"/>
    </row>
    <row r="16862" hidden="1">
      <c r="E16862" s="96"/>
    </row>
    <row r="16863" hidden="1">
      <c r="E16863" s="96"/>
    </row>
    <row r="16864" hidden="1">
      <c r="E16864" s="96"/>
    </row>
    <row r="16865" hidden="1">
      <c r="E16865" s="96"/>
    </row>
    <row r="16866" hidden="1">
      <c r="E16866" s="96"/>
    </row>
    <row r="16867" hidden="1">
      <c r="E16867" s="96"/>
    </row>
    <row r="16868" hidden="1">
      <c r="E16868" s="96"/>
    </row>
    <row r="16869" hidden="1">
      <c r="E16869" s="96"/>
    </row>
    <row r="16870" hidden="1">
      <c r="E16870" s="96"/>
    </row>
    <row r="16871" hidden="1">
      <c r="E16871" s="96"/>
    </row>
    <row r="16872" hidden="1">
      <c r="E16872" s="96"/>
    </row>
    <row r="16873" hidden="1">
      <c r="E16873" s="96"/>
    </row>
    <row r="16874" hidden="1">
      <c r="E16874" s="96"/>
    </row>
    <row r="16875" hidden="1">
      <c r="E16875" s="96"/>
    </row>
    <row r="16876" hidden="1">
      <c r="E16876" s="96"/>
    </row>
    <row r="16877" hidden="1">
      <c r="E16877" s="96"/>
    </row>
    <row r="16878" hidden="1">
      <c r="E16878" s="96"/>
    </row>
    <row r="16879" hidden="1">
      <c r="E16879" s="96"/>
    </row>
    <row r="16880" hidden="1">
      <c r="E16880" s="96"/>
    </row>
    <row r="16881" hidden="1">
      <c r="E16881" s="96"/>
    </row>
    <row r="16882" hidden="1">
      <c r="E16882" s="96"/>
    </row>
    <row r="16883" hidden="1">
      <c r="E16883" s="96"/>
    </row>
    <row r="16884" hidden="1">
      <c r="E16884" s="96"/>
    </row>
    <row r="16885" hidden="1">
      <c r="E16885" s="96"/>
    </row>
    <row r="16886" hidden="1">
      <c r="E16886" s="96"/>
    </row>
    <row r="16887" hidden="1">
      <c r="E16887" s="96"/>
    </row>
    <row r="16888" hidden="1">
      <c r="E16888" s="96"/>
    </row>
    <row r="16889" hidden="1">
      <c r="E16889" s="96"/>
    </row>
    <row r="16890" hidden="1">
      <c r="E16890" s="96"/>
    </row>
    <row r="16891" hidden="1">
      <c r="E16891" s="96"/>
    </row>
    <row r="16892" hidden="1">
      <c r="E16892" s="96"/>
    </row>
    <row r="16893" hidden="1">
      <c r="E16893" s="96"/>
    </row>
    <row r="16894" hidden="1">
      <c r="E16894" s="96"/>
    </row>
    <row r="16895" hidden="1">
      <c r="E16895" s="96"/>
    </row>
    <row r="16896" hidden="1">
      <c r="E16896" s="96"/>
    </row>
    <row r="16897" hidden="1">
      <c r="E16897" s="96"/>
    </row>
    <row r="16898" hidden="1">
      <c r="E16898" s="96"/>
    </row>
    <row r="16899" hidden="1">
      <c r="E16899" s="96"/>
    </row>
    <row r="16900" hidden="1">
      <c r="E16900" s="96"/>
    </row>
    <row r="16901" hidden="1">
      <c r="E16901" s="96"/>
    </row>
    <row r="16902" hidden="1">
      <c r="E16902" s="96"/>
    </row>
    <row r="16903" hidden="1">
      <c r="E16903" s="96"/>
    </row>
    <row r="16904" hidden="1">
      <c r="E16904" s="96"/>
    </row>
    <row r="16905" hidden="1">
      <c r="E16905" s="96"/>
    </row>
    <row r="16906" hidden="1">
      <c r="E16906" s="96"/>
    </row>
    <row r="16907" hidden="1">
      <c r="E16907" s="96"/>
    </row>
    <row r="16908" hidden="1">
      <c r="E16908" s="96"/>
    </row>
    <row r="16909" hidden="1">
      <c r="E16909" s="96"/>
    </row>
    <row r="16910" hidden="1">
      <c r="E16910" s="96"/>
    </row>
    <row r="16911" hidden="1">
      <c r="E16911" s="96"/>
    </row>
    <row r="16912" hidden="1">
      <c r="E16912" s="96"/>
    </row>
    <row r="16913" hidden="1">
      <c r="E16913" s="96"/>
    </row>
    <row r="16914" hidden="1">
      <c r="E16914" s="96"/>
    </row>
    <row r="16915" hidden="1">
      <c r="E16915" s="96"/>
    </row>
    <row r="16916" hidden="1">
      <c r="E16916" s="96"/>
    </row>
    <row r="16917" hidden="1">
      <c r="E16917" s="96"/>
    </row>
    <row r="16918" hidden="1">
      <c r="E16918" s="96"/>
    </row>
    <row r="16919" hidden="1">
      <c r="E16919" s="96"/>
    </row>
    <row r="16920" hidden="1">
      <c r="E16920" s="96"/>
    </row>
    <row r="16921" hidden="1">
      <c r="E16921" s="96"/>
    </row>
    <row r="16922" hidden="1">
      <c r="E16922" s="96"/>
    </row>
    <row r="16923" hidden="1">
      <c r="E16923" s="96"/>
    </row>
    <row r="16924" hidden="1">
      <c r="E16924" s="96"/>
    </row>
    <row r="16925" hidden="1">
      <c r="E16925" s="96"/>
    </row>
    <row r="16926" hidden="1">
      <c r="E16926" s="96"/>
    </row>
    <row r="16927" hidden="1">
      <c r="E16927" s="96"/>
    </row>
    <row r="16928" hidden="1">
      <c r="E16928" s="96"/>
    </row>
    <row r="16929" hidden="1">
      <c r="E16929" s="96"/>
    </row>
    <row r="16930" hidden="1">
      <c r="E16930" s="96"/>
    </row>
    <row r="16931" hidden="1">
      <c r="E16931" s="96"/>
    </row>
    <row r="16932" hidden="1">
      <c r="E16932" s="96"/>
    </row>
    <row r="16933" hidden="1">
      <c r="E16933" s="96"/>
    </row>
    <row r="16934" hidden="1">
      <c r="E16934" s="96"/>
    </row>
    <row r="16935" hidden="1">
      <c r="E16935" s="96"/>
    </row>
    <row r="16936" hidden="1">
      <c r="E16936" s="96"/>
    </row>
    <row r="16937" hidden="1">
      <c r="E16937" s="96"/>
    </row>
    <row r="16938" hidden="1">
      <c r="E16938" s="96"/>
    </row>
    <row r="16939" hidden="1">
      <c r="E16939" s="96"/>
    </row>
    <row r="16940" hidden="1">
      <c r="E16940" s="96"/>
    </row>
    <row r="16941" hidden="1">
      <c r="E16941" s="96"/>
    </row>
    <row r="16942" hidden="1">
      <c r="E16942" s="96"/>
    </row>
    <row r="16943" hidden="1">
      <c r="E16943" s="96"/>
    </row>
    <row r="16944" hidden="1">
      <c r="E16944" s="96"/>
    </row>
    <row r="16945" hidden="1">
      <c r="E16945" s="96"/>
    </row>
    <row r="16946" hidden="1">
      <c r="E16946" s="96"/>
    </row>
    <row r="16947" hidden="1">
      <c r="E16947" s="96"/>
    </row>
    <row r="16948" hidden="1">
      <c r="E16948" s="96"/>
    </row>
    <row r="16949" hidden="1">
      <c r="E16949" s="96"/>
    </row>
    <row r="16950" hidden="1">
      <c r="E16950" s="96"/>
    </row>
    <row r="16951" hidden="1">
      <c r="E16951" s="96"/>
    </row>
    <row r="16952" hidden="1">
      <c r="E16952" s="96"/>
    </row>
    <row r="16953" hidden="1">
      <c r="E16953" s="96"/>
    </row>
    <row r="16954" hidden="1">
      <c r="E16954" s="96"/>
    </row>
    <row r="16955" hidden="1">
      <c r="E16955" s="96"/>
    </row>
    <row r="16956" hidden="1">
      <c r="E16956" s="96"/>
    </row>
    <row r="16957" hidden="1">
      <c r="E16957" s="96"/>
    </row>
    <row r="16958" hidden="1">
      <c r="E16958" s="96"/>
    </row>
    <row r="16959" hidden="1">
      <c r="E16959" s="96"/>
    </row>
    <row r="16960" hidden="1">
      <c r="E16960" s="96"/>
    </row>
    <row r="16961" hidden="1">
      <c r="E16961" s="96"/>
    </row>
    <row r="16962" hidden="1">
      <c r="E16962" s="96"/>
    </row>
    <row r="16963" hidden="1">
      <c r="E16963" s="96"/>
    </row>
    <row r="16964" hidden="1">
      <c r="E16964" s="96"/>
    </row>
    <row r="16965" hidden="1">
      <c r="E16965" s="96"/>
    </row>
    <row r="16966" hidden="1">
      <c r="E16966" s="96"/>
    </row>
    <row r="16967" hidden="1">
      <c r="E16967" s="96"/>
    </row>
    <row r="16968" hidden="1">
      <c r="E16968" s="96"/>
    </row>
    <row r="16969" hidden="1">
      <c r="E16969" s="96"/>
    </row>
    <row r="16970" hidden="1">
      <c r="E16970" s="96"/>
    </row>
    <row r="16971" hidden="1">
      <c r="E16971" s="96"/>
    </row>
    <row r="16972" hidden="1">
      <c r="E16972" s="96"/>
    </row>
    <row r="16973" hidden="1">
      <c r="E16973" s="96"/>
    </row>
    <row r="16974" hidden="1">
      <c r="E16974" s="96"/>
    </row>
    <row r="16975" hidden="1">
      <c r="E16975" s="96"/>
    </row>
    <row r="16976" hidden="1">
      <c r="E16976" s="96"/>
    </row>
    <row r="16977" hidden="1">
      <c r="E16977" s="96"/>
    </row>
    <row r="16978" hidden="1">
      <c r="E16978" s="96"/>
    </row>
    <row r="16979" hidden="1">
      <c r="E16979" s="96"/>
    </row>
    <row r="16980" hidden="1">
      <c r="E16980" s="96"/>
    </row>
    <row r="16981" hidden="1">
      <c r="E16981" s="96"/>
    </row>
    <row r="16982" hidden="1">
      <c r="E16982" s="96"/>
    </row>
    <row r="16983" hidden="1">
      <c r="E16983" s="96"/>
    </row>
    <row r="16984" hidden="1">
      <c r="E16984" s="96"/>
    </row>
    <row r="16985" hidden="1">
      <c r="E16985" s="96"/>
    </row>
    <row r="16986" hidden="1">
      <c r="E16986" s="96"/>
    </row>
    <row r="16987" hidden="1">
      <c r="E16987" s="96"/>
    </row>
    <row r="16988" hidden="1">
      <c r="E16988" s="96"/>
    </row>
    <row r="16989" hidden="1">
      <c r="E16989" s="96"/>
    </row>
    <row r="16990" hidden="1">
      <c r="E16990" s="96"/>
    </row>
    <row r="16991" hidden="1">
      <c r="E16991" s="96"/>
    </row>
    <row r="16992" hidden="1">
      <c r="E16992" s="96"/>
    </row>
    <row r="16993" hidden="1">
      <c r="E16993" s="96"/>
    </row>
    <row r="16994" hidden="1">
      <c r="E16994" s="96"/>
    </row>
    <row r="16995" hidden="1">
      <c r="E16995" s="96"/>
    </row>
    <row r="16996" hidden="1">
      <c r="E16996" s="96"/>
    </row>
    <row r="16997" hidden="1">
      <c r="E16997" s="96"/>
    </row>
    <row r="16998" hidden="1">
      <c r="E16998" s="96"/>
    </row>
    <row r="16999" hidden="1">
      <c r="E16999" s="96"/>
    </row>
    <row r="17000" hidden="1">
      <c r="E17000" s="96"/>
    </row>
    <row r="17001" hidden="1">
      <c r="E17001" s="96"/>
    </row>
    <row r="17002" hidden="1">
      <c r="E17002" s="96"/>
    </row>
    <row r="17003" hidden="1">
      <c r="E17003" s="96"/>
    </row>
    <row r="17004" hidden="1">
      <c r="E17004" s="96"/>
    </row>
    <row r="17005" hidden="1">
      <c r="E17005" s="96"/>
    </row>
    <row r="17006" hidden="1">
      <c r="E17006" s="96"/>
    </row>
    <row r="17007" hidden="1">
      <c r="E17007" s="96"/>
    </row>
    <row r="17008" hidden="1">
      <c r="E17008" s="96"/>
    </row>
    <row r="17009" hidden="1">
      <c r="E17009" s="96"/>
    </row>
    <row r="17010" hidden="1">
      <c r="E17010" s="96"/>
    </row>
    <row r="17011" hidden="1">
      <c r="E17011" s="96"/>
    </row>
    <row r="17012" hidden="1">
      <c r="E17012" s="96"/>
    </row>
    <row r="17013" hidden="1">
      <c r="E17013" s="96"/>
    </row>
    <row r="17014" hidden="1">
      <c r="E17014" s="96"/>
    </row>
    <row r="17015" hidden="1">
      <c r="E17015" s="96"/>
    </row>
    <row r="17016" hidden="1">
      <c r="E17016" s="96"/>
    </row>
    <row r="17017" hidden="1">
      <c r="E17017" s="96"/>
    </row>
    <row r="17018" hidden="1">
      <c r="E17018" s="96"/>
    </row>
    <row r="17019" hidden="1">
      <c r="E17019" s="96"/>
    </row>
    <row r="17020" hidden="1">
      <c r="E17020" s="96"/>
    </row>
    <row r="17021" hidden="1">
      <c r="E17021" s="96"/>
    </row>
    <row r="17022" hidden="1">
      <c r="E17022" s="96"/>
    </row>
    <row r="17023" hidden="1">
      <c r="E17023" s="96"/>
    </row>
    <row r="17024" hidden="1">
      <c r="E17024" s="96"/>
    </row>
    <row r="17025" hidden="1">
      <c r="E17025" s="96"/>
    </row>
    <row r="17026" hidden="1">
      <c r="E17026" s="96"/>
    </row>
    <row r="17027" hidden="1">
      <c r="E17027" s="96"/>
    </row>
    <row r="17028" hidden="1">
      <c r="E17028" s="96"/>
    </row>
    <row r="17029" hidden="1">
      <c r="E17029" s="96"/>
    </row>
    <row r="17030" hidden="1">
      <c r="E17030" s="96"/>
    </row>
    <row r="17031" hidden="1">
      <c r="E17031" s="96"/>
    </row>
    <row r="17032" hidden="1">
      <c r="E17032" s="96"/>
    </row>
    <row r="17033" hidden="1">
      <c r="E17033" s="96"/>
    </row>
    <row r="17034" hidden="1">
      <c r="E17034" s="96"/>
    </row>
    <row r="17035" hidden="1">
      <c r="E17035" s="96"/>
    </row>
    <row r="17036" hidden="1">
      <c r="E17036" s="96"/>
    </row>
    <row r="17037" hidden="1">
      <c r="E17037" s="96"/>
    </row>
    <row r="17038" hidden="1">
      <c r="E17038" s="96"/>
    </row>
    <row r="17039" hidden="1">
      <c r="E17039" s="96"/>
    </row>
    <row r="17040" hidden="1">
      <c r="E17040" s="96"/>
    </row>
    <row r="17041" hidden="1">
      <c r="E17041" s="96"/>
    </row>
    <row r="17042" hidden="1">
      <c r="E17042" s="96"/>
    </row>
    <row r="17043" hidden="1">
      <c r="E17043" s="96"/>
    </row>
    <row r="17044" hidden="1">
      <c r="E17044" s="96"/>
    </row>
    <row r="17045" hidden="1">
      <c r="E17045" s="96"/>
    </row>
    <row r="17046" hidden="1">
      <c r="E17046" s="96"/>
    </row>
    <row r="17047" hidden="1">
      <c r="E17047" s="96"/>
    </row>
    <row r="17048" hidden="1">
      <c r="E17048" s="96"/>
    </row>
    <row r="17049" hidden="1">
      <c r="E17049" s="96"/>
    </row>
    <row r="17050" hidden="1">
      <c r="E17050" s="96"/>
    </row>
    <row r="17051" hidden="1">
      <c r="E17051" s="96"/>
    </row>
    <row r="17052" hidden="1">
      <c r="E17052" s="96"/>
    </row>
    <row r="17053" hidden="1">
      <c r="E17053" s="96"/>
    </row>
    <row r="17054" hidden="1">
      <c r="E17054" s="96"/>
    </row>
    <row r="17055" hidden="1">
      <c r="E17055" s="96"/>
    </row>
    <row r="17056" hidden="1">
      <c r="E17056" s="96"/>
    </row>
    <row r="17057" hidden="1">
      <c r="E17057" s="96"/>
    </row>
    <row r="17058" hidden="1">
      <c r="E17058" s="96"/>
    </row>
    <row r="17059" hidden="1">
      <c r="E17059" s="96"/>
    </row>
    <row r="17060" hidden="1">
      <c r="E17060" s="96"/>
    </row>
    <row r="17061" hidden="1">
      <c r="E17061" s="96"/>
    </row>
    <row r="17062" hidden="1">
      <c r="E17062" s="96"/>
    </row>
    <row r="17063" hidden="1">
      <c r="E17063" s="96"/>
    </row>
    <row r="17064" hidden="1">
      <c r="E17064" s="96"/>
    </row>
    <row r="17065" hidden="1">
      <c r="E17065" s="96"/>
    </row>
    <row r="17066" hidden="1">
      <c r="E17066" s="96"/>
    </row>
    <row r="17067" hidden="1">
      <c r="E17067" s="96"/>
    </row>
    <row r="17068" hidden="1">
      <c r="E17068" s="96"/>
    </row>
    <row r="17069" hidden="1">
      <c r="E17069" s="96"/>
    </row>
    <row r="17070" hidden="1">
      <c r="E17070" s="96"/>
    </row>
    <row r="17071" hidden="1">
      <c r="E17071" s="96"/>
    </row>
    <row r="17072" hidden="1">
      <c r="E17072" s="96"/>
    </row>
    <row r="17073" hidden="1">
      <c r="E17073" s="96"/>
    </row>
    <row r="17074" hidden="1">
      <c r="E17074" s="96"/>
    </row>
    <row r="17075" hidden="1">
      <c r="E17075" s="96"/>
    </row>
    <row r="17076" hidden="1">
      <c r="E17076" s="96"/>
    </row>
    <row r="17077" hidden="1">
      <c r="E17077" s="96"/>
    </row>
    <row r="17078" hidden="1">
      <c r="E17078" s="96"/>
    </row>
    <row r="17079" hidden="1">
      <c r="E17079" s="96"/>
    </row>
    <row r="17080" hidden="1">
      <c r="E17080" s="96"/>
    </row>
    <row r="17081" hidden="1">
      <c r="E17081" s="96"/>
    </row>
    <row r="17082" hidden="1">
      <c r="E17082" s="96"/>
    </row>
    <row r="17083" hidden="1">
      <c r="E17083" s="96"/>
    </row>
    <row r="17084" hidden="1">
      <c r="E17084" s="96"/>
    </row>
    <row r="17085" hidden="1">
      <c r="E17085" s="96"/>
    </row>
    <row r="17086" hidden="1">
      <c r="E17086" s="96"/>
    </row>
    <row r="17087" hidden="1">
      <c r="E17087" s="96"/>
    </row>
    <row r="17088" hidden="1">
      <c r="E17088" s="96"/>
    </row>
    <row r="17089" hidden="1">
      <c r="E17089" s="96"/>
    </row>
    <row r="17090" hidden="1">
      <c r="E17090" s="96"/>
    </row>
    <row r="17091" hidden="1">
      <c r="E17091" s="96"/>
    </row>
    <row r="17092" hidden="1">
      <c r="E17092" s="96"/>
    </row>
    <row r="17093" hidden="1">
      <c r="E17093" s="96"/>
    </row>
    <row r="17094" hidden="1">
      <c r="E17094" s="96"/>
    </row>
    <row r="17095" hidden="1">
      <c r="E17095" s="96"/>
    </row>
    <row r="17096" hidden="1">
      <c r="E17096" s="96"/>
    </row>
    <row r="17097" hidden="1">
      <c r="E17097" s="96"/>
    </row>
    <row r="17098" hidden="1">
      <c r="E17098" s="96"/>
    </row>
    <row r="17099" hidden="1">
      <c r="E17099" s="96"/>
    </row>
    <row r="17100" hidden="1">
      <c r="E17100" s="96"/>
    </row>
    <row r="17101" hidden="1">
      <c r="E17101" s="96"/>
    </row>
    <row r="17102" hidden="1">
      <c r="E17102" s="96"/>
    </row>
    <row r="17103" hidden="1">
      <c r="E17103" s="96"/>
    </row>
    <row r="17104" hidden="1">
      <c r="E17104" s="96"/>
    </row>
    <row r="17105" hidden="1">
      <c r="E17105" s="96"/>
    </row>
    <row r="17106" hidden="1">
      <c r="E17106" s="96"/>
    </row>
    <row r="17107" hidden="1">
      <c r="E17107" s="96"/>
    </row>
    <row r="17108" hidden="1">
      <c r="E17108" s="96"/>
    </row>
    <row r="17109" hidden="1">
      <c r="E17109" s="96"/>
    </row>
    <row r="17110" hidden="1">
      <c r="E17110" s="96"/>
    </row>
    <row r="17111" hidden="1">
      <c r="E17111" s="96"/>
    </row>
    <row r="17112" hidden="1">
      <c r="E17112" s="96"/>
    </row>
    <row r="17113" hidden="1">
      <c r="E17113" s="96"/>
    </row>
    <row r="17114" hidden="1">
      <c r="E17114" s="96"/>
    </row>
    <row r="17115" hidden="1">
      <c r="E17115" s="96"/>
    </row>
    <row r="17116" hidden="1">
      <c r="E17116" s="96"/>
    </row>
    <row r="17117" hidden="1">
      <c r="E17117" s="96"/>
    </row>
    <row r="17118" hidden="1">
      <c r="E17118" s="96"/>
    </row>
    <row r="17119" hidden="1">
      <c r="E17119" s="96"/>
    </row>
    <row r="17120" hidden="1">
      <c r="E17120" s="96"/>
    </row>
    <row r="17121" hidden="1">
      <c r="E17121" s="96"/>
    </row>
    <row r="17122" hidden="1">
      <c r="E17122" s="96"/>
    </row>
    <row r="17123" hidden="1">
      <c r="E17123" s="96"/>
    </row>
    <row r="17124" hidden="1">
      <c r="E17124" s="96"/>
    </row>
    <row r="17125" hidden="1">
      <c r="E17125" s="96"/>
    </row>
    <row r="17126" hidden="1">
      <c r="E17126" s="96"/>
    </row>
    <row r="17127" hidden="1">
      <c r="E17127" s="96"/>
    </row>
    <row r="17128" hidden="1">
      <c r="E17128" s="96"/>
    </row>
    <row r="17129" hidden="1">
      <c r="E17129" s="96"/>
    </row>
    <row r="17130" hidden="1">
      <c r="E17130" s="96"/>
    </row>
    <row r="17131" hidden="1">
      <c r="E17131" s="96"/>
    </row>
    <row r="17132" hidden="1">
      <c r="E17132" s="96"/>
    </row>
    <row r="17133" hidden="1">
      <c r="E17133" s="96"/>
    </row>
    <row r="17134" hidden="1">
      <c r="E17134" s="96"/>
    </row>
    <row r="17135" hidden="1">
      <c r="E17135" s="96"/>
    </row>
    <row r="17136" hidden="1">
      <c r="E17136" s="96"/>
    </row>
    <row r="17137" hidden="1">
      <c r="E17137" s="96"/>
    </row>
    <row r="17138" hidden="1">
      <c r="E17138" s="96"/>
    </row>
    <row r="17139" hidden="1">
      <c r="E17139" s="96"/>
    </row>
    <row r="17140" hidden="1">
      <c r="E17140" s="96"/>
    </row>
    <row r="17141" hidden="1">
      <c r="E17141" s="96"/>
    </row>
    <row r="17142" hidden="1">
      <c r="E17142" s="96"/>
    </row>
    <row r="17143" hidden="1">
      <c r="E17143" s="96"/>
    </row>
    <row r="17144" hidden="1">
      <c r="E17144" s="96"/>
    </row>
    <row r="17145" hidden="1">
      <c r="E17145" s="96"/>
    </row>
    <row r="17146" hidden="1">
      <c r="E17146" s="96"/>
    </row>
    <row r="17147" hidden="1">
      <c r="E17147" s="96"/>
    </row>
    <row r="17148" hidden="1">
      <c r="E17148" s="96"/>
    </row>
    <row r="17149" hidden="1">
      <c r="E17149" s="96"/>
    </row>
    <row r="17150" hidden="1">
      <c r="E17150" s="96"/>
    </row>
    <row r="17151" hidden="1">
      <c r="E17151" s="96"/>
    </row>
    <row r="17152" hidden="1">
      <c r="E17152" s="96"/>
    </row>
    <row r="17153" hidden="1">
      <c r="E17153" s="96"/>
    </row>
    <row r="17154" hidden="1">
      <c r="E17154" s="96"/>
    </row>
    <row r="17155" hidden="1">
      <c r="E17155" s="96"/>
    </row>
    <row r="17156" hidden="1">
      <c r="E17156" s="96"/>
    </row>
    <row r="17157" hidden="1">
      <c r="E17157" s="96"/>
    </row>
    <row r="17158" hidden="1">
      <c r="E17158" s="96"/>
    </row>
    <row r="17159" hidden="1">
      <c r="E17159" s="96"/>
    </row>
    <row r="17160" hidden="1">
      <c r="E17160" s="96"/>
    </row>
    <row r="17161" hidden="1">
      <c r="E17161" s="96"/>
    </row>
    <row r="17162" hidden="1">
      <c r="E17162" s="96"/>
    </row>
    <row r="17163" hidden="1">
      <c r="E17163" s="96"/>
    </row>
    <row r="17164" hidden="1">
      <c r="E17164" s="96"/>
    </row>
    <row r="17165" hidden="1">
      <c r="E17165" s="96"/>
    </row>
    <row r="17166" hidden="1">
      <c r="E17166" s="96"/>
    </row>
    <row r="17167" hidden="1">
      <c r="E17167" s="96"/>
    </row>
    <row r="17168" hidden="1">
      <c r="E17168" s="96"/>
    </row>
    <row r="17169" hidden="1">
      <c r="E17169" s="96"/>
    </row>
    <row r="17170" hidden="1">
      <c r="E17170" s="96"/>
    </row>
    <row r="17171" hidden="1">
      <c r="E17171" s="96"/>
    </row>
    <row r="17172" hidden="1">
      <c r="E17172" s="96"/>
    </row>
    <row r="17173" hidden="1">
      <c r="E17173" s="96"/>
    </row>
    <row r="17174" hidden="1">
      <c r="E17174" s="96"/>
    </row>
    <row r="17175" hidden="1">
      <c r="E17175" s="96"/>
    </row>
    <row r="17176" hidden="1">
      <c r="E17176" s="96"/>
    </row>
    <row r="17177" hidden="1">
      <c r="E17177" s="96"/>
    </row>
    <row r="17178" hidden="1">
      <c r="E17178" s="96"/>
    </row>
    <row r="17179" hidden="1">
      <c r="E17179" s="96"/>
    </row>
    <row r="17180" hidden="1">
      <c r="E17180" s="96"/>
    </row>
    <row r="17181" hidden="1">
      <c r="E17181" s="96"/>
    </row>
    <row r="17182" hidden="1">
      <c r="E17182" s="96"/>
    </row>
    <row r="17183" hidden="1">
      <c r="E17183" s="96"/>
    </row>
    <row r="17184" hidden="1">
      <c r="E17184" s="96"/>
    </row>
    <row r="17185" hidden="1">
      <c r="E17185" s="96"/>
    </row>
    <row r="17186" hidden="1">
      <c r="E17186" s="96"/>
    </row>
    <row r="17187" hidden="1">
      <c r="E17187" s="96"/>
    </row>
    <row r="17188" hidden="1">
      <c r="E17188" s="96"/>
    </row>
    <row r="17189" hidden="1">
      <c r="E17189" s="96"/>
    </row>
    <row r="17190" hidden="1">
      <c r="E17190" s="96"/>
    </row>
    <row r="17191" hidden="1">
      <c r="E17191" s="96"/>
    </row>
    <row r="17192" hidden="1">
      <c r="E17192" s="96"/>
    </row>
    <row r="17193" hidden="1">
      <c r="E17193" s="96"/>
    </row>
    <row r="17194" hidden="1">
      <c r="E17194" s="96"/>
    </row>
    <row r="17195" hidden="1">
      <c r="E17195" s="96"/>
    </row>
    <row r="17196" hidden="1">
      <c r="E17196" s="96"/>
    </row>
    <row r="17197" hidden="1">
      <c r="E17197" s="96"/>
    </row>
    <row r="17198" hidden="1">
      <c r="E17198" s="96"/>
    </row>
    <row r="17199" hidden="1">
      <c r="E17199" s="96"/>
    </row>
    <row r="17200" hidden="1">
      <c r="E17200" s="96"/>
    </row>
    <row r="17201" hidden="1">
      <c r="E17201" s="96"/>
    </row>
    <row r="17202" hidden="1">
      <c r="E17202" s="96"/>
    </row>
    <row r="17203" hidden="1">
      <c r="E17203" s="96"/>
    </row>
    <row r="17204" hidden="1">
      <c r="E17204" s="96"/>
    </row>
    <row r="17205" hidden="1">
      <c r="E17205" s="96"/>
    </row>
    <row r="17206" hidden="1">
      <c r="E17206" s="96"/>
    </row>
    <row r="17207" hidden="1">
      <c r="E17207" s="96"/>
    </row>
    <row r="17208" hidden="1">
      <c r="E17208" s="96"/>
    </row>
    <row r="17209" hidden="1">
      <c r="E17209" s="96"/>
    </row>
    <row r="17210" hidden="1">
      <c r="E17210" s="96"/>
    </row>
    <row r="17211" hidden="1">
      <c r="E17211" s="96"/>
    </row>
    <row r="17212" hidden="1">
      <c r="E17212" s="96"/>
    </row>
    <row r="17213" hidden="1">
      <c r="E17213" s="96"/>
    </row>
    <row r="17214" hidden="1">
      <c r="E17214" s="96"/>
    </row>
    <row r="17215" hidden="1">
      <c r="E17215" s="96"/>
    </row>
    <row r="17216" hidden="1">
      <c r="E17216" s="96"/>
    </row>
    <row r="17217" hidden="1">
      <c r="E17217" s="96"/>
    </row>
    <row r="17218" hidden="1">
      <c r="E17218" s="96"/>
    </row>
    <row r="17219" hidden="1">
      <c r="E17219" s="96"/>
    </row>
    <row r="17220" hidden="1">
      <c r="E17220" s="96"/>
    </row>
    <row r="17221" hidden="1">
      <c r="E17221" s="96"/>
    </row>
    <row r="17222" hidden="1">
      <c r="E17222" s="96"/>
    </row>
    <row r="17223" hidden="1">
      <c r="E17223" s="96"/>
    </row>
    <row r="17224" hidden="1">
      <c r="E17224" s="96"/>
    </row>
    <row r="17225" hidden="1">
      <c r="E17225" s="96"/>
    </row>
    <row r="17226" hidden="1">
      <c r="E17226" s="96"/>
    </row>
    <row r="17227" hidden="1">
      <c r="E17227" s="96"/>
    </row>
    <row r="17228" hidden="1">
      <c r="E17228" s="96"/>
    </row>
    <row r="17229" hidden="1">
      <c r="E17229" s="96"/>
    </row>
    <row r="17230" hidden="1">
      <c r="E17230" s="96"/>
    </row>
    <row r="17231" hidden="1">
      <c r="E17231" s="96"/>
    </row>
    <row r="17232" hidden="1">
      <c r="E17232" s="96"/>
    </row>
    <row r="17233" hidden="1">
      <c r="E17233" s="96"/>
    </row>
    <row r="17234" hidden="1">
      <c r="E17234" s="96"/>
    </row>
    <row r="17235" hidden="1">
      <c r="E17235" s="96"/>
    </row>
    <row r="17236" hidden="1">
      <c r="E17236" s="96"/>
    </row>
    <row r="17237" hidden="1">
      <c r="E17237" s="96"/>
    </row>
    <row r="17238" hidden="1">
      <c r="E17238" s="96"/>
    </row>
    <row r="17239" hidden="1">
      <c r="E17239" s="96"/>
    </row>
    <row r="17240" hidden="1">
      <c r="E17240" s="96"/>
    </row>
    <row r="17241" hidden="1">
      <c r="E17241" s="96"/>
    </row>
    <row r="17242" hidden="1">
      <c r="E17242" s="96"/>
    </row>
    <row r="17243" hidden="1">
      <c r="E17243" s="96"/>
    </row>
    <row r="17244" hidden="1">
      <c r="E17244" s="96"/>
    </row>
    <row r="17245" hidden="1">
      <c r="E17245" s="96"/>
    </row>
    <row r="17246" hidden="1">
      <c r="E17246" s="96"/>
    </row>
    <row r="17247" hidden="1">
      <c r="E17247" s="96"/>
    </row>
    <row r="17248" hidden="1">
      <c r="E17248" s="96"/>
    </row>
    <row r="17249" hidden="1">
      <c r="E17249" s="96"/>
    </row>
    <row r="17250" hidden="1">
      <c r="E17250" s="96"/>
    </row>
    <row r="17251" hidden="1">
      <c r="E17251" s="96"/>
    </row>
    <row r="17252" hidden="1">
      <c r="E17252" s="96"/>
    </row>
    <row r="17253" hidden="1">
      <c r="E17253" s="96"/>
    </row>
    <row r="17254" hidden="1">
      <c r="E17254" s="96"/>
    </row>
    <row r="17255" hidden="1">
      <c r="E17255" s="96"/>
    </row>
    <row r="17256" hidden="1">
      <c r="E17256" s="96"/>
    </row>
    <row r="17257" hidden="1">
      <c r="E17257" s="96"/>
    </row>
    <row r="17258" hidden="1">
      <c r="E17258" s="96"/>
    </row>
    <row r="17259" hidden="1">
      <c r="E17259" s="96"/>
    </row>
    <row r="17260" hidden="1">
      <c r="E17260" s="96"/>
    </row>
    <row r="17261" hidden="1">
      <c r="E17261" s="96"/>
    </row>
    <row r="17262" hidden="1">
      <c r="E17262" s="96"/>
    </row>
    <row r="17263" hidden="1">
      <c r="E17263" s="96"/>
    </row>
    <row r="17264" hidden="1">
      <c r="E17264" s="96"/>
    </row>
    <row r="17265" hidden="1">
      <c r="E17265" s="96"/>
    </row>
    <row r="17266" hidden="1">
      <c r="E17266" s="96"/>
    </row>
    <row r="17267" hidden="1">
      <c r="E17267" s="96"/>
    </row>
    <row r="17268" hidden="1">
      <c r="E17268" s="96"/>
    </row>
    <row r="17269" hidden="1">
      <c r="E17269" s="96"/>
    </row>
    <row r="17270" hidden="1">
      <c r="E17270" s="96"/>
    </row>
    <row r="17271" hidden="1">
      <c r="E17271" s="96"/>
    </row>
    <row r="17272" hidden="1">
      <c r="E17272" s="96"/>
    </row>
    <row r="17273" hidden="1">
      <c r="E17273" s="96"/>
    </row>
    <row r="17274" hidden="1">
      <c r="E17274" s="96"/>
    </row>
    <row r="17275" hidden="1">
      <c r="E17275" s="96"/>
    </row>
    <row r="17276" hidden="1">
      <c r="E17276" s="96"/>
    </row>
    <row r="17277" hidden="1">
      <c r="E17277" s="96"/>
    </row>
    <row r="17278" hidden="1">
      <c r="E17278" s="96"/>
    </row>
    <row r="17279" hidden="1">
      <c r="E17279" s="96"/>
    </row>
    <row r="17280" hidden="1">
      <c r="E17280" s="96"/>
    </row>
    <row r="17281" hidden="1">
      <c r="E17281" s="96"/>
    </row>
    <row r="17282" hidden="1">
      <c r="E17282" s="96"/>
    </row>
    <row r="17283" hidden="1">
      <c r="E17283" s="96"/>
    </row>
    <row r="17284" hidden="1">
      <c r="E17284" s="96"/>
    </row>
    <row r="17285" hidden="1">
      <c r="E17285" s="96"/>
    </row>
    <row r="17286" hidden="1">
      <c r="E17286" s="96"/>
    </row>
    <row r="17287" hidden="1">
      <c r="E17287" s="96"/>
    </row>
    <row r="17288" hidden="1">
      <c r="E17288" s="96"/>
    </row>
    <row r="17289" hidden="1">
      <c r="E17289" s="96"/>
    </row>
    <row r="17290" hidden="1">
      <c r="E17290" s="96"/>
    </row>
    <row r="17291" hidden="1">
      <c r="E17291" s="96"/>
    </row>
    <row r="17292" hidden="1">
      <c r="E17292" s="96"/>
    </row>
    <row r="17293" hidden="1">
      <c r="E17293" s="96"/>
    </row>
    <row r="17294" hidden="1">
      <c r="E17294" s="96"/>
    </row>
    <row r="17295" hidden="1">
      <c r="E17295" s="96"/>
    </row>
    <row r="17296" hidden="1">
      <c r="E17296" s="96"/>
    </row>
    <row r="17297" hidden="1">
      <c r="E17297" s="96"/>
    </row>
    <row r="17298" hidden="1">
      <c r="E17298" s="96"/>
    </row>
    <row r="17299" hidden="1">
      <c r="E17299" s="96"/>
    </row>
    <row r="17300" hidden="1">
      <c r="E17300" s="96"/>
    </row>
    <row r="17301" hidden="1">
      <c r="E17301" s="96"/>
    </row>
    <row r="17302" hidden="1">
      <c r="E17302" s="96"/>
    </row>
    <row r="17303" hidden="1">
      <c r="E17303" s="96"/>
    </row>
    <row r="17304" hidden="1">
      <c r="E17304" s="96"/>
    </row>
    <row r="17305" hidden="1">
      <c r="E17305" s="96"/>
    </row>
    <row r="17306" hidden="1">
      <c r="E17306" s="96"/>
    </row>
    <row r="17307" hidden="1">
      <c r="E17307" s="96"/>
    </row>
    <row r="17308" hidden="1">
      <c r="E17308" s="96"/>
    </row>
    <row r="17309" hidden="1">
      <c r="E17309" s="96"/>
    </row>
    <row r="17310" hidden="1">
      <c r="E17310" s="96"/>
    </row>
    <row r="17311" hidden="1">
      <c r="E17311" s="96"/>
    </row>
    <row r="17312" hidden="1">
      <c r="E17312" s="96"/>
    </row>
    <row r="17313" hidden="1">
      <c r="E17313" s="96"/>
    </row>
    <row r="17314" hidden="1">
      <c r="E17314" s="96"/>
    </row>
    <row r="17315" hidden="1">
      <c r="E17315" s="96"/>
    </row>
    <row r="17316" hidden="1">
      <c r="E17316" s="96"/>
    </row>
    <row r="17317" hidden="1">
      <c r="E17317" s="96"/>
    </row>
    <row r="17318" hidden="1">
      <c r="E17318" s="96"/>
    </row>
    <row r="17319" hidden="1">
      <c r="E17319" s="96"/>
    </row>
    <row r="17320" hidden="1">
      <c r="E17320" s="96"/>
    </row>
    <row r="17321" hidden="1">
      <c r="E17321" s="96"/>
    </row>
    <row r="17322" hidden="1">
      <c r="E17322" s="96"/>
    </row>
    <row r="17323" hidden="1">
      <c r="E17323" s="96"/>
    </row>
    <row r="17324" hidden="1">
      <c r="E17324" s="96"/>
    </row>
    <row r="17325" hidden="1">
      <c r="E17325" s="96"/>
    </row>
    <row r="17326" hidden="1">
      <c r="E17326" s="96"/>
    </row>
    <row r="17327" hidden="1">
      <c r="E17327" s="96"/>
    </row>
    <row r="17328" hidden="1">
      <c r="E17328" s="96"/>
    </row>
    <row r="17329" hidden="1">
      <c r="E17329" s="96"/>
    </row>
    <row r="17330" hidden="1">
      <c r="E17330" s="96"/>
    </row>
    <row r="17331" hidden="1">
      <c r="E17331" s="96"/>
    </row>
    <row r="17332" hidden="1">
      <c r="E17332" s="96"/>
    </row>
    <row r="17333" hidden="1">
      <c r="E17333" s="96"/>
    </row>
    <row r="17334" hidden="1">
      <c r="E17334" s="96"/>
    </row>
    <row r="17335" hidden="1">
      <c r="E17335" s="96"/>
    </row>
    <row r="17336" hidden="1">
      <c r="E17336" s="96"/>
    </row>
    <row r="17337" hidden="1">
      <c r="E17337" s="96"/>
    </row>
    <row r="17338" hidden="1">
      <c r="E17338" s="96"/>
    </row>
    <row r="17339" hidden="1">
      <c r="E17339" s="96"/>
    </row>
    <row r="17340" hidden="1">
      <c r="E17340" s="96"/>
    </row>
    <row r="17341" hidden="1">
      <c r="E17341" s="96"/>
    </row>
    <row r="17342" hidden="1">
      <c r="E17342" s="96"/>
    </row>
    <row r="17343" hidden="1">
      <c r="E17343" s="96"/>
    </row>
    <row r="17344" hidden="1">
      <c r="E17344" s="96"/>
    </row>
    <row r="17345" hidden="1">
      <c r="E17345" s="96"/>
    </row>
    <row r="17346" hidden="1">
      <c r="E17346" s="96"/>
    </row>
    <row r="17347" hidden="1">
      <c r="E17347" s="96"/>
    </row>
    <row r="17348" hidden="1">
      <c r="E17348" s="96"/>
    </row>
    <row r="17349" hidden="1">
      <c r="E17349" s="96"/>
    </row>
    <row r="17350" hidden="1">
      <c r="E17350" s="96"/>
    </row>
    <row r="17351" hidden="1">
      <c r="E17351" s="96"/>
    </row>
    <row r="17352" hidden="1">
      <c r="E17352" s="96"/>
    </row>
    <row r="17353" hidden="1">
      <c r="E17353" s="96"/>
    </row>
    <row r="17354" hidden="1">
      <c r="E17354" s="96"/>
    </row>
    <row r="17355" hidden="1">
      <c r="E17355" s="96"/>
    </row>
    <row r="17356" hidden="1">
      <c r="E17356" s="96"/>
    </row>
    <row r="17357" hidden="1">
      <c r="E17357" s="96"/>
    </row>
    <row r="17358" hidden="1">
      <c r="E17358" s="96"/>
    </row>
    <row r="17359" hidden="1">
      <c r="E17359" s="96"/>
    </row>
    <row r="17360" hidden="1">
      <c r="E17360" s="96"/>
    </row>
    <row r="17361" hidden="1">
      <c r="E17361" s="96"/>
    </row>
    <row r="17362" hidden="1">
      <c r="E17362" s="96"/>
    </row>
    <row r="17363" hidden="1">
      <c r="E17363" s="96"/>
    </row>
    <row r="17364" hidden="1">
      <c r="E17364" s="96"/>
    </row>
    <row r="17365" hidden="1">
      <c r="E17365" s="96"/>
    </row>
    <row r="17366" hidden="1">
      <c r="E17366" s="96"/>
    </row>
    <row r="17367" hidden="1">
      <c r="E17367" s="96"/>
    </row>
    <row r="17368" hidden="1">
      <c r="E17368" s="96"/>
    </row>
    <row r="17369" hidden="1">
      <c r="E17369" s="96"/>
    </row>
    <row r="17370" hidden="1">
      <c r="E17370" s="96"/>
    </row>
    <row r="17371" hidden="1">
      <c r="E17371" s="96"/>
    </row>
    <row r="17372" hidden="1">
      <c r="E17372" s="96"/>
    </row>
    <row r="17373" hidden="1">
      <c r="E17373" s="96"/>
    </row>
    <row r="17374" hidden="1">
      <c r="E17374" s="96"/>
    </row>
    <row r="17375" hidden="1">
      <c r="E17375" s="96"/>
    </row>
    <row r="17376" hidden="1">
      <c r="E17376" s="96"/>
    </row>
    <row r="17377" hidden="1">
      <c r="E17377" s="96"/>
    </row>
    <row r="17378" hidden="1">
      <c r="E17378" s="96"/>
    </row>
    <row r="17379" hidden="1">
      <c r="E17379" s="96"/>
    </row>
    <row r="17380" hidden="1">
      <c r="E17380" s="96"/>
    </row>
    <row r="17381" hidden="1">
      <c r="E17381" s="96"/>
    </row>
    <row r="17382" hidden="1">
      <c r="E17382" s="96"/>
    </row>
    <row r="17383" hidden="1">
      <c r="E17383" s="96"/>
    </row>
    <row r="17384" hidden="1">
      <c r="E17384" s="96"/>
    </row>
    <row r="17385" hidden="1">
      <c r="E17385" s="96"/>
    </row>
    <row r="17386" hidden="1">
      <c r="E17386" s="96"/>
    </row>
    <row r="17387" hidden="1">
      <c r="E17387" s="96"/>
    </row>
    <row r="17388" hidden="1">
      <c r="E17388" s="96"/>
    </row>
    <row r="17389" hidden="1">
      <c r="E17389" s="96"/>
    </row>
    <row r="17390" hidden="1">
      <c r="E17390" s="96"/>
    </row>
    <row r="17391" hidden="1">
      <c r="E17391" s="96"/>
    </row>
    <row r="17392" hidden="1">
      <c r="E17392" s="96"/>
    </row>
    <row r="17393" hidden="1">
      <c r="E17393" s="96"/>
    </row>
    <row r="17394" hidden="1">
      <c r="E17394" s="96"/>
    </row>
    <row r="17395" hidden="1">
      <c r="E17395" s="96"/>
    </row>
    <row r="17396" hidden="1">
      <c r="E17396" s="96"/>
    </row>
    <row r="17397" hidden="1">
      <c r="E17397" s="96"/>
    </row>
    <row r="17398" hidden="1">
      <c r="E17398" s="96"/>
    </row>
    <row r="17399" hidden="1">
      <c r="E17399" s="96"/>
    </row>
    <row r="17400" hidden="1">
      <c r="E17400" s="96"/>
    </row>
    <row r="17401" hidden="1">
      <c r="E17401" s="96"/>
    </row>
    <row r="17402" hidden="1">
      <c r="E17402" s="96"/>
    </row>
    <row r="17403" hidden="1">
      <c r="E17403" s="96"/>
    </row>
    <row r="17404" hidden="1">
      <c r="E17404" s="96"/>
    </row>
    <row r="17405" hidden="1">
      <c r="E17405" s="96"/>
    </row>
    <row r="17406" hidden="1">
      <c r="E17406" s="96"/>
    </row>
    <row r="17407" hidden="1">
      <c r="E17407" s="96"/>
    </row>
    <row r="17408" hidden="1">
      <c r="E17408" s="96"/>
    </row>
    <row r="17409" hidden="1">
      <c r="E17409" s="96"/>
    </row>
    <row r="17410" hidden="1">
      <c r="E17410" s="96"/>
    </row>
    <row r="17411" hidden="1">
      <c r="E17411" s="96"/>
    </row>
    <row r="17412" hidden="1">
      <c r="E17412" s="96"/>
    </row>
    <row r="17413" hidden="1">
      <c r="E17413" s="96"/>
    </row>
    <row r="17414" hidden="1">
      <c r="E17414" s="96"/>
    </row>
    <row r="17415" hidden="1">
      <c r="E17415" s="96"/>
    </row>
    <row r="17416" hidden="1">
      <c r="E17416" s="96"/>
    </row>
    <row r="17417" hidden="1">
      <c r="E17417" s="96"/>
    </row>
    <row r="17418" hidden="1">
      <c r="E17418" s="96"/>
    </row>
    <row r="17419" hidden="1">
      <c r="E17419" s="96"/>
    </row>
    <row r="17420" hidden="1">
      <c r="E17420" s="96"/>
    </row>
    <row r="17421" hidden="1">
      <c r="E17421" s="96"/>
    </row>
    <row r="17422" hidden="1">
      <c r="E17422" s="96"/>
    </row>
    <row r="17423" hidden="1">
      <c r="E17423" s="96"/>
    </row>
    <row r="17424" hidden="1">
      <c r="E17424" s="96"/>
    </row>
    <row r="17425" hidden="1">
      <c r="E17425" s="96"/>
    </row>
    <row r="17426" hidden="1">
      <c r="E17426" s="96"/>
    </row>
    <row r="17427" hidden="1">
      <c r="E17427" s="96"/>
    </row>
    <row r="17428" hidden="1">
      <c r="E17428" s="96"/>
    </row>
    <row r="17429" hidden="1">
      <c r="E17429" s="96"/>
    </row>
    <row r="17430" hidden="1">
      <c r="E17430" s="96"/>
    </row>
    <row r="17431" hidden="1">
      <c r="E17431" s="96"/>
    </row>
    <row r="17432" hidden="1">
      <c r="E17432" s="96"/>
    </row>
    <row r="17433" hidden="1">
      <c r="E17433" s="96"/>
    </row>
    <row r="17434" hidden="1">
      <c r="E17434" s="96"/>
    </row>
    <row r="17435" hidden="1">
      <c r="E17435" s="96"/>
    </row>
    <row r="17436" hidden="1">
      <c r="E17436" s="96"/>
    </row>
    <row r="17437" hidden="1">
      <c r="E17437" s="96"/>
    </row>
    <row r="17438" hidden="1">
      <c r="E17438" s="96"/>
    </row>
    <row r="17439" hidden="1">
      <c r="E17439" s="96"/>
    </row>
    <row r="17440" hidden="1">
      <c r="E17440" s="96"/>
    </row>
    <row r="17441" hidden="1">
      <c r="E17441" s="96"/>
    </row>
    <row r="17442" hidden="1">
      <c r="E17442" s="96"/>
    </row>
    <row r="17443" hidden="1">
      <c r="E17443" s="96"/>
    </row>
    <row r="17444" hidden="1">
      <c r="E17444" s="96"/>
    </row>
    <row r="17445" hidden="1">
      <c r="E17445" s="96"/>
    </row>
    <row r="17446" hidden="1">
      <c r="E17446" s="96"/>
    </row>
    <row r="17447" hidden="1">
      <c r="E17447" s="96"/>
    </row>
    <row r="17448" hidden="1">
      <c r="E17448" s="96"/>
    </row>
    <row r="17449" hidden="1">
      <c r="E17449" s="96"/>
    </row>
    <row r="17450" hidden="1">
      <c r="E17450" s="96"/>
    </row>
    <row r="17451" hidden="1">
      <c r="E17451" s="96"/>
    </row>
    <row r="17452" hidden="1">
      <c r="E17452" s="96"/>
    </row>
    <row r="17453" hidden="1">
      <c r="E17453" s="96"/>
    </row>
    <row r="17454" hidden="1">
      <c r="E17454" s="96"/>
    </row>
    <row r="17455" hidden="1">
      <c r="E17455" s="96"/>
    </row>
    <row r="17456" hidden="1">
      <c r="E17456" s="96"/>
    </row>
    <row r="17457" hidden="1">
      <c r="E17457" s="96"/>
    </row>
    <row r="17458" hidden="1">
      <c r="E17458" s="96"/>
    </row>
    <row r="17459" hidden="1">
      <c r="E17459" s="96"/>
    </row>
    <row r="17460" hidden="1">
      <c r="E17460" s="96"/>
    </row>
    <row r="17461" hidden="1">
      <c r="E17461" s="96"/>
    </row>
    <row r="17462" hidden="1">
      <c r="E17462" s="96"/>
    </row>
    <row r="17463" hidden="1">
      <c r="E17463" s="96"/>
    </row>
    <row r="17464" hidden="1">
      <c r="E17464" s="96"/>
    </row>
    <row r="17465" hidden="1">
      <c r="E17465" s="96"/>
    </row>
    <row r="17466" hidden="1">
      <c r="E17466" s="96"/>
    </row>
    <row r="17467" hidden="1">
      <c r="E17467" s="96"/>
    </row>
    <row r="17468" hidden="1">
      <c r="E17468" s="96"/>
    </row>
    <row r="17469" hidden="1">
      <c r="E17469" s="96"/>
    </row>
    <row r="17470" hidden="1">
      <c r="E17470" s="96"/>
    </row>
    <row r="17471" hidden="1">
      <c r="E17471" s="96"/>
    </row>
    <row r="17472" hidden="1">
      <c r="E17472" s="96"/>
    </row>
    <row r="17473" hidden="1">
      <c r="E17473" s="96"/>
    </row>
    <row r="17474" hidden="1">
      <c r="E17474" s="96"/>
    </row>
    <row r="17475" hidden="1">
      <c r="E17475" s="96"/>
    </row>
    <row r="17476" hidden="1">
      <c r="E17476" s="96"/>
    </row>
    <row r="17477" hidden="1">
      <c r="E17477" s="96"/>
    </row>
    <row r="17478" hidden="1">
      <c r="E17478" s="96"/>
    </row>
    <row r="17479" hidden="1">
      <c r="E17479" s="96"/>
    </row>
    <row r="17480" hidden="1">
      <c r="E17480" s="96"/>
    </row>
    <row r="17481" hidden="1">
      <c r="E17481" s="96"/>
    </row>
    <row r="17482" hidden="1">
      <c r="E17482" s="96"/>
    </row>
    <row r="17483" hidden="1">
      <c r="E17483" s="96"/>
    </row>
    <row r="17484" hidden="1">
      <c r="E17484" s="96"/>
    </row>
    <row r="17485" hidden="1">
      <c r="E17485" s="96"/>
    </row>
    <row r="17486" hidden="1">
      <c r="E17486" s="96"/>
    </row>
    <row r="17487" hidden="1">
      <c r="E17487" s="96"/>
    </row>
    <row r="17488" hidden="1">
      <c r="E17488" s="96"/>
    </row>
    <row r="17489" hidden="1">
      <c r="E17489" s="96"/>
    </row>
    <row r="17490" hidden="1">
      <c r="E17490" s="96"/>
    </row>
    <row r="17491" hidden="1">
      <c r="E17491" s="96"/>
    </row>
    <row r="17492" hidden="1">
      <c r="E17492" s="96"/>
    </row>
    <row r="17493" hidden="1">
      <c r="E17493" s="96"/>
    </row>
    <row r="17494" hidden="1">
      <c r="E17494" s="96"/>
    </row>
    <row r="17495" hidden="1">
      <c r="E17495" s="96"/>
    </row>
    <row r="17496" hidden="1">
      <c r="E17496" s="96"/>
    </row>
    <row r="17497" hidden="1">
      <c r="E17497" s="96"/>
    </row>
    <row r="17498" hidden="1">
      <c r="E17498" s="96"/>
    </row>
    <row r="17499" hidden="1">
      <c r="E17499" s="96"/>
    </row>
    <row r="17500" hidden="1">
      <c r="E17500" s="96"/>
    </row>
    <row r="17501" hidden="1">
      <c r="E17501" s="96"/>
    </row>
    <row r="17502" hidden="1">
      <c r="E17502" s="96"/>
    </row>
    <row r="17503" hidden="1">
      <c r="E17503" s="96"/>
    </row>
    <row r="17504" hidden="1">
      <c r="E17504" s="96"/>
    </row>
    <row r="17505" hidden="1">
      <c r="E17505" s="96"/>
    </row>
    <row r="17506" hidden="1">
      <c r="E17506" s="96"/>
    </row>
    <row r="17507" hidden="1">
      <c r="E17507" s="96"/>
    </row>
    <row r="17508" hidden="1">
      <c r="E17508" s="96"/>
    </row>
    <row r="17509" hidden="1">
      <c r="E17509" s="96"/>
    </row>
    <row r="17510" hidden="1">
      <c r="E17510" s="96"/>
    </row>
    <row r="17511" hidden="1">
      <c r="E17511" s="96"/>
    </row>
    <row r="17512" hidden="1">
      <c r="E17512" s="96"/>
    </row>
    <row r="17513" hidden="1">
      <c r="E17513" s="96"/>
    </row>
    <row r="17514" hidden="1">
      <c r="E17514" s="96"/>
    </row>
    <row r="17515" hidden="1">
      <c r="E17515" s="96"/>
    </row>
    <row r="17516" hidden="1">
      <c r="E17516" s="96"/>
    </row>
    <row r="17517" hidden="1">
      <c r="E17517" s="96"/>
    </row>
    <row r="17518" hidden="1">
      <c r="E17518" s="96"/>
    </row>
    <row r="17519" hidden="1">
      <c r="E17519" s="96"/>
    </row>
    <row r="17520" hidden="1">
      <c r="E17520" s="96"/>
    </row>
    <row r="17521" hidden="1">
      <c r="E17521" s="96"/>
    </row>
    <row r="17522" hidden="1">
      <c r="E17522" s="96"/>
    </row>
    <row r="17523" hidden="1">
      <c r="E17523" s="96"/>
    </row>
    <row r="17524" hidden="1">
      <c r="E17524" s="96"/>
    </row>
    <row r="17525" hidden="1">
      <c r="E17525" s="96"/>
    </row>
    <row r="17526" hidden="1">
      <c r="E17526" s="96"/>
    </row>
    <row r="17527" hidden="1">
      <c r="E17527" s="96"/>
    </row>
    <row r="17528" hidden="1">
      <c r="E17528" s="96"/>
    </row>
    <row r="17529" hidden="1">
      <c r="E17529" s="96"/>
    </row>
    <row r="17530" hidden="1">
      <c r="E17530" s="96"/>
    </row>
    <row r="17531" hidden="1">
      <c r="E17531" s="96"/>
    </row>
    <row r="17532" hidden="1">
      <c r="E17532" s="96"/>
    </row>
    <row r="17533" hidden="1">
      <c r="E17533" s="96"/>
    </row>
    <row r="17534" hidden="1">
      <c r="E17534" s="96"/>
    </row>
    <row r="17535" hidden="1">
      <c r="E17535" s="96"/>
    </row>
    <row r="17536" hidden="1">
      <c r="E17536" s="96"/>
    </row>
    <row r="17537" hidden="1">
      <c r="E17537" s="96"/>
    </row>
    <row r="17538" hidden="1">
      <c r="E17538" s="96"/>
    </row>
    <row r="17539" hidden="1">
      <c r="E17539" s="96"/>
    </row>
    <row r="17540" hidden="1">
      <c r="E17540" s="96"/>
    </row>
    <row r="17541" hidden="1">
      <c r="E17541" s="96"/>
    </row>
    <row r="17542" hidden="1">
      <c r="E17542" s="96"/>
    </row>
    <row r="17543" hidden="1">
      <c r="E17543" s="96"/>
    </row>
    <row r="17544" hidden="1">
      <c r="E17544" s="96"/>
    </row>
    <row r="17545" hidden="1">
      <c r="E17545" s="96"/>
    </row>
    <row r="17546" hidden="1">
      <c r="E17546" s="96"/>
    </row>
    <row r="17547" hidden="1">
      <c r="E17547" s="96"/>
    </row>
    <row r="17548" hidden="1">
      <c r="E17548" s="96"/>
    </row>
    <row r="17549" hidden="1">
      <c r="E17549" s="96"/>
    </row>
    <row r="17550" hidden="1">
      <c r="E17550" s="96"/>
    </row>
    <row r="17551" hidden="1">
      <c r="E17551" s="96"/>
    </row>
    <row r="17552" hidden="1">
      <c r="E17552" s="96"/>
    </row>
    <row r="17553" hidden="1">
      <c r="E17553" s="96"/>
    </row>
    <row r="17554" hidden="1">
      <c r="E17554" s="96"/>
    </row>
    <row r="17555" hidden="1">
      <c r="E17555" s="96"/>
    </row>
    <row r="17556" hidden="1">
      <c r="E17556" s="96"/>
    </row>
    <row r="17557" hidden="1">
      <c r="E17557" s="96"/>
    </row>
    <row r="17558" hidden="1">
      <c r="E17558" s="96"/>
    </row>
    <row r="17559" hidden="1">
      <c r="E17559" s="96"/>
    </row>
    <row r="17560" hidden="1">
      <c r="E17560" s="96"/>
    </row>
    <row r="17561" hidden="1">
      <c r="E17561" s="96"/>
    </row>
    <row r="17562" hidden="1">
      <c r="E17562" s="96"/>
    </row>
    <row r="17563" hidden="1">
      <c r="E17563" s="96"/>
    </row>
    <row r="17564" hidden="1">
      <c r="E17564" s="96"/>
    </row>
    <row r="17565" hidden="1">
      <c r="E17565" s="96"/>
    </row>
    <row r="17566" hidden="1">
      <c r="E17566" s="96"/>
    </row>
    <row r="17567" hidden="1">
      <c r="E17567" s="96"/>
    </row>
    <row r="17568" hidden="1">
      <c r="E17568" s="96"/>
    </row>
    <row r="17569" hidden="1">
      <c r="E17569" s="96"/>
    </row>
    <row r="17570" hidden="1">
      <c r="E17570" s="96"/>
    </row>
    <row r="17571" hidden="1">
      <c r="E17571" s="96"/>
    </row>
    <row r="17572" hidden="1">
      <c r="E17572" s="96"/>
    </row>
    <row r="17573" hidden="1">
      <c r="E17573" s="96"/>
    </row>
    <row r="17574" hidden="1">
      <c r="E17574" s="96"/>
    </row>
    <row r="17575" hidden="1">
      <c r="E17575" s="96"/>
    </row>
    <row r="17576" hidden="1">
      <c r="E17576" s="96"/>
    </row>
    <row r="17577" hidden="1">
      <c r="E17577" s="96"/>
    </row>
    <row r="17578" hidden="1">
      <c r="E17578" s="96"/>
    </row>
    <row r="17579" hidden="1">
      <c r="E17579" s="96"/>
    </row>
    <row r="17580" hidden="1">
      <c r="E17580" s="96"/>
    </row>
    <row r="17581" hidden="1">
      <c r="E17581" s="96"/>
    </row>
    <row r="17582" hidden="1">
      <c r="E17582" s="96"/>
    </row>
    <row r="17583" hidden="1">
      <c r="E17583" s="96"/>
    </row>
    <row r="17584" hidden="1">
      <c r="E17584" s="96"/>
    </row>
    <row r="17585" hidden="1">
      <c r="E17585" s="96"/>
    </row>
    <row r="17586" hidden="1">
      <c r="E17586" s="96"/>
    </row>
    <row r="17587" hidden="1">
      <c r="E17587" s="96"/>
    </row>
    <row r="17588" hidden="1">
      <c r="E17588" s="96"/>
    </row>
    <row r="17589" hidden="1">
      <c r="E17589" s="96"/>
    </row>
    <row r="17590" hidden="1">
      <c r="E17590" s="96"/>
    </row>
    <row r="17591" hidden="1">
      <c r="E17591" s="96"/>
    </row>
    <row r="17592" hidden="1">
      <c r="E17592" s="96"/>
    </row>
    <row r="17593" hidden="1">
      <c r="E17593" s="96"/>
    </row>
    <row r="17594" hidden="1">
      <c r="E17594" s="96"/>
    </row>
    <row r="17595" hidden="1">
      <c r="E17595" s="96"/>
    </row>
    <row r="17596" hidden="1">
      <c r="E17596" s="96"/>
    </row>
    <row r="17597" hidden="1">
      <c r="E17597" s="96"/>
    </row>
    <row r="17598" hidden="1">
      <c r="E17598" s="96"/>
    </row>
    <row r="17599" hidden="1">
      <c r="E17599" s="96"/>
    </row>
    <row r="17600" hidden="1">
      <c r="E17600" s="96"/>
    </row>
    <row r="17601" hidden="1">
      <c r="E17601" s="96"/>
    </row>
    <row r="17602" hidden="1">
      <c r="E17602" s="96"/>
    </row>
    <row r="17603" hidden="1">
      <c r="E17603" s="96"/>
    </row>
    <row r="17604" hidden="1">
      <c r="E17604" s="96"/>
    </row>
    <row r="17605" hidden="1">
      <c r="E17605" s="96"/>
    </row>
    <row r="17606" hidden="1">
      <c r="E17606" s="96"/>
    </row>
    <row r="17607" hidden="1">
      <c r="E17607" s="96"/>
    </row>
    <row r="17608" hidden="1">
      <c r="E17608" s="96"/>
    </row>
    <row r="17609" hidden="1">
      <c r="E17609" s="96"/>
    </row>
    <row r="17610" hidden="1">
      <c r="E17610" s="96"/>
    </row>
    <row r="17611" hidden="1">
      <c r="E17611" s="96"/>
    </row>
    <row r="17612" hidden="1">
      <c r="E17612" s="96"/>
    </row>
    <row r="17613" hidden="1">
      <c r="E17613" s="96"/>
    </row>
    <row r="17614" hidden="1">
      <c r="E17614" s="96"/>
    </row>
    <row r="17615" hidden="1">
      <c r="E17615" s="96"/>
    </row>
    <row r="17616" hidden="1">
      <c r="E17616" s="96"/>
    </row>
    <row r="17617" hidden="1">
      <c r="E17617" s="96"/>
    </row>
    <row r="17618" hidden="1">
      <c r="E17618" s="96"/>
    </row>
    <row r="17619" hidden="1">
      <c r="E17619" s="96"/>
    </row>
    <row r="17620" hidden="1">
      <c r="E17620" s="96"/>
    </row>
    <row r="17621" hidden="1">
      <c r="E17621" s="96"/>
    </row>
    <row r="17622" hidden="1">
      <c r="E17622" s="96"/>
    </row>
    <row r="17623" hidden="1">
      <c r="E17623" s="96"/>
    </row>
    <row r="17624" hidden="1">
      <c r="E17624" s="96"/>
    </row>
    <row r="17625" hidden="1">
      <c r="E17625" s="96"/>
    </row>
    <row r="17626" hidden="1">
      <c r="E17626" s="96"/>
    </row>
    <row r="17627" hidden="1">
      <c r="E17627" s="96"/>
    </row>
    <row r="17628" hidden="1">
      <c r="E17628" s="96"/>
    </row>
    <row r="17629" hidden="1">
      <c r="E17629" s="96"/>
    </row>
    <row r="17630" hidden="1">
      <c r="E17630" s="96"/>
    </row>
    <row r="17631" hidden="1">
      <c r="E17631" s="96"/>
    </row>
    <row r="17632" hidden="1">
      <c r="E17632" s="96"/>
    </row>
    <row r="17633" hidden="1">
      <c r="E17633" s="96"/>
    </row>
    <row r="17634" hidden="1">
      <c r="E17634" s="96"/>
    </row>
    <row r="17635" hidden="1">
      <c r="E17635" s="96"/>
    </row>
    <row r="17636" hidden="1">
      <c r="E17636" s="96"/>
    </row>
    <row r="17637" hidden="1">
      <c r="E17637" s="96"/>
    </row>
    <row r="17638" hidden="1">
      <c r="E17638" s="96"/>
    </row>
    <row r="17639" hidden="1">
      <c r="E17639" s="96"/>
    </row>
    <row r="17640" hidden="1">
      <c r="E17640" s="96"/>
    </row>
    <row r="17641" hidden="1">
      <c r="E17641" s="96"/>
    </row>
    <row r="17642" hidden="1">
      <c r="E17642" s="96"/>
    </row>
    <row r="17643" hidden="1">
      <c r="E17643" s="96"/>
    </row>
    <row r="17644" hidden="1">
      <c r="E17644" s="96"/>
    </row>
    <row r="17645" hidden="1">
      <c r="E17645" s="96"/>
    </row>
    <row r="17646" hidden="1">
      <c r="E17646" s="96"/>
    </row>
    <row r="17647" hidden="1">
      <c r="E17647" s="96"/>
    </row>
    <row r="17648" hidden="1">
      <c r="E17648" s="96"/>
    </row>
    <row r="17649" hidden="1">
      <c r="E17649" s="96"/>
    </row>
    <row r="17650" hidden="1">
      <c r="E17650" s="96"/>
    </row>
    <row r="17651" hidden="1">
      <c r="E17651" s="96"/>
    </row>
    <row r="17652" hidden="1">
      <c r="E17652" s="96"/>
    </row>
    <row r="17653" hidden="1">
      <c r="E17653" s="96"/>
    </row>
    <row r="17654" hidden="1">
      <c r="E17654" s="96"/>
    </row>
    <row r="17655" hidden="1">
      <c r="E17655" s="96"/>
    </row>
    <row r="17656" hidden="1">
      <c r="E17656" s="96"/>
    </row>
    <row r="17657" hidden="1">
      <c r="E17657" s="96"/>
    </row>
    <row r="17658" hidden="1">
      <c r="E17658" s="96"/>
    </row>
    <row r="17659" hidden="1">
      <c r="E17659" s="96"/>
    </row>
    <row r="17660" hidden="1">
      <c r="E17660" s="96"/>
    </row>
    <row r="17661" hidden="1">
      <c r="E17661" s="96"/>
    </row>
    <row r="17662" hidden="1">
      <c r="E17662" s="96"/>
    </row>
    <row r="17663" hidden="1">
      <c r="E17663" s="96"/>
    </row>
    <row r="17664" hidden="1">
      <c r="E17664" s="96"/>
    </row>
    <row r="17665" hidden="1">
      <c r="E17665" s="96"/>
    </row>
    <row r="17666" hidden="1">
      <c r="E17666" s="96"/>
    </row>
    <row r="17667" hidden="1">
      <c r="E17667" s="96"/>
    </row>
    <row r="17668" hidden="1">
      <c r="E17668" s="96"/>
    </row>
    <row r="17669" hidden="1">
      <c r="E17669" s="96"/>
    </row>
    <row r="17670" hidden="1">
      <c r="E17670" s="96"/>
    </row>
    <row r="17671" hidden="1">
      <c r="E17671" s="96"/>
    </row>
    <row r="17672" hidden="1">
      <c r="E17672" s="96"/>
    </row>
    <row r="17673" hidden="1">
      <c r="E17673" s="96"/>
    </row>
    <row r="17674" hidden="1">
      <c r="E17674" s="96"/>
    </row>
    <row r="17675" hidden="1">
      <c r="E17675" s="96"/>
    </row>
    <row r="17676" hidden="1">
      <c r="E17676" s="96"/>
    </row>
    <row r="17677" hidden="1">
      <c r="E17677" s="96"/>
    </row>
    <row r="17678" hidden="1">
      <c r="E17678" s="96"/>
    </row>
    <row r="17679" hidden="1">
      <c r="E17679" s="96"/>
    </row>
    <row r="17680" hidden="1">
      <c r="E17680" s="96"/>
    </row>
    <row r="17681" hidden="1">
      <c r="E17681" s="96"/>
    </row>
    <row r="17682" hidden="1">
      <c r="E17682" s="96"/>
    </row>
    <row r="17683" hidden="1">
      <c r="E17683" s="96"/>
    </row>
    <row r="17684" hidden="1">
      <c r="E17684" s="96"/>
    </row>
    <row r="17685" hidden="1">
      <c r="E17685" s="96"/>
    </row>
    <row r="17686" hidden="1">
      <c r="E17686" s="96"/>
    </row>
    <row r="17687" hidden="1">
      <c r="E17687" s="96"/>
    </row>
    <row r="17688" hidden="1">
      <c r="E17688" s="96"/>
    </row>
    <row r="17689" hidden="1">
      <c r="E17689" s="96"/>
    </row>
    <row r="17690" hidden="1">
      <c r="E17690" s="96"/>
    </row>
    <row r="17691" hidden="1">
      <c r="E17691" s="96"/>
    </row>
    <row r="17692" hidden="1">
      <c r="E17692" s="96"/>
    </row>
    <row r="17693" hidden="1">
      <c r="E17693" s="96"/>
    </row>
    <row r="17694" hidden="1">
      <c r="E17694" s="96"/>
    </row>
    <row r="17695" hidden="1">
      <c r="E17695" s="96"/>
    </row>
    <row r="17696" hidden="1">
      <c r="E17696" s="96"/>
    </row>
    <row r="17697" hidden="1">
      <c r="E17697" s="96"/>
    </row>
    <row r="17698" hidden="1">
      <c r="E17698" s="96"/>
    </row>
    <row r="17699" hidden="1">
      <c r="E17699" s="96"/>
    </row>
    <row r="17700" hidden="1">
      <c r="E17700" s="96"/>
    </row>
    <row r="17701" hidden="1">
      <c r="E17701" s="96"/>
    </row>
    <row r="17702" hidden="1">
      <c r="E17702" s="96"/>
    </row>
    <row r="17703" hidden="1">
      <c r="E17703" s="96"/>
    </row>
    <row r="17704" hidden="1">
      <c r="E17704" s="96"/>
    </row>
    <row r="17705" hidden="1">
      <c r="E17705" s="96"/>
    </row>
    <row r="17706" hidden="1">
      <c r="E17706" s="96"/>
    </row>
    <row r="17707" hidden="1">
      <c r="E17707" s="96"/>
    </row>
    <row r="17708" hidden="1">
      <c r="E17708" s="96"/>
    </row>
    <row r="17709" hidden="1">
      <c r="E17709" s="96"/>
    </row>
    <row r="17710" hidden="1">
      <c r="E17710" s="96"/>
    </row>
    <row r="17711" hidden="1">
      <c r="E17711" s="96"/>
    </row>
    <row r="17712" hidden="1">
      <c r="E17712" s="96"/>
    </row>
    <row r="17713" hidden="1">
      <c r="E17713" s="96"/>
    </row>
    <row r="17714" hidden="1">
      <c r="E17714" s="96"/>
    </row>
    <row r="17715" hidden="1">
      <c r="E17715" s="96"/>
    </row>
    <row r="17716" hidden="1">
      <c r="E17716" s="96"/>
    </row>
    <row r="17717" hidden="1">
      <c r="E17717" s="96"/>
    </row>
    <row r="17718" hidden="1">
      <c r="E17718" s="96"/>
    </row>
    <row r="17719" hidden="1">
      <c r="E17719" s="96"/>
    </row>
    <row r="17720" hidden="1">
      <c r="E17720" s="96"/>
    </row>
    <row r="17721" hidden="1">
      <c r="E17721" s="96"/>
    </row>
    <row r="17722" hidden="1">
      <c r="E17722" s="96"/>
    </row>
    <row r="17723" hidden="1">
      <c r="E17723" s="96"/>
    </row>
    <row r="17724" hidden="1">
      <c r="E17724" s="96"/>
    </row>
    <row r="17725" hidden="1">
      <c r="E17725" s="96"/>
    </row>
    <row r="17726" hidden="1">
      <c r="E17726" s="96"/>
    </row>
    <row r="17727" hidden="1">
      <c r="E17727" s="96"/>
    </row>
    <row r="17728" hidden="1">
      <c r="E17728" s="96"/>
    </row>
    <row r="17729" hidden="1">
      <c r="E17729" s="96"/>
    </row>
    <row r="17730" hidden="1">
      <c r="E17730" s="96"/>
    </row>
    <row r="17731" hidden="1">
      <c r="E17731" s="96"/>
    </row>
    <row r="17732" hidden="1">
      <c r="E17732" s="96"/>
    </row>
    <row r="17733" hidden="1">
      <c r="E17733" s="96"/>
    </row>
    <row r="17734" hidden="1">
      <c r="E17734" s="96"/>
    </row>
    <row r="17735" hidden="1">
      <c r="E17735" s="96"/>
    </row>
    <row r="17736" hidden="1">
      <c r="E17736" s="96"/>
    </row>
    <row r="17737" hidden="1">
      <c r="E17737" s="96"/>
    </row>
    <row r="17738" hidden="1">
      <c r="E17738" s="96"/>
    </row>
    <row r="17739" hidden="1">
      <c r="E17739" s="96"/>
    </row>
    <row r="17740" hidden="1">
      <c r="E17740" s="96"/>
    </row>
    <row r="17741" hidden="1">
      <c r="E17741" s="96"/>
    </row>
    <row r="17742" hidden="1">
      <c r="E17742" s="96"/>
    </row>
    <row r="17743" hidden="1">
      <c r="E17743" s="96"/>
    </row>
    <row r="17744" hidden="1">
      <c r="E17744" s="96"/>
    </row>
    <row r="17745" hidden="1">
      <c r="E17745" s="96"/>
    </row>
    <row r="17746" hidden="1">
      <c r="E17746" s="96"/>
    </row>
    <row r="17747" hidden="1">
      <c r="E17747" s="96"/>
    </row>
    <row r="17748" hidden="1">
      <c r="E17748" s="96"/>
    </row>
    <row r="17749" hidden="1">
      <c r="E17749" s="96"/>
    </row>
    <row r="17750" hidden="1">
      <c r="E17750" s="96"/>
    </row>
    <row r="17751" hidden="1">
      <c r="E17751" s="96"/>
    </row>
    <row r="17752" hidden="1">
      <c r="E17752" s="96"/>
    </row>
    <row r="17753" hidden="1">
      <c r="E17753" s="96"/>
    </row>
    <row r="17754" hidden="1">
      <c r="E17754" s="96"/>
    </row>
    <row r="17755" hidden="1">
      <c r="E17755" s="96"/>
    </row>
    <row r="17756" hidden="1">
      <c r="E17756" s="96"/>
    </row>
    <row r="17757" hidden="1">
      <c r="E17757" s="96"/>
    </row>
    <row r="17758" hidden="1">
      <c r="E17758" s="96"/>
    </row>
    <row r="17759" hidden="1">
      <c r="E17759" s="96"/>
    </row>
    <row r="17760" hidden="1">
      <c r="E17760" s="96"/>
    </row>
    <row r="17761" hidden="1">
      <c r="E17761" s="96"/>
    </row>
    <row r="17762" hidden="1">
      <c r="E17762" s="96"/>
    </row>
    <row r="17763" hidden="1">
      <c r="E17763" s="96"/>
    </row>
    <row r="17764" hidden="1">
      <c r="E17764" s="96"/>
    </row>
    <row r="17765" hidden="1">
      <c r="E17765" s="96"/>
    </row>
    <row r="17766" hidden="1">
      <c r="E17766" s="96"/>
    </row>
    <row r="17767" hidden="1">
      <c r="E17767" s="96"/>
    </row>
    <row r="17768" hidden="1">
      <c r="E17768" s="96"/>
    </row>
    <row r="17769" hidden="1">
      <c r="E17769" s="96"/>
    </row>
    <row r="17770" hidden="1">
      <c r="E17770" s="96"/>
    </row>
    <row r="17771" hidden="1">
      <c r="E17771" s="96"/>
    </row>
    <row r="17772" hidden="1">
      <c r="E17772" s="96"/>
    </row>
    <row r="17773" hidden="1">
      <c r="E17773" s="96"/>
    </row>
    <row r="17774" hidden="1">
      <c r="E17774" s="96"/>
    </row>
    <row r="17775" hidden="1">
      <c r="E17775" s="96"/>
    </row>
    <row r="17776" hidden="1">
      <c r="E17776" s="96"/>
    </row>
    <row r="17777" hidden="1">
      <c r="E17777" s="96"/>
    </row>
    <row r="17778" hidden="1">
      <c r="E17778" s="96"/>
    </row>
    <row r="17779" hidden="1">
      <c r="E17779" s="96"/>
    </row>
    <row r="17780" hidden="1">
      <c r="E17780" s="96"/>
    </row>
    <row r="17781" hidden="1">
      <c r="E17781" s="96"/>
    </row>
    <row r="17782" hidden="1">
      <c r="E17782" s="96"/>
    </row>
    <row r="17783" hidden="1">
      <c r="E17783" s="96"/>
    </row>
    <row r="17784" hidden="1">
      <c r="E17784" s="96"/>
    </row>
    <row r="17785" hidden="1">
      <c r="E17785" s="96"/>
    </row>
    <row r="17786" hidden="1">
      <c r="E17786" s="96"/>
    </row>
    <row r="17787" hidden="1">
      <c r="E17787" s="96"/>
    </row>
    <row r="17788" hidden="1">
      <c r="E17788" s="96"/>
    </row>
    <row r="17789" hidden="1">
      <c r="E17789" s="96"/>
    </row>
    <row r="17790" hidden="1">
      <c r="E17790" s="96"/>
    </row>
    <row r="17791" hidden="1">
      <c r="E17791" s="96"/>
    </row>
    <row r="17792" hidden="1">
      <c r="E17792" s="96"/>
    </row>
    <row r="17793" hidden="1">
      <c r="E17793" s="96"/>
    </row>
    <row r="17794" hidden="1">
      <c r="E17794" s="96"/>
    </row>
    <row r="17795" hidden="1">
      <c r="E17795" s="96"/>
    </row>
    <row r="17796" hidden="1">
      <c r="E17796" s="96"/>
    </row>
    <row r="17797" hidden="1">
      <c r="E17797" s="96"/>
    </row>
    <row r="17798" hidden="1">
      <c r="E17798" s="96"/>
    </row>
    <row r="17799" hidden="1">
      <c r="E17799" s="96"/>
    </row>
    <row r="17800" hidden="1">
      <c r="E17800" s="96"/>
    </row>
    <row r="17801" hidden="1">
      <c r="E17801" s="96"/>
    </row>
    <row r="17802" hidden="1">
      <c r="E17802" s="96"/>
    </row>
    <row r="17803" hidden="1">
      <c r="E17803" s="96"/>
    </row>
    <row r="17804" hidden="1">
      <c r="E17804" s="96"/>
    </row>
    <row r="17805" hidden="1">
      <c r="E17805" s="96"/>
    </row>
    <row r="17806" hidden="1">
      <c r="E17806" s="96"/>
    </row>
    <row r="17807" hidden="1">
      <c r="E17807" s="96"/>
    </row>
    <row r="17808" hidden="1">
      <c r="E17808" s="96"/>
    </row>
    <row r="17809" hidden="1">
      <c r="E17809" s="96"/>
    </row>
    <row r="17810" hidden="1">
      <c r="E17810" s="96"/>
    </row>
    <row r="17811" hidden="1">
      <c r="E17811" s="96"/>
    </row>
    <row r="17812" hidden="1">
      <c r="E17812" s="96"/>
    </row>
    <row r="17813" hidden="1">
      <c r="E17813" s="96"/>
    </row>
    <row r="17814" hidden="1">
      <c r="E17814" s="96"/>
    </row>
    <row r="17815" hidden="1">
      <c r="E17815" s="96"/>
    </row>
    <row r="17816" hidden="1">
      <c r="E17816" s="96"/>
    </row>
    <row r="17817" hidden="1">
      <c r="E17817" s="96"/>
    </row>
    <row r="17818" hidden="1">
      <c r="E17818" s="96"/>
    </row>
    <row r="17819" hidden="1">
      <c r="E17819" s="96"/>
    </row>
    <row r="17820" hidden="1">
      <c r="E17820" s="96"/>
    </row>
    <row r="17821" hidden="1">
      <c r="E17821" s="96"/>
    </row>
    <row r="17822" hidden="1">
      <c r="E17822" s="96"/>
    </row>
    <row r="17823" hidden="1">
      <c r="E17823" s="96"/>
    </row>
    <row r="17824" hidden="1">
      <c r="E17824" s="96"/>
    </row>
    <row r="17825" hidden="1">
      <c r="E17825" s="96"/>
    </row>
    <row r="17826" hidden="1">
      <c r="E17826" s="96"/>
    </row>
    <row r="17827" hidden="1">
      <c r="E17827" s="96"/>
    </row>
    <row r="17828" hidden="1">
      <c r="E17828" s="96"/>
    </row>
    <row r="17829" hidden="1">
      <c r="E17829" s="96"/>
    </row>
    <row r="17830" hidden="1">
      <c r="E17830" s="96"/>
    </row>
    <row r="17831" hidden="1">
      <c r="E17831" s="96"/>
    </row>
    <row r="17832" hidden="1">
      <c r="E17832" s="96"/>
    </row>
    <row r="17833" hidden="1">
      <c r="E17833" s="96"/>
    </row>
    <row r="17834" hidden="1">
      <c r="E17834" s="96"/>
    </row>
    <row r="17835" hidden="1">
      <c r="E17835" s="96"/>
    </row>
    <row r="17836" hidden="1">
      <c r="E17836" s="96"/>
    </row>
    <row r="17837" hidden="1">
      <c r="E17837" s="96"/>
    </row>
    <row r="17838" hidden="1">
      <c r="E17838" s="96"/>
    </row>
    <row r="17839" hidden="1">
      <c r="E17839" s="96"/>
    </row>
    <row r="17840" hidden="1">
      <c r="E17840" s="96"/>
    </row>
    <row r="17841" hidden="1">
      <c r="E17841" s="96"/>
    </row>
    <row r="17842" hidden="1">
      <c r="E17842" s="96"/>
    </row>
    <row r="17843" hidden="1">
      <c r="E17843" s="96"/>
    </row>
    <row r="17844" hidden="1">
      <c r="E17844" s="96"/>
    </row>
    <row r="17845" hidden="1">
      <c r="E17845" s="96"/>
    </row>
    <row r="17846" hidden="1">
      <c r="E17846" s="96"/>
    </row>
    <row r="17847" hidden="1">
      <c r="E17847" s="96"/>
    </row>
    <row r="17848" hidden="1">
      <c r="E17848" s="96"/>
    </row>
    <row r="17849" hidden="1">
      <c r="E17849" s="96"/>
    </row>
    <row r="17850" hidden="1">
      <c r="E17850" s="96"/>
    </row>
    <row r="17851" hidden="1">
      <c r="E17851" s="96"/>
    </row>
    <row r="17852" hidden="1">
      <c r="E17852" s="96"/>
    </row>
    <row r="17853" hidden="1">
      <c r="E17853" s="96"/>
    </row>
    <row r="17854" hidden="1">
      <c r="E17854" s="96"/>
    </row>
    <row r="17855" hidden="1">
      <c r="E17855" s="96"/>
    </row>
    <row r="17856" hidden="1">
      <c r="E17856" s="96"/>
    </row>
    <row r="17857" hidden="1">
      <c r="E17857" s="96"/>
    </row>
    <row r="17858" hidden="1">
      <c r="E17858" s="96"/>
    </row>
    <row r="17859" hidden="1">
      <c r="E17859" s="96"/>
    </row>
    <row r="17860" hidden="1">
      <c r="E17860" s="96"/>
    </row>
    <row r="17861" hidden="1">
      <c r="E17861" s="96"/>
    </row>
    <row r="17862" hidden="1">
      <c r="E17862" s="96"/>
    </row>
    <row r="17863" hidden="1">
      <c r="E17863" s="96"/>
    </row>
    <row r="17864" hidden="1">
      <c r="E17864" s="96"/>
    </row>
    <row r="17865" hidden="1">
      <c r="E17865" s="96"/>
    </row>
    <row r="17866" hidden="1">
      <c r="E17866" s="96"/>
    </row>
    <row r="17867" hidden="1">
      <c r="E17867" s="96"/>
    </row>
    <row r="17868" hidden="1">
      <c r="E17868" s="96"/>
    </row>
    <row r="17869" hidden="1">
      <c r="E17869" s="96"/>
    </row>
    <row r="17870" hidden="1">
      <c r="E17870" s="96"/>
    </row>
    <row r="17871" hidden="1">
      <c r="E17871" s="96"/>
    </row>
    <row r="17872" hidden="1">
      <c r="E17872" s="96"/>
    </row>
    <row r="17873" hidden="1">
      <c r="E17873" s="96"/>
    </row>
    <row r="17874" hidden="1">
      <c r="E17874" s="96"/>
    </row>
    <row r="17875" hidden="1">
      <c r="E17875" s="96"/>
    </row>
    <row r="17876" hidden="1">
      <c r="E17876" s="96"/>
    </row>
    <row r="17877" hidden="1">
      <c r="E17877" s="96"/>
    </row>
    <row r="17878" hidden="1">
      <c r="E17878" s="96"/>
    </row>
    <row r="17879" hidden="1">
      <c r="E17879" s="96"/>
    </row>
    <row r="17880" hidden="1">
      <c r="E17880" s="96"/>
    </row>
    <row r="17881" hidden="1">
      <c r="E17881" s="96"/>
    </row>
    <row r="17882" hidden="1">
      <c r="E17882" s="96"/>
    </row>
    <row r="17883" hidden="1">
      <c r="E17883" s="96"/>
    </row>
    <row r="17884" hidden="1">
      <c r="E17884" s="96"/>
    </row>
    <row r="17885" hidden="1">
      <c r="E17885" s="96"/>
    </row>
    <row r="17886" hidden="1">
      <c r="E17886" s="96"/>
    </row>
    <row r="17887" hidden="1">
      <c r="E17887" s="96"/>
    </row>
    <row r="17888" hidden="1">
      <c r="E17888" s="96"/>
    </row>
    <row r="17889" hidden="1">
      <c r="E17889" s="96"/>
    </row>
    <row r="17890" hidden="1">
      <c r="E17890" s="96"/>
    </row>
    <row r="17891" hidden="1">
      <c r="E17891" s="96"/>
    </row>
    <row r="17892" hidden="1">
      <c r="E17892" s="96"/>
    </row>
    <row r="17893" hidden="1">
      <c r="E17893" s="96"/>
    </row>
    <row r="17894" hidden="1">
      <c r="E17894" s="96"/>
    </row>
    <row r="17895" hidden="1">
      <c r="E17895" s="96"/>
    </row>
    <row r="17896" hidden="1">
      <c r="E17896" s="96"/>
    </row>
    <row r="17897" hidden="1">
      <c r="E17897" s="96"/>
    </row>
    <row r="17898" hidden="1">
      <c r="E17898" s="96"/>
    </row>
    <row r="17899" hidden="1">
      <c r="E17899" s="96"/>
    </row>
    <row r="17900" hidden="1">
      <c r="E17900" s="96"/>
    </row>
    <row r="17901" hidden="1">
      <c r="E17901" s="96"/>
    </row>
    <row r="17902" hidden="1">
      <c r="E17902" s="96"/>
    </row>
    <row r="17903" hidden="1">
      <c r="E17903" s="96"/>
    </row>
    <row r="17904" hidden="1">
      <c r="E17904" s="96"/>
    </row>
    <row r="17905" hidden="1">
      <c r="E17905" s="96"/>
    </row>
    <row r="17906" hidden="1">
      <c r="E17906" s="96"/>
    </row>
    <row r="17907" hidden="1">
      <c r="E17907" s="96"/>
    </row>
    <row r="17908" hidden="1">
      <c r="E17908" s="96"/>
    </row>
    <row r="17909" hidden="1">
      <c r="E17909" s="96"/>
    </row>
    <row r="17910" hidden="1">
      <c r="E17910" s="96"/>
    </row>
    <row r="17911" hidden="1">
      <c r="E17911" s="96"/>
    </row>
    <row r="17912" hidden="1">
      <c r="E17912" s="96"/>
    </row>
    <row r="17913" hidden="1">
      <c r="E17913" s="96"/>
    </row>
    <row r="17914" hidden="1">
      <c r="E17914" s="96"/>
    </row>
    <row r="17915" hidden="1">
      <c r="E17915" s="96"/>
    </row>
    <row r="17916" hidden="1">
      <c r="E17916" s="96"/>
    </row>
    <row r="17917" hidden="1">
      <c r="E17917" s="96"/>
    </row>
    <row r="17918" hidden="1">
      <c r="E17918" s="96"/>
    </row>
    <row r="17919" hidden="1">
      <c r="E17919" s="96"/>
    </row>
    <row r="17920" hidden="1">
      <c r="E17920" s="96"/>
    </row>
    <row r="17921" hidden="1">
      <c r="E17921" s="96"/>
    </row>
    <row r="17922" hidden="1">
      <c r="E17922" s="96"/>
    </row>
    <row r="17923" hidden="1">
      <c r="E17923" s="96"/>
    </row>
    <row r="17924" hidden="1">
      <c r="E17924" s="96"/>
    </row>
    <row r="17925" hidden="1">
      <c r="E17925" s="96"/>
    </row>
    <row r="17926" hidden="1">
      <c r="E17926" s="96"/>
    </row>
    <row r="17927" hidden="1">
      <c r="E17927" s="96"/>
    </row>
    <row r="17928" hidden="1">
      <c r="E17928" s="96"/>
    </row>
    <row r="17929" hidden="1">
      <c r="E17929" s="96"/>
    </row>
    <row r="17930" hidden="1">
      <c r="E17930" s="96"/>
    </row>
    <row r="17931" hidden="1">
      <c r="E17931" s="96"/>
    </row>
    <row r="17932" hidden="1">
      <c r="E17932" s="96"/>
    </row>
    <row r="17933" hidden="1">
      <c r="E17933" s="96"/>
    </row>
    <row r="17934" hidden="1">
      <c r="E17934" s="96"/>
    </row>
    <row r="17935" hidden="1">
      <c r="E17935" s="96"/>
    </row>
    <row r="17936" hidden="1">
      <c r="E17936" s="96"/>
    </row>
    <row r="17937" hidden="1">
      <c r="E17937" s="96"/>
    </row>
    <row r="17938" hidden="1">
      <c r="E17938" s="96"/>
    </row>
    <row r="17939" hidden="1">
      <c r="E17939" s="96"/>
    </row>
    <row r="17940" hidden="1">
      <c r="E17940" s="96"/>
    </row>
    <row r="17941" hidden="1">
      <c r="E17941" s="96"/>
    </row>
    <row r="17942" hidden="1">
      <c r="E17942" s="96"/>
    </row>
    <row r="17943" hidden="1">
      <c r="E17943" s="96"/>
    </row>
    <row r="17944" hidden="1">
      <c r="E17944" s="96"/>
    </row>
    <row r="17945" hidden="1">
      <c r="E17945" s="96"/>
    </row>
    <row r="17946" hidden="1">
      <c r="E17946" s="96"/>
    </row>
    <row r="17947" hidden="1">
      <c r="E17947" s="96"/>
    </row>
    <row r="17948" hidden="1">
      <c r="E17948" s="96"/>
    </row>
    <row r="17949" hidden="1">
      <c r="E17949" s="96"/>
    </row>
    <row r="17950" hidden="1">
      <c r="E17950" s="96"/>
    </row>
    <row r="17951" hidden="1">
      <c r="E17951" s="96"/>
    </row>
    <row r="17952" hidden="1">
      <c r="E17952" s="96"/>
    </row>
    <row r="17953" hidden="1">
      <c r="E17953" s="96"/>
    </row>
    <row r="17954" hidden="1">
      <c r="E17954" s="96"/>
    </row>
    <row r="17955" hidden="1">
      <c r="E17955" s="96"/>
    </row>
    <row r="17956" hidden="1">
      <c r="E17956" s="96"/>
    </row>
    <row r="17957" hidden="1">
      <c r="E17957" s="96"/>
    </row>
    <row r="17958" hidden="1">
      <c r="E17958" s="96"/>
    </row>
    <row r="17959" hidden="1">
      <c r="E17959" s="96"/>
    </row>
    <row r="17960" hidden="1">
      <c r="E17960" s="96"/>
    </row>
    <row r="17961" hidden="1">
      <c r="E17961" s="96"/>
    </row>
    <row r="17962" hidden="1">
      <c r="E17962" s="96"/>
    </row>
    <row r="17963" hidden="1">
      <c r="E17963" s="96"/>
    </row>
    <row r="17964" hidden="1">
      <c r="E17964" s="96"/>
    </row>
    <row r="17965" hidden="1">
      <c r="E17965" s="96"/>
    </row>
    <row r="17966" hidden="1">
      <c r="E17966" s="96"/>
    </row>
    <row r="17967" hidden="1">
      <c r="E17967" s="96"/>
    </row>
    <row r="17968" hidden="1">
      <c r="E17968" s="96"/>
    </row>
    <row r="17969" hidden="1">
      <c r="E17969" s="96"/>
    </row>
    <row r="17970" hidden="1">
      <c r="E17970" s="96"/>
    </row>
    <row r="17971" hidden="1">
      <c r="E17971" s="96"/>
    </row>
    <row r="17972" hidden="1">
      <c r="E17972" s="96"/>
    </row>
    <row r="17973" hidden="1">
      <c r="E17973" s="96"/>
    </row>
    <row r="17974" hidden="1">
      <c r="E17974" s="96"/>
    </row>
    <row r="17975" hidden="1">
      <c r="E17975" s="96"/>
    </row>
    <row r="17976" hidden="1">
      <c r="E17976" s="96"/>
    </row>
    <row r="17977" hidden="1">
      <c r="E17977" s="96"/>
    </row>
    <row r="17978" hidden="1">
      <c r="E17978" s="96"/>
    </row>
    <row r="17979" hidden="1">
      <c r="E17979" s="96"/>
    </row>
    <row r="17980" hidden="1">
      <c r="E17980" s="96"/>
    </row>
    <row r="17981" hidden="1">
      <c r="E17981" s="96"/>
    </row>
    <row r="17982" hidden="1">
      <c r="E17982" s="96"/>
    </row>
    <row r="17983" hidden="1">
      <c r="E17983" s="96"/>
    </row>
    <row r="17984" hidden="1">
      <c r="E17984" s="96"/>
    </row>
    <row r="17985" hidden="1">
      <c r="E17985" s="96"/>
    </row>
    <row r="17986" hidden="1">
      <c r="E17986" s="96"/>
    </row>
    <row r="17987" hidden="1">
      <c r="E17987" s="96"/>
    </row>
    <row r="17988" hidden="1">
      <c r="E17988" s="96"/>
    </row>
    <row r="17989" hidden="1">
      <c r="E17989" s="96"/>
    </row>
    <row r="17990" hidden="1">
      <c r="E17990" s="96"/>
    </row>
    <row r="17991" hidden="1">
      <c r="E17991" s="96"/>
    </row>
    <row r="17992" hidden="1">
      <c r="E17992" s="96"/>
    </row>
    <row r="17993" hidden="1">
      <c r="E17993" s="96"/>
    </row>
    <row r="17994" hidden="1">
      <c r="E17994" s="96"/>
    </row>
    <row r="17995" hidden="1">
      <c r="E17995" s="96"/>
    </row>
    <row r="17996" hidden="1">
      <c r="E17996" s="96"/>
    </row>
    <row r="17997" hidden="1">
      <c r="E17997" s="96"/>
    </row>
    <row r="17998" hidden="1">
      <c r="E17998" s="96"/>
    </row>
    <row r="17999" hidden="1">
      <c r="E17999" s="96"/>
    </row>
    <row r="18000" hidden="1">
      <c r="E18000" s="96"/>
    </row>
    <row r="18001" hidden="1">
      <c r="E18001" s="96"/>
    </row>
    <row r="18002" hidden="1">
      <c r="E18002" s="96"/>
    </row>
    <row r="18003" hidden="1">
      <c r="E18003" s="96"/>
    </row>
    <row r="18004" hidden="1">
      <c r="E18004" s="96"/>
    </row>
    <row r="18005" hidden="1">
      <c r="E18005" s="96"/>
    </row>
    <row r="18006" hidden="1">
      <c r="E18006" s="96"/>
    </row>
    <row r="18007" hidden="1">
      <c r="E18007" s="96"/>
    </row>
    <row r="18008" hidden="1">
      <c r="E18008" s="96"/>
    </row>
    <row r="18009" hidden="1">
      <c r="E18009" s="96"/>
    </row>
    <row r="18010" hidden="1">
      <c r="E18010" s="96"/>
    </row>
    <row r="18011" hidden="1">
      <c r="E18011" s="96"/>
    </row>
    <row r="18012" hidden="1">
      <c r="E18012" s="96"/>
    </row>
    <row r="18013" hidden="1">
      <c r="E18013" s="96"/>
    </row>
    <row r="18014" hidden="1">
      <c r="E18014" s="96"/>
    </row>
    <row r="18015" hidden="1">
      <c r="E18015" s="96"/>
    </row>
    <row r="18016" hidden="1">
      <c r="E18016" s="96"/>
    </row>
    <row r="18017" hidden="1">
      <c r="E18017" s="96"/>
    </row>
    <row r="18018" hidden="1">
      <c r="E18018" s="96"/>
    </row>
    <row r="18019" hidden="1">
      <c r="E18019" s="96"/>
    </row>
    <row r="18020" hidden="1">
      <c r="E18020" s="96"/>
    </row>
    <row r="18021" hidden="1">
      <c r="E18021" s="96"/>
    </row>
    <row r="18022" hidden="1">
      <c r="E18022" s="96"/>
    </row>
    <row r="18023" hidden="1">
      <c r="E18023" s="96"/>
    </row>
    <row r="18024" hidden="1">
      <c r="E18024" s="96"/>
    </row>
    <row r="18025" hidden="1">
      <c r="E18025" s="96"/>
    </row>
    <row r="18026" hidden="1">
      <c r="E18026" s="96"/>
    </row>
    <row r="18027" hidden="1">
      <c r="E18027" s="96"/>
    </row>
    <row r="18028" hidden="1">
      <c r="E18028" s="96"/>
    </row>
    <row r="18029" hidden="1">
      <c r="E18029" s="96"/>
    </row>
    <row r="18030" hidden="1">
      <c r="E18030" s="96"/>
    </row>
    <row r="18031" hidden="1">
      <c r="E18031" s="96"/>
    </row>
    <row r="18032" hidden="1">
      <c r="E18032" s="96"/>
    </row>
    <row r="18033" hidden="1">
      <c r="E18033" s="96"/>
    </row>
    <row r="18034" hidden="1">
      <c r="E18034" s="96"/>
    </row>
    <row r="18035" hidden="1">
      <c r="E18035" s="96"/>
    </row>
    <row r="18036" hidden="1">
      <c r="E18036" s="96"/>
    </row>
    <row r="18037" hidden="1">
      <c r="E18037" s="96"/>
    </row>
    <row r="18038" hidden="1">
      <c r="E18038" s="96"/>
    </row>
    <row r="18039" hidden="1">
      <c r="E18039" s="96"/>
    </row>
    <row r="18040" hidden="1">
      <c r="E18040" s="96"/>
    </row>
    <row r="18041" hidden="1">
      <c r="E18041" s="96"/>
    </row>
    <row r="18042" hidden="1">
      <c r="E18042" s="96"/>
    </row>
    <row r="18043" hidden="1">
      <c r="E18043" s="96"/>
    </row>
    <row r="18044" hidden="1">
      <c r="E18044" s="96"/>
    </row>
    <row r="18045" hidden="1">
      <c r="E18045" s="96"/>
    </row>
    <row r="18046" hidden="1">
      <c r="E18046" s="96"/>
    </row>
    <row r="18047" hidden="1">
      <c r="E18047" s="96"/>
    </row>
    <row r="18048" hidden="1">
      <c r="E18048" s="96"/>
    </row>
    <row r="18049" hidden="1">
      <c r="E18049" s="96"/>
    </row>
    <row r="18050" hidden="1">
      <c r="E18050" s="96"/>
    </row>
    <row r="18051" hidden="1">
      <c r="E18051" s="96"/>
    </row>
    <row r="18052" hidden="1">
      <c r="E18052" s="96"/>
    </row>
    <row r="18053" hidden="1">
      <c r="E18053" s="96"/>
    </row>
    <row r="18054" hidden="1">
      <c r="E18054" s="96"/>
    </row>
    <row r="18055" hidden="1">
      <c r="E18055" s="96"/>
    </row>
    <row r="18056" hidden="1">
      <c r="E18056" s="96"/>
    </row>
    <row r="18057" hidden="1">
      <c r="E18057" s="96"/>
    </row>
    <row r="18058" hidden="1">
      <c r="E18058" s="96"/>
    </row>
    <row r="18059" hidden="1">
      <c r="E18059" s="96"/>
    </row>
    <row r="18060" hidden="1">
      <c r="E18060" s="96"/>
    </row>
    <row r="18061" hidden="1">
      <c r="E18061" s="96"/>
    </row>
    <row r="18062" hidden="1">
      <c r="E18062" s="96"/>
    </row>
    <row r="18063" hidden="1">
      <c r="E18063" s="96"/>
    </row>
    <row r="18064" hidden="1">
      <c r="E18064" s="96"/>
    </row>
    <row r="18065" hidden="1">
      <c r="E18065" s="96"/>
    </row>
    <row r="18066" hidden="1">
      <c r="E18066" s="96"/>
    </row>
    <row r="18067" hidden="1">
      <c r="E18067" s="96"/>
    </row>
    <row r="18068" hidden="1">
      <c r="E18068" s="96"/>
    </row>
    <row r="18069" hidden="1">
      <c r="E18069" s="96"/>
    </row>
    <row r="18070" hidden="1">
      <c r="E18070" s="96"/>
    </row>
    <row r="18071" hidden="1">
      <c r="E18071" s="96"/>
    </row>
    <row r="18072" hidden="1">
      <c r="E18072" s="96"/>
    </row>
    <row r="18073" hidden="1">
      <c r="E18073" s="96"/>
    </row>
    <row r="18074" hidden="1">
      <c r="E18074" s="96"/>
    </row>
    <row r="18075" hidden="1">
      <c r="E18075" s="96"/>
    </row>
    <row r="18076" hidden="1">
      <c r="E18076" s="96"/>
    </row>
    <row r="18077" hidden="1">
      <c r="E18077" s="96"/>
    </row>
    <row r="18078" hidden="1">
      <c r="E18078" s="96"/>
    </row>
    <row r="18079" hidden="1">
      <c r="E18079" s="96"/>
    </row>
    <row r="18080" hidden="1">
      <c r="E18080" s="96"/>
    </row>
    <row r="18081" hidden="1">
      <c r="E18081" s="96"/>
    </row>
    <row r="18082" hidden="1">
      <c r="E18082" s="96"/>
    </row>
    <row r="18083" hidden="1">
      <c r="E18083" s="96"/>
    </row>
    <row r="18084" hidden="1">
      <c r="E18084" s="96"/>
    </row>
    <row r="18085" hidden="1">
      <c r="E18085" s="96"/>
    </row>
    <row r="18086" hidden="1">
      <c r="E18086" s="96"/>
    </row>
    <row r="18087" hidden="1">
      <c r="E18087" s="96"/>
    </row>
    <row r="18088" hidden="1">
      <c r="E18088" s="96"/>
    </row>
    <row r="18089" hidden="1">
      <c r="E18089" s="96"/>
    </row>
    <row r="18090" hidden="1">
      <c r="E18090" s="96"/>
    </row>
    <row r="18091" hidden="1">
      <c r="E18091" s="96"/>
    </row>
    <row r="18092" hidden="1">
      <c r="E18092" s="96"/>
    </row>
    <row r="18093" hidden="1">
      <c r="E18093" s="96"/>
    </row>
    <row r="18094" hidden="1">
      <c r="E18094" s="96"/>
    </row>
    <row r="18095" hidden="1">
      <c r="E18095" s="96"/>
    </row>
    <row r="18096" hidden="1">
      <c r="E18096" s="96"/>
    </row>
    <row r="18097" hidden="1">
      <c r="E18097" s="96"/>
    </row>
    <row r="18098" hidden="1">
      <c r="E18098" s="96"/>
    </row>
    <row r="18099" hidden="1">
      <c r="E18099" s="96"/>
    </row>
    <row r="18100" hidden="1">
      <c r="E18100" s="96"/>
    </row>
    <row r="18101" hidden="1">
      <c r="E18101" s="96"/>
    </row>
    <row r="18102" hidden="1">
      <c r="E18102" s="96"/>
    </row>
    <row r="18103" hidden="1">
      <c r="E18103" s="96"/>
    </row>
    <row r="18104" hidden="1">
      <c r="E18104" s="96"/>
    </row>
    <row r="18105" hidden="1">
      <c r="E18105" s="96"/>
    </row>
    <row r="18106" hidden="1">
      <c r="E18106" s="96"/>
    </row>
    <row r="18107" hidden="1">
      <c r="E18107" s="96"/>
    </row>
    <row r="18108" hidden="1">
      <c r="E18108" s="96"/>
    </row>
    <row r="18109" hidden="1">
      <c r="E18109" s="96"/>
    </row>
    <row r="18110" hidden="1">
      <c r="E18110" s="96"/>
    </row>
    <row r="18111" hidden="1">
      <c r="E18111" s="96"/>
    </row>
    <row r="18112" hidden="1">
      <c r="E18112" s="96"/>
    </row>
    <row r="18113" hidden="1">
      <c r="E18113" s="96"/>
    </row>
    <row r="18114" hidden="1">
      <c r="E18114" s="96"/>
    </row>
    <row r="18115" hidden="1">
      <c r="E18115" s="96"/>
    </row>
    <row r="18116" hidden="1">
      <c r="E18116" s="96"/>
    </row>
    <row r="18117" hidden="1">
      <c r="E18117" s="96"/>
    </row>
    <row r="18118" hidden="1">
      <c r="E18118" s="96"/>
    </row>
    <row r="18119" hidden="1">
      <c r="E18119" s="96"/>
    </row>
    <row r="18120" hidden="1">
      <c r="E18120" s="96"/>
    </row>
    <row r="18121" hidden="1">
      <c r="E18121" s="96"/>
    </row>
    <row r="18122" hidden="1">
      <c r="E18122" s="96"/>
    </row>
    <row r="18123" hidden="1">
      <c r="E18123" s="96"/>
    </row>
    <row r="18124" hidden="1">
      <c r="E18124" s="96"/>
    </row>
    <row r="18125" hidden="1">
      <c r="E18125" s="96"/>
    </row>
    <row r="18126" hidden="1">
      <c r="E18126" s="96"/>
    </row>
    <row r="18127" hidden="1">
      <c r="E18127" s="96"/>
    </row>
    <row r="18128" hidden="1">
      <c r="E18128" s="96"/>
    </row>
    <row r="18129" hidden="1">
      <c r="E18129" s="96"/>
    </row>
    <row r="18130" hidden="1">
      <c r="E18130" s="96"/>
    </row>
    <row r="18131" hidden="1">
      <c r="E18131" s="96"/>
    </row>
    <row r="18132" hidden="1">
      <c r="E18132" s="96"/>
    </row>
    <row r="18133" hidden="1">
      <c r="E18133" s="96"/>
    </row>
    <row r="18134" hidden="1">
      <c r="E18134" s="96"/>
    </row>
    <row r="18135" hidden="1">
      <c r="E18135" s="96"/>
    </row>
    <row r="18136" hidden="1">
      <c r="E18136" s="96"/>
    </row>
    <row r="18137" hidden="1">
      <c r="E18137" s="96"/>
    </row>
    <row r="18138" hidden="1">
      <c r="E18138" s="96"/>
    </row>
    <row r="18139" hidden="1">
      <c r="E18139" s="96"/>
    </row>
    <row r="18140" hidden="1">
      <c r="E18140" s="96"/>
    </row>
    <row r="18141" hidden="1">
      <c r="E18141" s="96"/>
    </row>
    <row r="18142" hidden="1">
      <c r="E18142" s="96"/>
    </row>
    <row r="18143" hidden="1">
      <c r="E18143" s="96"/>
    </row>
    <row r="18144" hidden="1">
      <c r="E18144" s="96"/>
    </row>
    <row r="18145" hidden="1">
      <c r="E18145" s="96"/>
    </row>
    <row r="18146" hidden="1">
      <c r="E18146" s="96"/>
    </row>
    <row r="18147" hidden="1">
      <c r="E18147" s="96"/>
    </row>
    <row r="18148" hidden="1">
      <c r="E18148" s="96"/>
    </row>
    <row r="18149" hidden="1">
      <c r="E18149" s="96"/>
    </row>
    <row r="18150" hidden="1">
      <c r="E18150" s="96"/>
    </row>
    <row r="18151" hidden="1">
      <c r="E18151" s="96"/>
    </row>
    <row r="18152" hidden="1">
      <c r="E18152" s="96"/>
    </row>
    <row r="18153" hidden="1">
      <c r="E18153" s="96"/>
    </row>
    <row r="18154" hidden="1">
      <c r="E18154" s="96"/>
    </row>
    <row r="18155" hidden="1">
      <c r="E18155" s="96"/>
    </row>
    <row r="18156" hidden="1">
      <c r="E18156" s="96"/>
    </row>
    <row r="18157" hidden="1">
      <c r="E18157" s="96"/>
    </row>
    <row r="18158" hidden="1">
      <c r="E18158" s="96"/>
    </row>
    <row r="18159" hidden="1">
      <c r="E18159" s="96"/>
    </row>
    <row r="18160" hidden="1">
      <c r="E18160" s="96"/>
    </row>
    <row r="18161" hidden="1">
      <c r="E18161" s="96"/>
    </row>
    <row r="18162" hidden="1">
      <c r="E18162" s="96"/>
    </row>
    <row r="18163" hidden="1">
      <c r="E18163" s="96"/>
    </row>
    <row r="18164" hidden="1">
      <c r="E18164" s="96"/>
    </row>
    <row r="18165" hidden="1">
      <c r="E18165" s="96"/>
    </row>
    <row r="18166" hidden="1">
      <c r="E18166" s="96"/>
    </row>
    <row r="18167" hidden="1">
      <c r="E18167" s="96"/>
    </row>
    <row r="18168" hidden="1">
      <c r="E18168" s="96"/>
    </row>
    <row r="18169" hidden="1">
      <c r="E18169" s="96"/>
    </row>
    <row r="18170" hidden="1">
      <c r="E18170" s="96"/>
    </row>
    <row r="18171" hidden="1">
      <c r="E18171" s="96"/>
    </row>
    <row r="18172" hidden="1">
      <c r="E18172" s="96"/>
    </row>
    <row r="18173" hidden="1">
      <c r="E18173" s="96"/>
    </row>
    <row r="18174" hidden="1">
      <c r="E18174" s="96"/>
    </row>
    <row r="18175" hidden="1">
      <c r="E18175" s="96"/>
    </row>
    <row r="18176" hidden="1">
      <c r="E18176" s="96"/>
    </row>
    <row r="18177" hidden="1">
      <c r="E18177" s="96"/>
    </row>
    <row r="18178" hidden="1">
      <c r="E18178" s="96"/>
    </row>
    <row r="18179" hidden="1">
      <c r="E18179" s="96"/>
    </row>
    <row r="18180" hidden="1">
      <c r="E18180" s="96"/>
    </row>
    <row r="18181" hidden="1">
      <c r="E18181" s="96"/>
    </row>
    <row r="18182" hidden="1">
      <c r="E18182" s="96"/>
    </row>
    <row r="18183" hidden="1">
      <c r="E18183" s="96"/>
    </row>
    <row r="18184" hidden="1">
      <c r="E18184" s="96"/>
    </row>
    <row r="18185" hidden="1">
      <c r="E18185" s="96"/>
    </row>
    <row r="18186" hidden="1">
      <c r="E18186" s="96"/>
    </row>
    <row r="18187" hidden="1">
      <c r="E18187" s="96"/>
    </row>
    <row r="18188" hidden="1">
      <c r="E18188" s="96"/>
    </row>
    <row r="18189" hidden="1">
      <c r="E18189" s="96"/>
    </row>
    <row r="18190" hidden="1">
      <c r="E18190" s="96"/>
    </row>
    <row r="18191" hidden="1">
      <c r="E18191" s="96"/>
    </row>
    <row r="18192" hidden="1">
      <c r="E18192" s="96"/>
    </row>
    <row r="18193" hidden="1">
      <c r="E18193" s="96"/>
    </row>
    <row r="18194" hidden="1">
      <c r="E18194" s="96"/>
    </row>
    <row r="18195" hidden="1">
      <c r="E18195" s="96"/>
    </row>
    <row r="18196" hidden="1">
      <c r="E18196" s="96"/>
    </row>
    <row r="18197" hidden="1">
      <c r="E18197" s="96"/>
    </row>
    <row r="18198" hidden="1">
      <c r="E18198" s="96"/>
    </row>
    <row r="18199" hidden="1">
      <c r="E18199" s="96"/>
    </row>
    <row r="18200" hidden="1">
      <c r="E18200" s="96"/>
    </row>
    <row r="18201" hidden="1">
      <c r="E18201" s="96"/>
    </row>
    <row r="18202" hidden="1">
      <c r="E18202" s="96"/>
    </row>
    <row r="18203" hidden="1">
      <c r="E18203" s="96"/>
    </row>
    <row r="18204" hidden="1">
      <c r="E18204" s="96"/>
    </row>
    <row r="18205" hidden="1">
      <c r="E18205" s="96"/>
    </row>
    <row r="18206" hidden="1">
      <c r="E18206" s="96"/>
    </row>
    <row r="18207" hidden="1">
      <c r="E18207" s="96"/>
    </row>
    <row r="18208" hidden="1">
      <c r="E18208" s="96"/>
    </row>
    <row r="18209" hidden="1">
      <c r="E18209" s="96"/>
    </row>
    <row r="18210" hidden="1">
      <c r="E18210" s="96"/>
    </row>
    <row r="18211" hidden="1">
      <c r="E18211" s="96"/>
    </row>
    <row r="18212" hidden="1">
      <c r="E18212" s="96"/>
    </row>
    <row r="18213" hidden="1">
      <c r="E18213" s="96"/>
    </row>
    <row r="18214" hidden="1">
      <c r="E18214" s="96"/>
    </row>
    <row r="18215" hidden="1">
      <c r="E18215" s="96"/>
    </row>
    <row r="18216" hidden="1">
      <c r="E18216" s="96"/>
    </row>
    <row r="18217" hidden="1">
      <c r="E18217" s="96"/>
    </row>
    <row r="18218" hidden="1">
      <c r="E18218" s="96"/>
    </row>
    <row r="18219" hidden="1">
      <c r="E18219" s="96"/>
    </row>
    <row r="18220" hidden="1">
      <c r="E18220" s="96"/>
    </row>
    <row r="18221" hidden="1">
      <c r="E18221" s="96"/>
    </row>
    <row r="18222" hidden="1">
      <c r="E18222" s="96"/>
    </row>
    <row r="18223" hidden="1">
      <c r="E18223" s="96"/>
    </row>
    <row r="18224" hidden="1">
      <c r="E18224" s="96"/>
    </row>
    <row r="18225" hidden="1">
      <c r="E18225" s="96"/>
    </row>
    <row r="18226" hidden="1">
      <c r="E18226" s="96"/>
    </row>
    <row r="18227" hidden="1">
      <c r="E18227" s="96"/>
    </row>
    <row r="18228" hidden="1">
      <c r="E18228" s="96"/>
    </row>
    <row r="18229" hidden="1">
      <c r="E18229" s="96"/>
    </row>
    <row r="18230" hidden="1">
      <c r="E18230" s="96"/>
    </row>
    <row r="18231" hidden="1">
      <c r="E18231" s="96"/>
    </row>
    <row r="18232" hidden="1">
      <c r="E18232" s="96"/>
    </row>
    <row r="18233" hidden="1">
      <c r="E18233" s="96"/>
    </row>
    <row r="18234" hidden="1">
      <c r="E18234" s="96"/>
    </row>
    <row r="18235" hidden="1">
      <c r="E18235" s="96"/>
    </row>
    <row r="18236" hidden="1">
      <c r="E18236" s="96"/>
    </row>
    <row r="18237" hidden="1">
      <c r="E18237" s="96"/>
    </row>
    <row r="18238" hidden="1">
      <c r="E18238" s="96"/>
    </row>
    <row r="18239" hidden="1">
      <c r="E18239" s="96"/>
    </row>
    <row r="18240" hidden="1">
      <c r="E18240" s="96"/>
    </row>
    <row r="18241" hidden="1">
      <c r="E18241" s="96"/>
    </row>
    <row r="18242" hidden="1">
      <c r="E18242" s="96"/>
    </row>
    <row r="18243" hidden="1">
      <c r="E18243" s="96"/>
    </row>
    <row r="18244" hidden="1">
      <c r="E18244" s="96"/>
    </row>
    <row r="18245" hidden="1">
      <c r="E18245" s="96"/>
    </row>
    <row r="18246" hidden="1">
      <c r="E18246" s="96"/>
    </row>
    <row r="18247" hidden="1">
      <c r="E18247" s="96"/>
    </row>
    <row r="18248" hidden="1">
      <c r="E18248" s="96"/>
    </row>
    <row r="18249" hidden="1">
      <c r="E18249" s="96"/>
    </row>
    <row r="18250" hidden="1">
      <c r="E18250" s="96"/>
    </row>
    <row r="18251" hidden="1">
      <c r="E18251" s="96"/>
    </row>
    <row r="18252" hidden="1">
      <c r="E18252" s="96"/>
    </row>
    <row r="18253" hidden="1">
      <c r="E18253" s="96"/>
    </row>
    <row r="18254" hidden="1">
      <c r="E18254" s="96"/>
    </row>
    <row r="18255" hidden="1">
      <c r="E18255" s="96"/>
    </row>
    <row r="18256" hidden="1">
      <c r="E18256" s="96"/>
    </row>
    <row r="18257" hidden="1">
      <c r="E18257" s="96"/>
    </row>
    <row r="18258" hidden="1">
      <c r="E18258" s="96"/>
    </row>
    <row r="18259" hidden="1">
      <c r="E18259" s="96"/>
    </row>
    <row r="18260" hidden="1">
      <c r="E18260" s="96"/>
    </row>
    <row r="18261" hidden="1">
      <c r="E18261" s="96"/>
    </row>
    <row r="18262" hidden="1">
      <c r="E18262" s="96"/>
    </row>
    <row r="18263" hidden="1">
      <c r="E18263" s="96"/>
    </row>
    <row r="18264" hidden="1">
      <c r="E18264" s="96"/>
    </row>
    <row r="18265" hidden="1">
      <c r="E18265" s="96"/>
    </row>
    <row r="18266" hidden="1">
      <c r="E18266" s="96"/>
    </row>
    <row r="18267" hidden="1">
      <c r="E18267" s="96"/>
    </row>
    <row r="18268" hidden="1">
      <c r="E18268" s="96"/>
    </row>
    <row r="18269" hidden="1">
      <c r="E18269" s="96"/>
    </row>
    <row r="18270" hidden="1">
      <c r="E18270" s="96"/>
    </row>
    <row r="18271" hidden="1">
      <c r="E18271" s="96"/>
    </row>
    <row r="18272" hidden="1">
      <c r="E18272" s="96"/>
    </row>
    <row r="18273" hidden="1">
      <c r="E18273" s="96"/>
    </row>
    <row r="18274" hidden="1">
      <c r="E18274" s="96"/>
    </row>
    <row r="18275" hidden="1">
      <c r="E18275" s="96"/>
    </row>
    <row r="18276" hidden="1">
      <c r="E18276" s="96"/>
    </row>
    <row r="18277" hidden="1">
      <c r="E18277" s="96"/>
    </row>
    <row r="18278" hidden="1">
      <c r="E18278" s="96"/>
    </row>
    <row r="18279" hidden="1">
      <c r="E18279" s="96"/>
    </row>
    <row r="18280" hidden="1">
      <c r="E18280" s="96"/>
    </row>
    <row r="18281" hidden="1">
      <c r="E18281" s="96"/>
    </row>
    <row r="18282" hidden="1">
      <c r="E18282" s="96"/>
    </row>
    <row r="18283" hidden="1">
      <c r="E18283" s="96"/>
    </row>
    <row r="18284" hidden="1">
      <c r="E18284" s="96"/>
    </row>
    <row r="18285" hidden="1">
      <c r="E18285" s="96"/>
    </row>
    <row r="18286" hidden="1">
      <c r="E18286" s="96"/>
    </row>
    <row r="18287" hidden="1">
      <c r="E18287" s="96"/>
    </row>
    <row r="18288" hidden="1">
      <c r="E18288" s="96"/>
    </row>
    <row r="18289" hidden="1">
      <c r="E18289" s="96"/>
    </row>
    <row r="18290" hidden="1">
      <c r="E18290" s="96"/>
    </row>
    <row r="18291" hidden="1">
      <c r="E18291" s="96"/>
    </row>
    <row r="18292" hidden="1">
      <c r="E18292" s="96"/>
    </row>
    <row r="18293" hidden="1">
      <c r="E18293" s="96"/>
    </row>
    <row r="18294" hidden="1">
      <c r="E18294" s="96"/>
    </row>
    <row r="18295" hidden="1">
      <c r="E18295" s="96"/>
    </row>
    <row r="18296" hidden="1">
      <c r="E18296" s="96"/>
    </row>
    <row r="18297" hidden="1">
      <c r="E18297" s="96"/>
    </row>
    <row r="18298" hidden="1">
      <c r="E18298" s="96"/>
    </row>
    <row r="18299" hidden="1">
      <c r="E18299" s="96"/>
    </row>
    <row r="18300" hidden="1">
      <c r="E18300" s="96"/>
    </row>
    <row r="18301" hidden="1">
      <c r="E18301" s="96"/>
    </row>
    <row r="18302" hidden="1">
      <c r="E18302" s="96"/>
    </row>
    <row r="18303" hidden="1">
      <c r="E18303" s="96"/>
    </row>
    <row r="18304" hidden="1">
      <c r="E18304" s="96"/>
    </row>
    <row r="18305" hidden="1">
      <c r="E18305" s="96"/>
    </row>
    <row r="18306" hidden="1">
      <c r="E18306" s="96"/>
    </row>
    <row r="18307" hidden="1">
      <c r="E18307" s="96"/>
    </row>
    <row r="18308" hidden="1">
      <c r="E18308" s="96"/>
    </row>
    <row r="18309" hidden="1">
      <c r="E18309" s="96"/>
    </row>
    <row r="18310" hidden="1">
      <c r="E18310" s="96"/>
    </row>
    <row r="18311" hidden="1">
      <c r="E18311" s="96"/>
    </row>
    <row r="18312" hidden="1">
      <c r="E18312" s="96"/>
    </row>
    <row r="18313" hidden="1">
      <c r="E18313" s="96"/>
    </row>
    <row r="18314" hidden="1">
      <c r="E18314" s="96"/>
    </row>
    <row r="18315" hidden="1">
      <c r="E18315" s="96"/>
    </row>
    <row r="18316" hidden="1">
      <c r="E18316" s="96"/>
    </row>
    <row r="18317" hidden="1">
      <c r="E18317" s="96"/>
    </row>
    <row r="18318" hidden="1">
      <c r="E18318" s="96"/>
    </row>
    <row r="18319" hidden="1">
      <c r="E18319" s="96"/>
    </row>
    <row r="18320" hidden="1">
      <c r="E18320" s="96"/>
    </row>
    <row r="18321" hidden="1">
      <c r="E18321" s="96"/>
    </row>
    <row r="18322" hidden="1">
      <c r="E18322" s="96"/>
    </row>
    <row r="18323" hidden="1">
      <c r="E18323" s="96"/>
    </row>
    <row r="18324" hidden="1">
      <c r="E18324" s="96"/>
    </row>
    <row r="18325" hidden="1">
      <c r="E18325" s="96"/>
    </row>
    <row r="18326" hidden="1">
      <c r="E18326" s="96"/>
    </row>
    <row r="18327" hidden="1">
      <c r="E18327" s="96"/>
    </row>
    <row r="18328" hidden="1">
      <c r="E18328" s="96"/>
    </row>
    <row r="18329" hidden="1">
      <c r="E18329" s="96"/>
    </row>
    <row r="18330" hidden="1">
      <c r="E18330" s="96"/>
    </row>
    <row r="18331" hidden="1">
      <c r="E18331" s="96"/>
    </row>
    <row r="18332" hidden="1">
      <c r="E18332" s="96"/>
    </row>
    <row r="18333" hidden="1">
      <c r="E18333" s="96"/>
    </row>
    <row r="18334" hidden="1">
      <c r="E18334" s="96"/>
    </row>
    <row r="18335" hidden="1">
      <c r="E18335" s="96"/>
    </row>
    <row r="18336" hidden="1">
      <c r="E18336" s="96"/>
    </row>
    <row r="18337" hidden="1">
      <c r="E18337" s="96"/>
    </row>
    <row r="18338" hidden="1">
      <c r="E18338" s="96"/>
    </row>
    <row r="18339" hidden="1">
      <c r="E18339" s="96"/>
    </row>
    <row r="18340" hidden="1">
      <c r="E18340" s="96"/>
    </row>
    <row r="18341" hidden="1">
      <c r="E18341" s="96"/>
    </row>
    <row r="18342" hidden="1">
      <c r="E18342" s="96"/>
    </row>
    <row r="18343" hidden="1">
      <c r="E18343" s="96"/>
    </row>
    <row r="18344" hidden="1">
      <c r="E18344" s="96"/>
    </row>
    <row r="18345" hidden="1">
      <c r="E18345" s="96"/>
    </row>
    <row r="18346" hidden="1">
      <c r="E18346" s="96"/>
    </row>
    <row r="18347" hidden="1">
      <c r="E18347" s="96"/>
    </row>
    <row r="18348" hidden="1">
      <c r="E18348" s="96"/>
    </row>
    <row r="18349" hidden="1">
      <c r="E18349" s="96"/>
    </row>
    <row r="18350" hidden="1">
      <c r="E18350" s="96"/>
    </row>
    <row r="18351" hidden="1">
      <c r="E18351" s="96"/>
    </row>
    <row r="18352" hidden="1">
      <c r="E18352" s="96"/>
    </row>
    <row r="18353" hidden="1">
      <c r="E18353" s="96"/>
    </row>
    <row r="18354" hidden="1">
      <c r="E18354" s="96"/>
    </row>
    <row r="18355" hidden="1">
      <c r="E18355" s="96"/>
    </row>
    <row r="18356" hidden="1">
      <c r="E18356" s="96"/>
    </row>
    <row r="18357" hidden="1">
      <c r="E18357" s="96"/>
    </row>
    <row r="18358" hidden="1">
      <c r="E18358" s="96"/>
    </row>
    <row r="18359" hidden="1">
      <c r="E18359" s="96"/>
    </row>
    <row r="18360" hidden="1">
      <c r="E18360" s="96"/>
    </row>
    <row r="18361" hidden="1">
      <c r="E18361" s="96"/>
    </row>
    <row r="18362" hidden="1">
      <c r="E18362" s="96"/>
    </row>
    <row r="18363" hidden="1">
      <c r="E18363" s="96"/>
    </row>
    <row r="18364" hidden="1">
      <c r="E18364" s="96"/>
    </row>
    <row r="18365" hidden="1">
      <c r="E18365" s="96"/>
    </row>
    <row r="18366" hidden="1">
      <c r="E18366" s="96"/>
    </row>
    <row r="18367" hidden="1">
      <c r="E18367" s="96"/>
    </row>
    <row r="18368" hidden="1">
      <c r="E18368" s="96"/>
    </row>
    <row r="18369" hidden="1">
      <c r="E18369" s="96"/>
    </row>
    <row r="18370" hidden="1">
      <c r="E18370" s="96"/>
    </row>
    <row r="18371" hidden="1">
      <c r="E18371" s="96"/>
    </row>
    <row r="18372" hidden="1">
      <c r="E18372" s="96"/>
    </row>
    <row r="18373" hidden="1">
      <c r="E18373" s="96"/>
    </row>
    <row r="18374" hidden="1">
      <c r="E18374" s="96"/>
    </row>
    <row r="18375" hidden="1">
      <c r="E18375" s="96"/>
    </row>
    <row r="18376" hidden="1">
      <c r="E18376" s="96"/>
    </row>
    <row r="18377" hidden="1">
      <c r="E18377" s="96"/>
    </row>
    <row r="18378" hidden="1">
      <c r="E18378" s="96"/>
    </row>
    <row r="18379" hidden="1">
      <c r="E18379" s="96"/>
    </row>
    <row r="18380" hidden="1">
      <c r="E18380" s="96"/>
    </row>
    <row r="18381" hidden="1">
      <c r="E18381" s="96"/>
    </row>
    <row r="18382" hidden="1">
      <c r="E18382" s="96"/>
    </row>
    <row r="18383" hidden="1">
      <c r="E18383" s="96"/>
    </row>
    <row r="18384" hidden="1">
      <c r="E18384" s="96"/>
    </row>
    <row r="18385" hidden="1">
      <c r="E18385" s="96"/>
    </row>
    <row r="18386" hidden="1">
      <c r="E18386" s="96"/>
    </row>
    <row r="18387" hidden="1">
      <c r="E18387" s="96"/>
    </row>
    <row r="18388" hidden="1">
      <c r="E18388" s="96"/>
    </row>
    <row r="18389" hidden="1">
      <c r="E18389" s="96"/>
    </row>
    <row r="18390" hidden="1">
      <c r="E18390" s="96"/>
    </row>
    <row r="18391" hidden="1">
      <c r="E18391" s="96"/>
    </row>
    <row r="18392" hidden="1">
      <c r="E18392" s="96"/>
    </row>
    <row r="18393" hidden="1">
      <c r="E18393" s="96"/>
    </row>
    <row r="18394" hidden="1">
      <c r="E18394" s="96"/>
    </row>
    <row r="18395" hidden="1">
      <c r="E18395" s="96"/>
    </row>
    <row r="18396" hidden="1">
      <c r="E18396" s="96"/>
    </row>
    <row r="18397" hidden="1">
      <c r="E18397" s="96"/>
    </row>
    <row r="18398" hidden="1">
      <c r="E18398" s="96"/>
    </row>
    <row r="18399" hidden="1">
      <c r="E18399" s="96"/>
    </row>
    <row r="18400" hidden="1">
      <c r="E18400" s="96"/>
    </row>
    <row r="18401" hidden="1">
      <c r="E18401" s="96"/>
    </row>
    <row r="18402" hidden="1">
      <c r="E18402" s="96"/>
    </row>
    <row r="18403" hidden="1">
      <c r="E18403" s="96"/>
    </row>
    <row r="18404" hidden="1">
      <c r="E18404" s="96"/>
    </row>
    <row r="18405" hidden="1">
      <c r="E18405" s="96"/>
    </row>
    <row r="18406" hidden="1">
      <c r="E18406" s="96"/>
    </row>
    <row r="18407" hidden="1">
      <c r="E18407" s="96"/>
    </row>
    <row r="18408" hidden="1">
      <c r="E18408" s="96"/>
    </row>
    <row r="18409" hidden="1">
      <c r="E18409" s="96"/>
    </row>
    <row r="18410" hidden="1">
      <c r="E18410" s="96"/>
    </row>
    <row r="18411" hidden="1">
      <c r="E18411" s="96"/>
    </row>
    <row r="18412" hidden="1">
      <c r="E18412" s="96"/>
    </row>
    <row r="18413" hidden="1">
      <c r="E18413" s="96"/>
    </row>
    <row r="18414" hidden="1">
      <c r="E18414" s="96"/>
    </row>
    <row r="18415" hidden="1">
      <c r="E18415" s="96"/>
    </row>
    <row r="18416" hidden="1">
      <c r="E18416" s="96"/>
    </row>
    <row r="18417" hidden="1">
      <c r="E18417" s="96"/>
    </row>
    <row r="18418" hidden="1">
      <c r="E18418" s="96"/>
    </row>
    <row r="18419" hidden="1">
      <c r="E18419" s="96"/>
    </row>
    <row r="18420" hidden="1">
      <c r="E18420" s="96"/>
    </row>
    <row r="18421" hidden="1">
      <c r="E18421" s="96"/>
    </row>
    <row r="18422" hidden="1">
      <c r="E18422" s="96"/>
    </row>
    <row r="18423" hidden="1">
      <c r="E18423" s="96"/>
    </row>
    <row r="18424" hidden="1">
      <c r="E18424" s="96"/>
    </row>
    <row r="18425" hidden="1">
      <c r="E18425" s="96"/>
    </row>
    <row r="18426" hidden="1">
      <c r="E18426" s="96"/>
    </row>
    <row r="18427" hidden="1">
      <c r="E18427" s="96"/>
    </row>
    <row r="18428" hidden="1">
      <c r="E18428" s="96"/>
    </row>
    <row r="18429" hidden="1">
      <c r="E18429" s="96"/>
    </row>
    <row r="18430" hidden="1">
      <c r="E18430" s="96"/>
    </row>
    <row r="18431" hidden="1">
      <c r="E18431" s="96"/>
    </row>
    <row r="18432" hidden="1">
      <c r="E18432" s="96"/>
    </row>
    <row r="18433" hidden="1">
      <c r="E18433" s="96"/>
    </row>
    <row r="18434" hidden="1">
      <c r="E18434" s="96"/>
    </row>
    <row r="18435" hidden="1">
      <c r="E18435" s="96"/>
    </row>
    <row r="18436" hidden="1">
      <c r="E18436" s="96"/>
    </row>
    <row r="18437" hidden="1">
      <c r="E18437" s="96"/>
    </row>
    <row r="18438" hidden="1">
      <c r="E18438" s="96"/>
    </row>
    <row r="18439" hidden="1">
      <c r="E18439" s="96"/>
    </row>
    <row r="18440" hidden="1">
      <c r="E18440" s="96"/>
    </row>
    <row r="18441" hidden="1">
      <c r="E18441" s="96"/>
    </row>
    <row r="18442" hidden="1">
      <c r="E18442" s="96"/>
    </row>
    <row r="18443" hidden="1">
      <c r="E18443" s="96"/>
    </row>
    <row r="18444" hidden="1">
      <c r="E18444" s="96"/>
    </row>
    <row r="18445" hidden="1">
      <c r="E18445" s="96"/>
    </row>
    <row r="18446" hidden="1">
      <c r="E18446" s="96"/>
    </row>
    <row r="18447" hidden="1">
      <c r="E18447" s="96"/>
    </row>
    <row r="18448" hidden="1">
      <c r="E18448" s="96"/>
    </row>
    <row r="18449" hidden="1">
      <c r="E18449" s="96"/>
    </row>
    <row r="18450" hidden="1">
      <c r="E18450" s="96"/>
    </row>
    <row r="18451" hidden="1">
      <c r="E18451" s="96"/>
    </row>
    <row r="18452" hidden="1">
      <c r="E18452" s="96"/>
    </row>
    <row r="18453" hidden="1">
      <c r="E18453" s="96"/>
    </row>
    <row r="18454" hidden="1">
      <c r="E18454" s="96"/>
    </row>
    <row r="18455" hidden="1">
      <c r="E18455" s="96"/>
    </row>
    <row r="18456" hidden="1">
      <c r="E18456" s="96"/>
    </row>
    <row r="18457" hidden="1">
      <c r="E18457" s="96"/>
    </row>
    <row r="18458" hidden="1">
      <c r="E18458" s="96"/>
    </row>
    <row r="18459" hidden="1">
      <c r="E18459" s="96"/>
    </row>
    <row r="18460" hidden="1">
      <c r="E18460" s="96"/>
    </row>
    <row r="18461" hidden="1">
      <c r="E18461" s="96"/>
    </row>
    <row r="18462" hidden="1">
      <c r="E18462" s="96"/>
    </row>
    <row r="18463" hidden="1">
      <c r="E18463" s="96"/>
    </row>
    <row r="18464" hidden="1">
      <c r="E18464" s="96"/>
    </row>
    <row r="18465" hidden="1">
      <c r="E18465" s="96"/>
    </row>
    <row r="18466" hidden="1">
      <c r="E18466" s="96"/>
    </row>
    <row r="18467" hidden="1">
      <c r="E18467" s="96"/>
    </row>
    <row r="18468" hidden="1">
      <c r="E18468" s="96"/>
    </row>
    <row r="18469" hidden="1">
      <c r="E18469" s="96"/>
    </row>
    <row r="18470" hidden="1">
      <c r="E18470" s="96"/>
    </row>
    <row r="18471" hidden="1">
      <c r="E18471" s="96"/>
    </row>
    <row r="18472" hidden="1">
      <c r="E18472" s="96"/>
    </row>
    <row r="18473" hidden="1">
      <c r="E18473" s="96"/>
    </row>
    <row r="18474" hidden="1">
      <c r="E18474" s="96"/>
    </row>
    <row r="18475" hidden="1">
      <c r="E18475" s="96"/>
    </row>
    <row r="18476" hidden="1">
      <c r="E18476" s="96"/>
    </row>
    <row r="18477" hidden="1">
      <c r="E18477" s="96"/>
    </row>
    <row r="18478" hidden="1">
      <c r="E18478" s="96"/>
    </row>
    <row r="18479" hidden="1">
      <c r="E18479" s="96"/>
    </row>
    <row r="18480" hidden="1">
      <c r="E18480" s="96"/>
    </row>
    <row r="18481" hidden="1">
      <c r="E18481" s="96"/>
    </row>
    <row r="18482" hidden="1">
      <c r="E18482" s="96"/>
    </row>
    <row r="18483" hidden="1">
      <c r="E18483" s="96"/>
    </row>
    <row r="18484" hidden="1">
      <c r="E18484" s="96"/>
    </row>
    <row r="18485" hidden="1">
      <c r="E18485" s="96"/>
    </row>
    <row r="18486" hidden="1">
      <c r="E18486" s="96"/>
    </row>
    <row r="18487" hidden="1">
      <c r="E18487" s="96"/>
    </row>
    <row r="18488" hidden="1">
      <c r="E18488" s="96"/>
    </row>
    <row r="18489" hidden="1">
      <c r="E18489" s="96"/>
    </row>
    <row r="18490" hidden="1">
      <c r="E18490" s="96"/>
    </row>
    <row r="18491" hidden="1">
      <c r="E18491" s="96"/>
    </row>
    <row r="18492" hidden="1">
      <c r="E18492" s="96"/>
    </row>
    <row r="18493" hidden="1">
      <c r="E18493" s="96"/>
    </row>
    <row r="18494" hidden="1">
      <c r="E18494" s="96"/>
    </row>
    <row r="18495" hidden="1">
      <c r="E18495" s="96"/>
    </row>
    <row r="18496" hidden="1">
      <c r="E18496" s="96"/>
    </row>
    <row r="18497" hidden="1">
      <c r="E18497" s="96"/>
    </row>
    <row r="18498" hidden="1">
      <c r="E18498" s="96"/>
    </row>
    <row r="18499" hidden="1">
      <c r="E18499" s="96"/>
    </row>
    <row r="18500" hidden="1">
      <c r="E18500" s="96"/>
    </row>
    <row r="18501" hidden="1">
      <c r="E18501" s="96"/>
    </row>
    <row r="18502" hidden="1">
      <c r="E18502" s="96"/>
    </row>
    <row r="18503" hidden="1">
      <c r="E18503" s="96"/>
    </row>
    <row r="18504" hidden="1">
      <c r="E18504" s="96"/>
    </row>
    <row r="18505" hidden="1">
      <c r="E18505" s="96"/>
    </row>
    <row r="18506" hidden="1">
      <c r="E18506" s="96"/>
    </row>
    <row r="18507" hidden="1">
      <c r="E18507" s="96"/>
    </row>
    <row r="18508" hidden="1">
      <c r="E18508" s="96"/>
    </row>
    <row r="18509" hidden="1">
      <c r="E18509" s="96"/>
    </row>
    <row r="18510" hidden="1">
      <c r="E18510" s="96"/>
    </row>
    <row r="18511" hidden="1">
      <c r="E18511" s="96"/>
    </row>
    <row r="18512" hidden="1">
      <c r="E18512" s="96"/>
    </row>
    <row r="18513" hidden="1">
      <c r="E18513" s="96"/>
    </row>
    <row r="18514" hidden="1">
      <c r="E18514" s="96"/>
    </row>
    <row r="18515" hidden="1">
      <c r="E18515" s="96"/>
    </row>
    <row r="18516" hidden="1">
      <c r="E18516" s="96"/>
    </row>
    <row r="18517" hidden="1">
      <c r="E18517" s="96"/>
    </row>
    <row r="18518" hidden="1">
      <c r="E18518" s="96"/>
    </row>
    <row r="18519" hidden="1">
      <c r="E18519" s="96"/>
    </row>
    <row r="18520" hidden="1">
      <c r="E18520" s="96"/>
    </row>
    <row r="18521" hidden="1">
      <c r="E18521" s="96"/>
    </row>
    <row r="18522" hidden="1">
      <c r="E18522" s="96"/>
    </row>
    <row r="18523" hidden="1">
      <c r="E18523" s="96"/>
    </row>
    <row r="18524" hidden="1">
      <c r="E18524" s="96"/>
    </row>
    <row r="18525" hidden="1">
      <c r="E18525" s="96"/>
    </row>
    <row r="18526" hidden="1">
      <c r="E18526" s="96"/>
    </row>
    <row r="18527" hidden="1">
      <c r="E18527" s="96"/>
    </row>
    <row r="18528" hidden="1">
      <c r="E18528" s="96"/>
    </row>
    <row r="18529" hidden="1">
      <c r="E18529" s="96"/>
    </row>
    <row r="18530" hidden="1">
      <c r="E18530" s="96"/>
    </row>
    <row r="18531" hidden="1">
      <c r="E18531" s="96"/>
    </row>
    <row r="18532" hidden="1">
      <c r="E18532" s="96"/>
    </row>
    <row r="18533" hidden="1">
      <c r="E18533" s="96"/>
    </row>
    <row r="18534" hidden="1">
      <c r="E18534" s="96"/>
    </row>
    <row r="18535" hidden="1">
      <c r="E18535" s="96"/>
    </row>
    <row r="18536" hidden="1">
      <c r="E18536" s="96"/>
    </row>
    <row r="18537" hidden="1">
      <c r="E18537" s="96"/>
    </row>
    <row r="18538" hidden="1">
      <c r="E18538" s="96"/>
    </row>
    <row r="18539" hidden="1">
      <c r="E18539" s="96"/>
    </row>
    <row r="18540" hidden="1">
      <c r="E18540" s="96"/>
    </row>
    <row r="18541" hidden="1">
      <c r="E18541" s="96"/>
    </row>
    <row r="18542" hidden="1">
      <c r="E18542" s="96"/>
    </row>
    <row r="18543" hidden="1">
      <c r="E18543" s="96"/>
    </row>
    <row r="18544" hidden="1">
      <c r="E18544" s="96"/>
    </row>
    <row r="18545" hidden="1">
      <c r="E18545" s="96"/>
    </row>
    <row r="18546" hidden="1">
      <c r="E18546" s="96"/>
    </row>
    <row r="18547" hidden="1">
      <c r="E18547" s="96"/>
    </row>
    <row r="18548" hidden="1">
      <c r="E18548" s="96"/>
    </row>
    <row r="18549" hidden="1">
      <c r="E18549" s="96"/>
    </row>
    <row r="18550" hidden="1">
      <c r="E18550" s="96"/>
    </row>
    <row r="18551" hidden="1">
      <c r="E18551" s="96"/>
    </row>
    <row r="18552" hidden="1">
      <c r="E18552" s="96"/>
    </row>
    <row r="18553" hidden="1">
      <c r="E18553" s="96"/>
    </row>
    <row r="18554" hidden="1">
      <c r="E18554" s="96"/>
    </row>
    <row r="18555" hidden="1">
      <c r="E18555" s="96"/>
    </row>
    <row r="18556" hidden="1">
      <c r="E18556" s="96"/>
    </row>
    <row r="18557" hidden="1">
      <c r="E18557" s="96"/>
    </row>
    <row r="18558" hidden="1">
      <c r="E18558" s="96"/>
    </row>
    <row r="18559" hidden="1">
      <c r="E18559" s="96"/>
    </row>
    <row r="18560" hidden="1">
      <c r="E18560" s="96"/>
    </row>
    <row r="18561" hidden="1">
      <c r="E18561" s="96"/>
    </row>
    <row r="18562" hidden="1">
      <c r="E18562" s="96"/>
    </row>
    <row r="18563" hidden="1">
      <c r="E18563" s="96"/>
    </row>
    <row r="18564" hidden="1">
      <c r="E18564" s="96"/>
    </row>
    <row r="18565" hidden="1">
      <c r="E18565" s="96"/>
    </row>
    <row r="18566" hidden="1">
      <c r="E18566" s="96"/>
    </row>
    <row r="18567" hidden="1">
      <c r="E18567" s="96"/>
    </row>
    <row r="18568" hidden="1">
      <c r="E18568" s="96"/>
    </row>
    <row r="18569" hidden="1">
      <c r="E18569" s="96"/>
    </row>
    <row r="18570" hidden="1">
      <c r="E18570" s="96"/>
    </row>
    <row r="18571" hidden="1">
      <c r="E18571" s="96"/>
    </row>
    <row r="18572" hidden="1">
      <c r="E18572" s="96"/>
    </row>
    <row r="18573" hidden="1">
      <c r="E18573" s="96"/>
    </row>
    <row r="18574" hidden="1">
      <c r="E18574" s="96"/>
    </row>
    <row r="18575" hidden="1">
      <c r="E18575" s="96"/>
    </row>
    <row r="18576" hidden="1">
      <c r="E18576" s="96"/>
    </row>
    <row r="18577" hidden="1">
      <c r="E18577" s="96"/>
    </row>
    <row r="18578" hidden="1">
      <c r="E18578" s="96"/>
    </row>
    <row r="18579" hidden="1">
      <c r="E18579" s="96"/>
    </row>
    <row r="18580" hidden="1">
      <c r="E18580" s="96"/>
    </row>
    <row r="18581" hidden="1">
      <c r="E18581" s="96"/>
    </row>
    <row r="18582" hidden="1">
      <c r="E18582" s="96"/>
    </row>
    <row r="18583" hidden="1">
      <c r="E18583" s="96"/>
    </row>
    <row r="18584" hidden="1">
      <c r="E18584" s="96"/>
    </row>
    <row r="18585" hidden="1">
      <c r="E18585" s="96"/>
    </row>
    <row r="18586" hidden="1">
      <c r="E18586" s="96"/>
    </row>
    <row r="18587" hidden="1">
      <c r="E18587" s="96"/>
    </row>
    <row r="18588" hidden="1">
      <c r="E18588" s="96"/>
    </row>
    <row r="18589" hidden="1">
      <c r="E18589" s="96"/>
    </row>
    <row r="18590" hidden="1">
      <c r="E18590" s="96"/>
    </row>
    <row r="18591" hidden="1">
      <c r="E18591" s="96"/>
    </row>
    <row r="18592" hidden="1">
      <c r="E18592" s="96"/>
    </row>
    <row r="18593" hidden="1">
      <c r="E18593" s="96"/>
    </row>
    <row r="18594" hidden="1">
      <c r="E18594" s="96"/>
    </row>
    <row r="18595" hidden="1">
      <c r="E18595" s="96"/>
    </row>
    <row r="18596" hidden="1">
      <c r="E18596" s="96"/>
    </row>
    <row r="18597" hidden="1">
      <c r="E18597" s="96"/>
    </row>
    <row r="18598" hidden="1">
      <c r="E18598" s="96"/>
    </row>
    <row r="18599" hidden="1">
      <c r="E18599" s="96"/>
    </row>
    <row r="18600" hidden="1">
      <c r="E18600" s="96"/>
    </row>
    <row r="18601" hidden="1">
      <c r="E18601" s="96"/>
    </row>
    <row r="18602" hidden="1">
      <c r="E18602" s="96"/>
    </row>
    <row r="18603" hidden="1">
      <c r="E18603" s="96"/>
    </row>
    <row r="18604" hidden="1">
      <c r="E18604" s="96"/>
    </row>
    <row r="18605" hidden="1">
      <c r="E18605" s="96"/>
    </row>
    <row r="18606" hidden="1">
      <c r="E18606" s="96"/>
    </row>
    <row r="18607" hidden="1">
      <c r="E18607" s="96"/>
    </row>
    <row r="18608" hidden="1">
      <c r="E18608" s="96"/>
    </row>
    <row r="18609" hidden="1">
      <c r="E18609" s="96"/>
    </row>
    <row r="18610" hidden="1">
      <c r="E18610" s="96"/>
    </row>
    <row r="18611" hidden="1">
      <c r="E18611" s="96"/>
    </row>
    <row r="18612" hidden="1">
      <c r="E18612" s="96"/>
    </row>
    <row r="18613" hidden="1">
      <c r="E18613" s="96"/>
    </row>
    <row r="18614" hidden="1">
      <c r="E18614" s="96"/>
    </row>
    <row r="18615" hidden="1">
      <c r="E18615" s="96"/>
    </row>
    <row r="18616" hidden="1">
      <c r="E18616" s="96"/>
    </row>
    <row r="18617" hidden="1">
      <c r="E18617" s="96"/>
    </row>
    <row r="18618" hidden="1">
      <c r="E18618" s="96"/>
    </row>
    <row r="18619" hidden="1">
      <c r="E18619" s="96"/>
    </row>
    <row r="18620" hidden="1">
      <c r="E18620" s="96"/>
    </row>
    <row r="18621" hidden="1">
      <c r="E18621" s="96"/>
    </row>
    <row r="18622" hidden="1">
      <c r="E18622" s="96"/>
    </row>
    <row r="18623" hidden="1">
      <c r="E18623" s="96"/>
    </row>
    <row r="18624" hidden="1">
      <c r="E18624" s="96"/>
    </row>
    <row r="18625" hidden="1">
      <c r="E18625" s="96"/>
    </row>
    <row r="18626" hidden="1">
      <c r="E18626" s="96"/>
    </row>
    <row r="18627" hidden="1">
      <c r="E18627" s="96"/>
    </row>
    <row r="18628" hidden="1">
      <c r="E18628" s="96"/>
    </row>
    <row r="18629" hidden="1">
      <c r="E18629" s="96"/>
    </row>
    <row r="18630" hidden="1">
      <c r="E18630" s="96"/>
    </row>
    <row r="18631" hidden="1">
      <c r="E18631" s="96"/>
    </row>
    <row r="18632" hidden="1">
      <c r="E18632" s="96"/>
    </row>
    <row r="18633" hidden="1">
      <c r="E18633" s="96"/>
    </row>
    <row r="18634" hidden="1">
      <c r="E18634" s="96"/>
    </row>
    <row r="18635" hidden="1">
      <c r="E18635" s="96"/>
    </row>
    <row r="18636" hidden="1">
      <c r="E18636" s="96"/>
    </row>
    <row r="18637" hidden="1">
      <c r="E18637" s="96"/>
    </row>
    <row r="18638" hidden="1">
      <c r="E18638" s="96"/>
    </row>
    <row r="18639" hidden="1">
      <c r="E18639" s="96"/>
    </row>
    <row r="18640" hidden="1">
      <c r="E18640" s="96"/>
    </row>
    <row r="18641" hidden="1">
      <c r="E18641" s="96"/>
    </row>
    <row r="18642" hidden="1">
      <c r="E18642" s="96"/>
    </row>
    <row r="18643" hidden="1">
      <c r="E18643" s="96"/>
    </row>
    <row r="18644" hidden="1">
      <c r="E18644" s="96"/>
    </row>
    <row r="18645" hidden="1">
      <c r="E18645" s="96"/>
    </row>
    <row r="18646" hidden="1">
      <c r="E18646" s="96"/>
    </row>
    <row r="18647" hidden="1">
      <c r="E18647" s="96"/>
    </row>
    <row r="18648" hidden="1">
      <c r="E18648" s="96"/>
    </row>
    <row r="18649" hidden="1">
      <c r="E18649" s="96"/>
    </row>
    <row r="18650" hidden="1">
      <c r="E18650" s="96"/>
    </row>
    <row r="18651" hidden="1">
      <c r="E18651" s="96"/>
    </row>
    <row r="18652" hidden="1">
      <c r="E18652" s="96"/>
    </row>
    <row r="18653" hidden="1">
      <c r="E18653" s="96"/>
    </row>
    <row r="18654" hidden="1">
      <c r="E18654" s="96"/>
    </row>
    <row r="18655" hidden="1">
      <c r="E18655" s="96"/>
    </row>
    <row r="18656" hidden="1">
      <c r="E18656" s="96"/>
    </row>
    <row r="18657" hidden="1">
      <c r="E18657" s="96"/>
    </row>
    <row r="18658" hidden="1">
      <c r="E18658" s="96"/>
    </row>
    <row r="18659" hidden="1">
      <c r="E18659" s="96"/>
    </row>
    <row r="18660" hidden="1">
      <c r="E18660" s="96"/>
    </row>
    <row r="18661" hidden="1">
      <c r="E18661" s="96"/>
    </row>
    <row r="18662" hidden="1">
      <c r="E18662" s="96"/>
    </row>
    <row r="18663" hidden="1">
      <c r="E18663" s="96"/>
    </row>
    <row r="18664" hidden="1">
      <c r="E18664" s="96"/>
    </row>
    <row r="18665" hidden="1">
      <c r="E18665" s="96"/>
    </row>
    <row r="18666" hidden="1">
      <c r="E18666" s="96"/>
    </row>
    <row r="18667" hidden="1">
      <c r="E18667" s="96"/>
    </row>
    <row r="18668" hidden="1">
      <c r="E18668" s="96"/>
    </row>
    <row r="18669" hidden="1">
      <c r="E18669" s="96"/>
    </row>
    <row r="18670" hidden="1">
      <c r="E18670" s="96"/>
    </row>
    <row r="18671" hidden="1">
      <c r="E18671" s="96"/>
    </row>
    <row r="18672" hidden="1">
      <c r="E18672" s="96"/>
    </row>
    <row r="18673" hidden="1">
      <c r="E18673" s="96"/>
    </row>
    <row r="18674" hidden="1">
      <c r="E18674" s="96"/>
    </row>
    <row r="18675" hidden="1">
      <c r="E18675" s="96"/>
    </row>
    <row r="18676" hidden="1">
      <c r="E18676" s="96"/>
    </row>
    <row r="18677" hidden="1">
      <c r="E18677" s="96"/>
    </row>
    <row r="18678" hidden="1">
      <c r="E18678" s="96"/>
    </row>
    <row r="18679" hidden="1">
      <c r="E18679" s="96"/>
    </row>
    <row r="18680" hidden="1">
      <c r="E18680" s="96"/>
    </row>
    <row r="18681" hidden="1">
      <c r="E18681" s="96"/>
    </row>
    <row r="18682" hidden="1">
      <c r="E18682" s="96"/>
    </row>
    <row r="18683" hidden="1">
      <c r="E18683" s="96"/>
    </row>
    <row r="18684" hidden="1">
      <c r="E18684" s="96"/>
    </row>
    <row r="18685" hidden="1">
      <c r="E18685" s="96"/>
    </row>
    <row r="18686" hidden="1">
      <c r="E18686" s="96"/>
    </row>
    <row r="18687" hidden="1">
      <c r="E18687" s="96"/>
    </row>
    <row r="18688" hidden="1">
      <c r="E18688" s="96"/>
    </row>
    <row r="18689" hidden="1">
      <c r="E18689" s="96"/>
    </row>
    <row r="18690" hidden="1">
      <c r="E18690" s="96"/>
    </row>
    <row r="18691" hidden="1">
      <c r="E18691" s="96"/>
    </row>
    <row r="18692" hidden="1">
      <c r="E18692" s="96"/>
    </row>
    <row r="18693" hidden="1">
      <c r="E18693" s="96"/>
    </row>
    <row r="18694" hidden="1">
      <c r="E18694" s="96"/>
    </row>
    <row r="18695" hidden="1">
      <c r="E18695" s="96"/>
    </row>
    <row r="18696" hidden="1">
      <c r="E18696" s="96"/>
    </row>
    <row r="18697" hidden="1">
      <c r="E18697" s="96"/>
    </row>
    <row r="18698" hidden="1">
      <c r="E18698" s="96"/>
    </row>
    <row r="18699" hidden="1">
      <c r="E18699" s="96"/>
    </row>
    <row r="18700" hidden="1">
      <c r="E18700" s="96"/>
    </row>
    <row r="18701" hidden="1">
      <c r="E18701" s="96"/>
    </row>
    <row r="18702" hidden="1">
      <c r="E18702" s="96"/>
    </row>
    <row r="18703" hidden="1">
      <c r="E18703" s="96"/>
    </row>
    <row r="18704" hidden="1">
      <c r="E18704" s="96"/>
    </row>
    <row r="18705" hidden="1">
      <c r="E18705" s="96"/>
    </row>
    <row r="18706" hidden="1">
      <c r="E18706" s="96"/>
    </row>
    <row r="18707" hidden="1">
      <c r="E18707" s="96"/>
    </row>
    <row r="18708" hidden="1">
      <c r="E18708" s="96"/>
    </row>
    <row r="18709" hidden="1">
      <c r="E18709" s="96"/>
    </row>
    <row r="18710" hidden="1">
      <c r="E18710" s="96"/>
    </row>
    <row r="18711" hidden="1">
      <c r="E18711" s="96"/>
    </row>
    <row r="18712" hidden="1">
      <c r="E18712" s="96"/>
    </row>
    <row r="18713" hidden="1">
      <c r="E18713" s="96"/>
    </row>
    <row r="18714" hidden="1">
      <c r="E18714" s="96"/>
    </row>
    <row r="18715" hidden="1">
      <c r="E18715" s="96"/>
    </row>
    <row r="18716" hidden="1">
      <c r="E18716" s="96"/>
    </row>
    <row r="18717" hidden="1">
      <c r="E18717" s="96"/>
    </row>
    <row r="18718" hidden="1">
      <c r="E18718" s="96"/>
    </row>
    <row r="18719" hidden="1">
      <c r="E18719" s="96"/>
    </row>
    <row r="18720" hidden="1">
      <c r="E18720" s="96"/>
    </row>
    <row r="18721" hidden="1">
      <c r="E18721" s="96"/>
    </row>
    <row r="18722" hidden="1">
      <c r="E18722" s="96"/>
    </row>
    <row r="18723" hidden="1">
      <c r="E18723" s="96"/>
    </row>
    <row r="18724" hidden="1">
      <c r="E18724" s="96"/>
    </row>
    <row r="18725" hidden="1">
      <c r="E18725" s="96"/>
    </row>
    <row r="18726" hidden="1">
      <c r="E18726" s="96"/>
    </row>
    <row r="18727" hidden="1">
      <c r="E18727" s="96"/>
    </row>
    <row r="18728" hidden="1">
      <c r="E18728" s="96"/>
    </row>
    <row r="18729" hidden="1">
      <c r="E18729" s="96"/>
    </row>
    <row r="18730" hidden="1">
      <c r="E18730" s="96"/>
    </row>
    <row r="18731" hidden="1">
      <c r="E18731" s="96"/>
    </row>
    <row r="18732" hidden="1">
      <c r="E18732" s="96"/>
    </row>
    <row r="18733" hidden="1">
      <c r="E18733" s="96"/>
    </row>
    <row r="18734" hidden="1">
      <c r="E18734" s="96"/>
    </row>
    <row r="18735" hidden="1">
      <c r="E18735" s="96"/>
    </row>
    <row r="18736" hidden="1">
      <c r="E18736" s="96"/>
    </row>
    <row r="18737" hidden="1">
      <c r="E18737" s="96"/>
    </row>
    <row r="18738" hidden="1">
      <c r="E18738" s="96"/>
    </row>
    <row r="18739" hidden="1">
      <c r="E18739" s="96"/>
    </row>
    <row r="18740" hidden="1">
      <c r="E18740" s="96"/>
    </row>
    <row r="18741" hidden="1">
      <c r="E18741" s="96"/>
    </row>
    <row r="18742" hidden="1">
      <c r="E18742" s="96"/>
    </row>
    <row r="18743" hidden="1">
      <c r="E18743" s="96"/>
    </row>
    <row r="18744" hidden="1">
      <c r="E18744" s="96"/>
    </row>
    <row r="18745" hidden="1">
      <c r="E18745" s="96"/>
    </row>
    <row r="18746" hidden="1">
      <c r="E18746" s="96"/>
    </row>
    <row r="18747" hidden="1">
      <c r="E18747" s="96"/>
    </row>
    <row r="18748" hidden="1">
      <c r="E18748" s="96"/>
    </row>
    <row r="18749" hidden="1">
      <c r="E18749" s="96"/>
    </row>
    <row r="18750" hidden="1">
      <c r="E18750" s="96"/>
    </row>
    <row r="18751" hidden="1">
      <c r="E18751" s="96"/>
    </row>
    <row r="18752" hidden="1">
      <c r="E18752" s="96"/>
    </row>
    <row r="18753" hidden="1">
      <c r="E18753" s="96"/>
    </row>
    <row r="18754" hidden="1">
      <c r="E18754" s="96"/>
    </row>
    <row r="18755" hidden="1">
      <c r="E18755" s="96"/>
    </row>
    <row r="18756" hidden="1">
      <c r="E18756" s="96"/>
    </row>
    <row r="18757" hidden="1">
      <c r="E18757" s="96"/>
    </row>
    <row r="18758" hidden="1">
      <c r="E18758" s="96"/>
    </row>
    <row r="18759" hidden="1">
      <c r="E18759" s="96"/>
    </row>
    <row r="18760" hidden="1">
      <c r="E18760" s="96"/>
    </row>
    <row r="18761" hidden="1">
      <c r="E18761" s="96"/>
    </row>
    <row r="18762" hidden="1">
      <c r="E18762" s="96"/>
    </row>
    <row r="18763" hidden="1">
      <c r="E18763" s="96"/>
    </row>
    <row r="18764" hidden="1">
      <c r="E18764" s="96"/>
    </row>
    <row r="18765" hidden="1">
      <c r="E18765" s="96"/>
    </row>
    <row r="18766" hidden="1">
      <c r="E18766" s="96"/>
    </row>
    <row r="18767" hidden="1">
      <c r="E18767" s="96"/>
    </row>
    <row r="18768" hidden="1">
      <c r="E18768" s="96"/>
    </row>
    <row r="18769" hidden="1">
      <c r="E18769" s="96"/>
    </row>
    <row r="18770" hidden="1">
      <c r="E18770" s="96"/>
    </row>
    <row r="18771" hidden="1">
      <c r="E18771" s="96"/>
    </row>
    <row r="18772" hidden="1">
      <c r="E18772" s="96"/>
    </row>
    <row r="18773" hidden="1">
      <c r="E18773" s="96"/>
    </row>
    <row r="18774" hidden="1">
      <c r="E18774" s="96"/>
    </row>
    <row r="18775" hidden="1">
      <c r="E18775" s="96"/>
    </row>
    <row r="18776" hidden="1">
      <c r="E18776" s="96"/>
    </row>
    <row r="18777" hidden="1">
      <c r="E18777" s="96"/>
    </row>
    <row r="18778" hidden="1">
      <c r="E18778" s="96"/>
    </row>
    <row r="18779" hidden="1">
      <c r="E18779" s="96"/>
    </row>
    <row r="18780" hidden="1">
      <c r="E18780" s="96"/>
    </row>
    <row r="18781" hidden="1">
      <c r="E18781" s="96"/>
    </row>
    <row r="18782" hidden="1">
      <c r="E18782" s="96"/>
    </row>
    <row r="18783" hidden="1">
      <c r="E18783" s="96"/>
    </row>
    <row r="18784" hidden="1">
      <c r="E18784" s="96"/>
    </row>
    <row r="18785" hidden="1">
      <c r="E18785" s="96"/>
    </row>
    <row r="18786" hidden="1">
      <c r="E18786" s="96"/>
    </row>
    <row r="18787" hidden="1">
      <c r="E18787" s="96"/>
    </row>
    <row r="18788" hidden="1">
      <c r="E18788" s="96"/>
    </row>
    <row r="18789" hidden="1">
      <c r="E18789" s="96"/>
    </row>
    <row r="18790" hidden="1">
      <c r="E18790" s="96"/>
    </row>
    <row r="18791" hidden="1">
      <c r="E18791" s="96"/>
    </row>
    <row r="18792" hidden="1">
      <c r="E18792" s="96"/>
    </row>
    <row r="18793" hidden="1">
      <c r="E18793" s="96"/>
    </row>
    <row r="18794" hidden="1">
      <c r="E18794" s="96"/>
    </row>
    <row r="18795" hidden="1">
      <c r="E18795" s="96"/>
    </row>
    <row r="18796" hidden="1">
      <c r="E18796" s="96"/>
    </row>
    <row r="18797" hidden="1">
      <c r="E18797" s="96"/>
    </row>
    <row r="18798" hidden="1">
      <c r="E18798" s="96"/>
    </row>
    <row r="18799" hidden="1">
      <c r="E18799" s="96"/>
    </row>
    <row r="18800" hidden="1">
      <c r="E18800" s="96"/>
    </row>
    <row r="18801" hidden="1">
      <c r="E18801" s="96"/>
    </row>
    <row r="18802" hidden="1">
      <c r="E18802" s="96"/>
    </row>
    <row r="18803" hidden="1">
      <c r="E18803" s="96"/>
    </row>
    <row r="18804" hidden="1">
      <c r="E18804" s="96"/>
    </row>
    <row r="18805" hidden="1">
      <c r="E18805" s="96"/>
    </row>
    <row r="18806" hidden="1">
      <c r="E18806" s="96"/>
    </row>
    <row r="18807" hidden="1">
      <c r="E18807" s="96"/>
    </row>
    <row r="18808" hidden="1">
      <c r="E18808" s="96"/>
    </row>
    <row r="18809" hidden="1">
      <c r="E18809" s="96"/>
    </row>
    <row r="18810" hidden="1">
      <c r="E18810" s="96"/>
    </row>
    <row r="18811" hidden="1">
      <c r="E18811" s="96"/>
    </row>
    <row r="18812" hidden="1">
      <c r="E18812" s="96"/>
    </row>
    <row r="18813" hidden="1">
      <c r="E18813" s="96"/>
    </row>
    <row r="18814" hidden="1">
      <c r="E18814" s="96"/>
    </row>
    <row r="18815" hidden="1">
      <c r="E18815" s="96"/>
    </row>
    <row r="18816" hidden="1">
      <c r="E18816" s="96"/>
    </row>
    <row r="18817" hidden="1">
      <c r="E18817" s="96"/>
    </row>
    <row r="18818" hidden="1">
      <c r="E18818" s="96"/>
    </row>
    <row r="18819" hidden="1">
      <c r="E18819" s="96"/>
    </row>
    <row r="18820" hidden="1">
      <c r="E18820" s="96"/>
    </row>
    <row r="18821" hidden="1">
      <c r="E18821" s="96"/>
    </row>
    <row r="18822" hidden="1">
      <c r="E18822" s="96"/>
    </row>
    <row r="18823" hidden="1">
      <c r="E18823" s="96"/>
    </row>
    <row r="18824" hidden="1">
      <c r="E18824" s="96"/>
    </row>
    <row r="18825" hidden="1">
      <c r="E18825" s="96"/>
    </row>
    <row r="18826" hidden="1">
      <c r="E18826" s="96"/>
    </row>
    <row r="18827" hidden="1">
      <c r="E18827" s="96"/>
    </row>
    <row r="18828" hidden="1">
      <c r="E18828" s="96"/>
    </row>
    <row r="18829" hidden="1">
      <c r="E18829" s="96"/>
    </row>
    <row r="18830" hidden="1">
      <c r="E18830" s="96"/>
    </row>
    <row r="18831" hidden="1">
      <c r="E18831" s="96"/>
    </row>
    <row r="18832" hidden="1">
      <c r="E18832" s="96"/>
    </row>
    <row r="18833" hidden="1">
      <c r="E18833" s="96"/>
    </row>
    <row r="18834" hidden="1">
      <c r="E18834" s="96"/>
    </row>
    <row r="18835" hidden="1">
      <c r="E18835" s="96"/>
    </row>
    <row r="18836" hidden="1">
      <c r="E18836" s="96"/>
    </row>
    <row r="18837" hidden="1">
      <c r="E18837" s="96"/>
    </row>
    <row r="18838" hidden="1">
      <c r="E18838" s="96"/>
    </row>
    <row r="18839" hidden="1">
      <c r="E18839" s="96"/>
    </row>
    <row r="18840" hidden="1">
      <c r="E18840" s="96"/>
    </row>
    <row r="18841" hidden="1">
      <c r="E18841" s="96"/>
    </row>
    <row r="18842" hidden="1">
      <c r="E18842" s="96"/>
    </row>
    <row r="18843" hidden="1">
      <c r="E18843" s="96"/>
    </row>
    <row r="18844" hidden="1">
      <c r="E18844" s="96"/>
    </row>
    <row r="18845" hidden="1">
      <c r="E18845" s="96"/>
    </row>
    <row r="18846" hidden="1">
      <c r="E18846" s="96"/>
    </row>
    <row r="18847" hidden="1">
      <c r="E18847" s="96"/>
    </row>
    <row r="18848" hidden="1">
      <c r="E18848" s="96"/>
    </row>
    <row r="18849" hidden="1">
      <c r="E18849" s="96"/>
    </row>
    <row r="18850" hidden="1">
      <c r="E18850" s="96"/>
    </row>
    <row r="18851" hidden="1">
      <c r="E18851" s="96"/>
    </row>
    <row r="18852" hidden="1">
      <c r="E18852" s="96"/>
    </row>
    <row r="18853" hidden="1">
      <c r="E18853" s="96"/>
    </row>
    <row r="18854" hidden="1">
      <c r="E18854" s="96"/>
    </row>
    <row r="18855" hidden="1">
      <c r="E18855" s="96"/>
    </row>
    <row r="18856" hidden="1">
      <c r="E18856" s="96"/>
    </row>
    <row r="18857" hidden="1">
      <c r="E18857" s="96"/>
    </row>
    <row r="18858" hidden="1">
      <c r="E18858" s="96"/>
    </row>
    <row r="18859" hidden="1">
      <c r="E18859" s="96"/>
    </row>
    <row r="18860" hidden="1">
      <c r="E18860" s="96"/>
    </row>
    <row r="18861" hidden="1">
      <c r="E18861" s="96"/>
    </row>
    <row r="18862" hidden="1">
      <c r="E18862" s="96"/>
    </row>
    <row r="18863" hidden="1">
      <c r="E18863" s="96"/>
    </row>
    <row r="18864" hidden="1">
      <c r="E18864" s="96"/>
    </row>
    <row r="18865" hidden="1">
      <c r="E18865" s="96"/>
    </row>
    <row r="18866" hidden="1">
      <c r="E18866" s="96"/>
    </row>
    <row r="18867" hidden="1">
      <c r="E18867" s="96"/>
    </row>
    <row r="18868" hidden="1">
      <c r="E18868" s="96"/>
    </row>
    <row r="18869" hidden="1">
      <c r="E18869" s="96"/>
    </row>
    <row r="18870" hidden="1">
      <c r="E18870" s="96"/>
    </row>
    <row r="18871" hidden="1">
      <c r="E18871" s="96"/>
    </row>
    <row r="18872" hidden="1">
      <c r="E18872" s="96"/>
    </row>
    <row r="18873" hidden="1">
      <c r="E18873" s="96"/>
    </row>
    <row r="18874" hidden="1">
      <c r="E18874" s="96"/>
    </row>
    <row r="18875" hidden="1">
      <c r="E18875" s="96"/>
    </row>
    <row r="18876" hidden="1">
      <c r="E18876" s="96"/>
    </row>
    <row r="18877" hidden="1">
      <c r="E18877" s="96"/>
    </row>
    <row r="18878" hidden="1">
      <c r="E18878" s="96"/>
    </row>
    <row r="18879" hidden="1">
      <c r="E18879" s="96"/>
    </row>
    <row r="18880" hidden="1">
      <c r="E18880" s="96"/>
    </row>
    <row r="18881" hidden="1">
      <c r="E18881" s="96"/>
    </row>
    <row r="18882" hidden="1">
      <c r="E18882" s="96"/>
    </row>
    <row r="18883" hidden="1">
      <c r="E18883" s="96"/>
    </row>
    <row r="18884" hidden="1">
      <c r="E18884" s="96"/>
    </row>
    <row r="18885" hidden="1">
      <c r="E18885" s="96"/>
    </row>
    <row r="18886" hidden="1">
      <c r="E18886" s="96"/>
    </row>
    <row r="18887" hidden="1">
      <c r="E18887" s="96"/>
    </row>
    <row r="18888" hidden="1">
      <c r="E18888" s="96"/>
    </row>
    <row r="18889" hidden="1">
      <c r="E18889" s="96"/>
    </row>
    <row r="18890" hidden="1">
      <c r="E18890" s="96"/>
    </row>
    <row r="18891" hidden="1">
      <c r="E18891" s="96"/>
    </row>
    <row r="18892" hidden="1">
      <c r="E18892" s="96"/>
    </row>
    <row r="18893" hidden="1">
      <c r="E18893" s="96"/>
    </row>
    <row r="18894" hidden="1">
      <c r="E18894" s="96"/>
    </row>
    <row r="18895" hidden="1">
      <c r="E18895" s="96"/>
    </row>
    <row r="18896" hidden="1">
      <c r="E18896" s="96"/>
    </row>
    <row r="18897" hidden="1">
      <c r="E18897" s="96"/>
    </row>
    <row r="18898" hidden="1">
      <c r="E18898" s="96"/>
    </row>
    <row r="18899" hidden="1">
      <c r="E18899" s="96"/>
    </row>
    <row r="18900" hidden="1">
      <c r="E18900" s="96"/>
    </row>
    <row r="18901" hidden="1">
      <c r="E18901" s="96"/>
    </row>
    <row r="18902" hidden="1">
      <c r="E18902" s="96"/>
    </row>
    <row r="18903" hidden="1">
      <c r="E18903" s="96"/>
    </row>
    <row r="18904" hidden="1">
      <c r="E18904" s="96"/>
    </row>
    <row r="18905" hidden="1">
      <c r="E18905" s="96"/>
    </row>
    <row r="18906" hidden="1">
      <c r="E18906" s="96"/>
    </row>
    <row r="18907" hidden="1">
      <c r="E18907" s="96"/>
    </row>
    <row r="18908" hidden="1">
      <c r="E18908" s="96"/>
    </row>
    <row r="18909" hidden="1">
      <c r="E18909" s="96"/>
    </row>
    <row r="18910" hidden="1">
      <c r="E18910" s="96"/>
    </row>
    <row r="18911" hidden="1">
      <c r="E18911" s="96"/>
    </row>
    <row r="18912" hidden="1">
      <c r="E18912" s="96"/>
    </row>
    <row r="18913" hidden="1">
      <c r="E18913" s="96"/>
    </row>
    <row r="18914" hidden="1">
      <c r="E18914" s="96"/>
    </row>
    <row r="18915" hidden="1">
      <c r="E18915" s="96"/>
    </row>
    <row r="18916" hidden="1">
      <c r="E18916" s="96"/>
    </row>
    <row r="18917" hidden="1">
      <c r="E18917" s="96"/>
    </row>
    <row r="18918" hidden="1">
      <c r="E18918" s="96"/>
    </row>
    <row r="18919" hidden="1">
      <c r="E18919" s="96"/>
    </row>
    <row r="18920" hidden="1">
      <c r="E18920" s="96"/>
    </row>
    <row r="18921" hidden="1">
      <c r="E18921" s="96"/>
    </row>
    <row r="18922" hidden="1">
      <c r="E18922" s="96"/>
    </row>
    <row r="18923" hidden="1">
      <c r="E18923" s="96"/>
    </row>
    <row r="18924" hidden="1">
      <c r="E18924" s="96"/>
    </row>
    <row r="18925" hidden="1">
      <c r="E18925" s="96"/>
    </row>
    <row r="18926" hidden="1">
      <c r="E18926" s="96"/>
    </row>
    <row r="18927" hidden="1">
      <c r="E18927" s="96"/>
    </row>
    <row r="18928" hidden="1">
      <c r="E18928" s="96"/>
    </row>
    <row r="18929" hidden="1">
      <c r="E18929" s="96"/>
    </row>
    <row r="18930" hidden="1">
      <c r="E18930" s="96"/>
    </row>
    <row r="18931" hidden="1">
      <c r="E18931" s="96"/>
    </row>
    <row r="18932" hidden="1">
      <c r="E18932" s="96"/>
    </row>
    <row r="18933" hidden="1">
      <c r="E18933" s="96"/>
    </row>
    <row r="18934" hidden="1">
      <c r="E18934" s="96"/>
    </row>
    <row r="18935" hidden="1">
      <c r="E18935" s="96"/>
    </row>
    <row r="18936" hidden="1">
      <c r="E18936" s="96"/>
    </row>
    <row r="18937" hidden="1">
      <c r="E18937" s="96"/>
    </row>
    <row r="18938" hidden="1">
      <c r="E18938" s="96"/>
    </row>
    <row r="18939" hidden="1">
      <c r="E18939" s="96"/>
    </row>
    <row r="18940" hidden="1">
      <c r="E18940" s="96"/>
    </row>
    <row r="18941" hidden="1">
      <c r="E18941" s="96"/>
    </row>
    <row r="18942" hidden="1">
      <c r="E18942" s="96"/>
    </row>
    <row r="18943" hidden="1">
      <c r="E18943" s="96"/>
    </row>
    <row r="18944" hidden="1">
      <c r="E18944" s="96"/>
    </row>
    <row r="18945" hidden="1">
      <c r="E18945" s="96"/>
    </row>
    <row r="18946" hidden="1">
      <c r="E18946" s="96"/>
    </row>
    <row r="18947" hidden="1">
      <c r="E18947" s="96"/>
    </row>
    <row r="18948" hidden="1">
      <c r="E18948" s="96"/>
    </row>
    <row r="18949" hidden="1">
      <c r="E18949" s="96"/>
    </row>
    <row r="18950" hidden="1">
      <c r="E18950" s="96"/>
    </row>
    <row r="18951" hidden="1">
      <c r="E18951" s="96"/>
    </row>
    <row r="18952" hidden="1">
      <c r="E18952" s="96"/>
    </row>
    <row r="18953" hidden="1">
      <c r="E18953" s="96"/>
    </row>
    <row r="18954" hidden="1">
      <c r="E18954" s="96"/>
    </row>
    <row r="18955" hidden="1">
      <c r="E18955" s="96"/>
    </row>
    <row r="18956" hidden="1">
      <c r="E18956" s="96"/>
    </row>
    <row r="18957" hidden="1">
      <c r="E18957" s="96"/>
    </row>
    <row r="18958" hidden="1">
      <c r="E18958" s="96"/>
    </row>
    <row r="18959" hidden="1">
      <c r="E18959" s="96"/>
    </row>
    <row r="18960" hidden="1">
      <c r="E18960" s="96"/>
    </row>
    <row r="18961" hidden="1">
      <c r="E18961" s="96"/>
    </row>
    <row r="18962" hidden="1">
      <c r="E18962" s="96"/>
    </row>
    <row r="18963" hidden="1">
      <c r="E18963" s="96"/>
    </row>
    <row r="18964" hidden="1">
      <c r="E18964" s="96"/>
    </row>
    <row r="18965" hidden="1">
      <c r="E18965" s="96"/>
    </row>
    <row r="18966" hidden="1">
      <c r="E18966" s="96"/>
    </row>
    <row r="18967" hidden="1">
      <c r="E18967" s="96"/>
    </row>
    <row r="18968" hidden="1">
      <c r="E18968" s="96"/>
    </row>
    <row r="18969" hidden="1">
      <c r="E18969" s="96"/>
    </row>
    <row r="18970" hidden="1">
      <c r="E18970" s="96"/>
    </row>
    <row r="18971" hidden="1">
      <c r="E18971" s="96"/>
    </row>
    <row r="18972" hidden="1">
      <c r="E18972" s="96"/>
    </row>
    <row r="18973" hidden="1">
      <c r="E18973" s="96"/>
    </row>
    <row r="18974" hidden="1">
      <c r="E18974" s="96"/>
    </row>
    <row r="18975" hidden="1">
      <c r="E18975" s="96"/>
    </row>
    <row r="18976" hidden="1">
      <c r="E18976" s="96"/>
    </row>
    <row r="18977" hidden="1">
      <c r="E18977" s="96"/>
    </row>
    <row r="18978" hidden="1">
      <c r="E18978" s="96"/>
    </row>
    <row r="18979" hidden="1">
      <c r="E18979" s="96"/>
    </row>
    <row r="18980" hidden="1">
      <c r="E18980" s="96"/>
    </row>
    <row r="18981" hidden="1">
      <c r="E18981" s="96"/>
    </row>
    <row r="18982" hidden="1">
      <c r="E18982" s="96"/>
    </row>
    <row r="18983" hidden="1">
      <c r="E18983" s="96"/>
    </row>
    <row r="18984" hidden="1">
      <c r="E18984" s="96"/>
    </row>
    <row r="18985" hidden="1">
      <c r="E18985" s="96"/>
    </row>
    <row r="18986" hidden="1">
      <c r="E18986" s="96"/>
    </row>
    <row r="18987" hidden="1">
      <c r="E18987" s="96"/>
    </row>
    <row r="18988" hidden="1">
      <c r="E18988" s="96"/>
    </row>
    <row r="18989" hidden="1">
      <c r="E18989" s="96"/>
    </row>
    <row r="18990" hidden="1">
      <c r="E18990" s="96"/>
    </row>
    <row r="18991" hidden="1">
      <c r="E18991" s="96"/>
    </row>
    <row r="18992" hidden="1">
      <c r="E18992" s="96"/>
    </row>
    <row r="18993" hidden="1">
      <c r="E18993" s="96"/>
    </row>
    <row r="18994" hidden="1">
      <c r="E18994" s="96"/>
    </row>
    <row r="18995" hidden="1">
      <c r="E18995" s="96"/>
    </row>
    <row r="18996" hidden="1">
      <c r="E18996" s="96"/>
    </row>
    <row r="18997" hidden="1">
      <c r="E18997" s="96"/>
    </row>
    <row r="18998" hidden="1">
      <c r="E18998" s="96"/>
    </row>
    <row r="18999" hidden="1">
      <c r="E18999" s="96"/>
    </row>
    <row r="19000" hidden="1">
      <c r="E19000" s="96"/>
    </row>
    <row r="19001" hidden="1">
      <c r="E19001" s="96"/>
    </row>
    <row r="19002" hidden="1">
      <c r="E19002" s="96"/>
    </row>
    <row r="19003" hidden="1">
      <c r="E19003" s="96"/>
    </row>
    <row r="19004" hidden="1">
      <c r="E19004" s="96"/>
    </row>
    <row r="19005" hidden="1">
      <c r="E19005" s="96"/>
    </row>
    <row r="19006" hidden="1">
      <c r="E19006" s="96"/>
    </row>
    <row r="19007" hidden="1">
      <c r="E19007" s="96"/>
    </row>
    <row r="19008" hidden="1">
      <c r="E19008" s="96"/>
    </row>
    <row r="19009" hidden="1">
      <c r="E19009" s="96"/>
    </row>
    <row r="19010" hidden="1">
      <c r="E19010" s="96"/>
    </row>
    <row r="19011" hidden="1">
      <c r="E19011" s="96"/>
    </row>
    <row r="19012" hidden="1">
      <c r="E19012" s="96"/>
    </row>
    <row r="19013" hidden="1">
      <c r="E19013" s="96"/>
    </row>
    <row r="19014" hidden="1">
      <c r="E19014" s="96"/>
    </row>
    <row r="19015" hidden="1">
      <c r="E19015" s="96"/>
    </row>
    <row r="19016" hidden="1">
      <c r="E19016" s="96"/>
    </row>
    <row r="19017" hidden="1">
      <c r="E19017" s="96"/>
    </row>
    <row r="19018" hidden="1">
      <c r="E19018" s="96"/>
    </row>
    <row r="19019" hidden="1">
      <c r="E19019" s="96"/>
    </row>
    <row r="19020" hidden="1">
      <c r="E19020" s="96"/>
    </row>
    <row r="19021" hidden="1">
      <c r="E19021" s="96"/>
    </row>
    <row r="19022" hidden="1">
      <c r="E19022" s="96"/>
    </row>
    <row r="19023" hidden="1">
      <c r="E19023" s="96"/>
    </row>
    <row r="19024" hidden="1">
      <c r="E19024" s="96"/>
    </row>
    <row r="19025" hidden="1">
      <c r="E19025" s="96"/>
    </row>
    <row r="19026" hidden="1">
      <c r="E19026" s="96"/>
    </row>
    <row r="19027" hidden="1">
      <c r="E19027" s="96"/>
    </row>
    <row r="19028" hidden="1">
      <c r="E19028" s="96"/>
    </row>
    <row r="19029" hidden="1">
      <c r="E19029" s="96"/>
    </row>
    <row r="19030" hidden="1">
      <c r="E19030" s="96"/>
    </row>
    <row r="19031" hidden="1">
      <c r="E19031" s="96"/>
    </row>
    <row r="19032" hidden="1">
      <c r="E19032" s="96"/>
    </row>
    <row r="19033" hidden="1">
      <c r="E19033" s="96"/>
    </row>
    <row r="19034" hidden="1">
      <c r="E19034" s="96"/>
    </row>
    <row r="19035" hidden="1">
      <c r="E19035" s="96"/>
    </row>
    <row r="19036" hidden="1">
      <c r="E19036" s="96"/>
    </row>
    <row r="19037" hidden="1">
      <c r="E19037" s="96"/>
    </row>
    <row r="19038" hidden="1">
      <c r="E19038" s="96"/>
    </row>
    <row r="19039" hidden="1">
      <c r="E19039" s="96"/>
    </row>
    <row r="19040" hidden="1">
      <c r="E19040" s="96"/>
    </row>
    <row r="19041" hidden="1">
      <c r="E19041" s="96"/>
    </row>
    <row r="19042" hidden="1">
      <c r="E19042" s="96"/>
    </row>
    <row r="19043" hidden="1">
      <c r="E19043" s="96"/>
    </row>
    <row r="19044" hidden="1">
      <c r="E19044" s="96"/>
    </row>
    <row r="19045" hidden="1">
      <c r="E19045" s="96"/>
    </row>
    <row r="19046" hidden="1">
      <c r="E19046" s="96"/>
    </row>
    <row r="19047" hidden="1">
      <c r="E19047" s="96"/>
    </row>
    <row r="19048" hidden="1">
      <c r="E19048" s="96"/>
    </row>
    <row r="19049" hidden="1">
      <c r="E19049" s="96"/>
    </row>
    <row r="19050" hidden="1">
      <c r="E19050" s="96"/>
    </row>
    <row r="19051" hidden="1">
      <c r="E19051" s="96"/>
    </row>
    <row r="19052" hidden="1">
      <c r="E19052" s="96"/>
    </row>
    <row r="19053" hidden="1">
      <c r="E19053" s="96"/>
    </row>
    <row r="19054" hidden="1">
      <c r="E19054" s="96"/>
    </row>
    <row r="19055" hidden="1">
      <c r="E19055" s="96"/>
    </row>
    <row r="19056" hidden="1">
      <c r="E19056" s="96"/>
    </row>
    <row r="19057" hidden="1">
      <c r="E19057" s="96"/>
    </row>
    <row r="19058" hidden="1">
      <c r="E19058" s="96"/>
    </row>
    <row r="19059" hidden="1">
      <c r="E19059" s="96"/>
    </row>
    <row r="19060" hidden="1">
      <c r="E19060" s="96"/>
    </row>
    <row r="19061" hidden="1">
      <c r="E19061" s="96"/>
    </row>
    <row r="19062" hidden="1">
      <c r="E19062" s="96"/>
    </row>
    <row r="19063" hidden="1">
      <c r="E19063" s="96"/>
    </row>
    <row r="19064" hidden="1">
      <c r="E19064" s="96"/>
    </row>
    <row r="19065" hidden="1">
      <c r="E19065" s="96"/>
    </row>
    <row r="19066" hidden="1">
      <c r="E19066" s="96"/>
    </row>
    <row r="19067" hidden="1">
      <c r="E19067" s="96"/>
    </row>
    <row r="19068" hidden="1">
      <c r="E19068" s="96"/>
    </row>
    <row r="19069" hidden="1">
      <c r="E19069" s="96"/>
    </row>
    <row r="19070" hidden="1">
      <c r="E19070" s="96"/>
    </row>
    <row r="19071" hidden="1">
      <c r="E19071" s="96"/>
    </row>
    <row r="19072" hidden="1">
      <c r="E19072" s="96"/>
    </row>
    <row r="19073" hidden="1">
      <c r="E19073" s="96"/>
    </row>
    <row r="19074" hidden="1">
      <c r="E19074" s="96"/>
    </row>
    <row r="19075" hidden="1">
      <c r="E19075" s="96"/>
    </row>
    <row r="19076" hidden="1">
      <c r="E19076" s="96"/>
    </row>
    <row r="19077" hidden="1">
      <c r="E19077" s="96"/>
    </row>
    <row r="19078" hidden="1">
      <c r="E19078" s="96"/>
    </row>
    <row r="19079" hidden="1">
      <c r="E19079" s="96"/>
    </row>
    <row r="19080" hidden="1">
      <c r="E19080" s="96"/>
    </row>
    <row r="19081" hidden="1">
      <c r="E19081" s="96"/>
    </row>
    <row r="19082" hidden="1">
      <c r="E19082" s="96"/>
    </row>
    <row r="19083" hidden="1">
      <c r="E19083" s="96"/>
    </row>
    <row r="19084" hidden="1">
      <c r="E19084" s="96"/>
    </row>
    <row r="19085" hidden="1">
      <c r="E19085" s="96"/>
    </row>
    <row r="19086" hidden="1">
      <c r="E19086" s="96"/>
    </row>
    <row r="19087" hidden="1">
      <c r="E19087" s="96"/>
    </row>
    <row r="19088" hidden="1">
      <c r="E19088" s="96"/>
    </row>
    <row r="19089" hidden="1">
      <c r="E19089" s="96"/>
    </row>
    <row r="19090" hidden="1">
      <c r="E19090" s="96"/>
    </row>
    <row r="19091" hidden="1">
      <c r="E19091" s="96"/>
    </row>
    <row r="19092" hidden="1">
      <c r="E19092" s="96"/>
    </row>
    <row r="19093" hidden="1">
      <c r="E19093" s="96"/>
    </row>
    <row r="19094" hidden="1">
      <c r="E19094" s="96"/>
    </row>
    <row r="19095" hidden="1">
      <c r="E19095" s="96"/>
    </row>
    <row r="19096" hidden="1">
      <c r="E19096" s="96"/>
    </row>
    <row r="19097" hidden="1">
      <c r="E19097" s="96"/>
    </row>
    <row r="19098" hidden="1">
      <c r="E19098" s="96"/>
    </row>
    <row r="19099" hidden="1">
      <c r="E19099" s="96"/>
    </row>
    <row r="19100" hidden="1">
      <c r="E19100" s="96"/>
    </row>
    <row r="19101" hidden="1">
      <c r="E19101" s="96"/>
    </row>
    <row r="19102" hidden="1">
      <c r="E19102" s="96"/>
    </row>
    <row r="19103" hidden="1">
      <c r="E19103" s="96"/>
    </row>
    <row r="19104" hidden="1">
      <c r="E19104" s="96"/>
    </row>
    <row r="19105" hidden="1">
      <c r="E19105" s="96"/>
    </row>
    <row r="19106" hidden="1">
      <c r="E19106" s="96"/>
    </row>
    <row r="19107" hidden="1">
      <c r="E19107" s="96"/>
    </row>
    <row r="19108" hidden="1">
      <c r="E19108" s="96"/>
    </row>
    <row r="19109" hidden="1">
      <c r="E19109" s="96"/>
    </row>
    <row r="19110" hidden="1">
      <c r="E19110" s="96"/>
    </row>
    <row r="19111" hidden="1">
      <c r="E19111" s="96"/>
    </row>
    <row r="19112" hidden="1">
      <c r="E19112" s="96"/>
    </row>
    <row r="19113" hidden="1">
      <c r="E19113" s="96"/>
    </row>
    <row r="19114" hidden="1">
      <c r="E19114" s="96"/>
    </row>
    <row r="19115" hidden="1">
      <c r="E19115" s="96"/>
    </row>
    <row r="19116" hidden="1">
      <c r="E19116" s="96"/>
    </row>
    <row r="19117" hidden="1">
      <c r="E19117" s="96"/>
    </row>
    <row r="19118" hidden="1">
      <c r="E19118" s="96"/>
    </row>
    <row r="19119" hidden="1">
      <c r="E19119" s="96"/>
    </row>
    <row r="19120" hidden="1">
      <c r="E19120" s="96"/>
    </row>
    <row r="19121" hidden="1">
      <c r="E19121" s="96"/>
    </row>
    <row r="19122" hidden="1">
      <c r="E19122" s="96"/>
    </row>
    <row r="19123" hidden="1">
      <c r="E19123" s="96"/>
    </row>
    <row r="19124" hidden="1">
      <c r="E19124" s="96"/>
    </row>
    <row r="19125" hidden="1">
      <c r="E19125" s="96"/>
    </row>
    <row r="19126" hidden="1">
      <c r="E19126" s="96"/>
    </row>
    <row r="19127" hidden="1">
      <c r="E19127" s="96"/>
    </row>
    <row r="19128" hidden="1">
      <c r="E19128" s="96"/>
    </row>
    <row r="19129" hidden="1">
      <c r="E19129" s="96"/>
    </row>
    <row r="19130" hidden="1">
      <c r="E19130" s="96"/>
    </row>
    <row r="19131" hidden="1">
      <c r="E19131" s="96"/>
    </row>
    <row r="19132" hidden="1">
      <c r="E19132" s="96"/>
    </row>
    <row r="19133" hidden="1">
      <c r="E19133" s="96"/>
    </row>
    <row r="19134" hidden="1">
      <c r="E19134" s="96"/>
    </row>
    <row r="19135" hidden="1">
      <c r="E19135" s="96"/>
    </row>
    <row r="19136" hidden="1">
      <c r="E19136" s="96"/>
    </row>
    <row r="19137" hidden="1">
      <c r="E19137" s="96"/>
    </row>
    <row r="19138" hidden="1">
      <c r="E19138" s="96"/>
    </row>
    <row r="19139" hidden="1">
      <c r="E19139" s="96"/>
    </row>
    <row r="19140" hidden="1">
      <c r="E19140" s="96"/>
    </row>
    <row r="19141" hidden="1">
      <c r="E19141" s="96"/>
    </row>
    <row r="19142" hidden="1">
      <c r="E19142" s="96"/>
    </row>
    <row r="19143" hidden="1">
      <c r="E19143" s="96"/>
    </row>
    <row r="19144" hidden="1">
      <c r="E19144" s="96"/>
    </row>
    <row r="19145" hidden="1">
      <c r="E19145" s="96"/>
    </row>
    <row r="19146" hidden="1">
      <c r="E19146" s="96"/>
    </row>
    <row r="19147" hidden="1">
      <c r="E19147" s="96"/>
    </row>
    <row r="19148" hidden="1">
      <c r="E19148" s="96"/>
    </row>
    <row r="19149" hidden="1">
      <c r="E19149" s="96"/>
    </row>
    <row r="19150" hidden="1">
      <c r="E19150" s="96"/>
    </row>
    <row r="19151" hidden="1">
      <c r="E19151" s="96"/>
    </row>
    <row r="19152" hidden="1">
      <c r="E19152" s="96"/>
    </row>
    <row r="19153" hidden="1">
      <c r="E19153" s="96"/>
    </row>
    <row r="19154" hidden="1">
      <c r="E19154" s="96"/>
    </row>
    <row r="19155" hidden="1">
      <c r="E19155" s="96"/>
    </row>
    <row r="19156" hidden="1">
      <c r="E19156" s="96"/>
    </row>
    <row r="19157" hidden="1">
      <c r="E19157" s="96"/>
    </row>
    <row r="19158" hidden="1">
      <c r="E19158" s="96"/>
    </row>
    <row r="19159" hidden="1">
      <c r="E19159" s="96"/>
    </row>
    <row r="19160" hidden="1">
      <c r="E19160" s="96"/>
    </row>
    <row r="19161" hidden="1">
      <c r="E19161" s="96"/>
    </row>
    <row r="19162" hidden="1">
      <c r="E19162" s="96"/>
    </row>
    <row r="19163" hidden="1">
      <c r="E19163" s="96"/>
    </row>
    <row r="19164" hidden="1">
      <c r="E19164" s="96"/>
    </row>
    <row r="19165" hidden="1">
      <c r="E19165" s="96"/>
    </row>
    <row r="19166" hidden="1">
      <c r="E19166" s="96"/>
    </row>
    <row r="19167" hidden="1">
      <c r="E19167" s="96"/>
    </row>
    <row r="19168" hidden="1">
      <c r="E19168" s="96"/>
    </row>
    <row r="19169" hidden="1">
      <c r="E19169" s="96"/>
    </row>
    <row r="19170" hidden="1">
      <c r="E19170" s="96"/>
    </row>
    <row r="19171" hidden="1">
      <c r="E19171" s="96"/>
    </row>
    <row r="19172" hidden="1">
      <c r="E19172" s="96"/>
    </row>
    <row r="19173" hidden="1">
      <c r="E19173" s="96"/>
    </row>
    <row r="19174" hidden="1">
      <c r="E19174" s="96"/>
    </row>
    <row r="19175" hidden="1">
      <c r="E19175" s="96"/>
    </row>
    <row r="19176" hidden="1">
      <c r="E19176" s="96"/>
    </row>
    <row r="19177" hidden="1">
      <c r="E19177" s="96"/>
    </row>
    <row r="19178" hidden="1">
      <c r="E19178" s="96"/>
    </row>
    <row r="19179" hidden="1">
      <c r="E19179" s="96"/>
    </row>
    <row r="19180" hidden="1">
      <c r="E19180" s="96"/>
    </row>
    <row r="19181" hidden="1">
      <c r="E19181" s="96"/>
    </row>
    <row r="19182" hidden="1">
      <c r="E19182" s="96"/>
    </row>
    <row r="19183" hidden="1">
      <c r="E19183" s="96"/>
    </row>
    <row r="19184" hidden="1">
      <c r="E19184" s="96"/>
    </row>
    <row r="19185" hidden="1">
      <c r="E19185" s="96"/>
    </row>
    <row r="19186" hidden="1">
      <c r="E19186" s="96"/>
    </row>
    <row r="19187" hidden="1">
      <c r="E19187" s="96"/>
    </row>
    <row r="19188" hidden="1">
      <c r="E19188" s="96"/>
    </row>
    <row r="19189" hidden="1">
      <c r="E19189" s="96"/>
    </row>
    <row r="19190" hidden="1">
      <c r="E19190" s="96"/>
    </row>
    <row r="19191" hidden="1">
      <c r="E19191" s="96"/>
    </row>
    <row r="19192" hidden="1">
      <c r="E19192" s="96"/>
    </row>
    <row r="19193" hidden="1">
      <c r="E19193" s="96"/>
    </row>
    <row r="19194" hidden="1">
      <c r="E19194" s="96"/>
    </row>
    <row r="19195" hidden="1">
      <c r="E19195" s="96"/>
    </row>
    <row r="19196" hidden="1">
      <c r="E19196" s="96"/>
    </row>
    <row r="19197" hidden="1">
      <c r="E19197" s="96"/>
    </row>
    <row r="19198" hidden="1">
      <c r="E19198" s="96"/>
    </row>
    <row r="19199" hidden="1">
      <c r="E19199" s="96"/>
    </row>
    <row r="19200" hidden="1">
      <c r="E19200" s="96"/>
    </row>
    <row r="19201" hidden="1">
      <c r="E19201" s="96"/>
    </row>
    <row r="19202" hidden="1">
      <c r="E19202" s="96"/>
    </row>
    <row r="19203" hidden="1">
      <c r="E19203" s="96"/>
    </row>
    <row r="19204" hidden="1">
      <c r="E19204" s="96"/>
    </row>
    <row r="19205" hidden="1">
      <c r="E19205" s="96"/>
    </row>
    <row r="19206" hidden="1">
      <c r="E19206" s="96"/>
    </row>
    <row r="19207" hidden="1">
      <c r="E19207" s="96"/>
    </row>
    <row r="19208" hidden="1">
      <c r="E19208" s="96"/>
    </row>
    <row r="19209" hidden="1">
      <c r="E19209" s="96"/>
    </row>
    <row r="19210" hidden="1">
      <c r="E19210" s="96"/>
    </row>
    <row r="19211" hidden="1">
      <c r="E19211" s="96"/>
    </row>
    <row r="19212" hidden="1">
      <c r="E19212" s="96"/>
    </row>
    <row r="19213" hidden="1">
      <c r="E19213" s="96"/>
    </row>
    <row r="19214" hidden="1">
      <c r="E19214" s="96"/>
    </row>
    <row r="19215" hidden="1">
      <c r="E19215" s="96"/>
    </row>
    <row r="19216" hidden="1">
      <c r="E19216" s="96"/>
    </row>
    <row r="19217" hidden="1">
      <c r="E19217" s="96"/>
    </row>
    <row r="19218" hidden="1">
      <c r="E19218" s="96"/>
    </row>
    <row r="19219" hidden="1">
      <c r="E19219" s="96"/>
    </row>
    <row r="19220" hidden="1">
      <c r="E19220" s="96"/>
    </row>
    <row r="19221" hidden="1">
      <c r="E19221" s="96"/>
    </row>
    <row r="19222" hidden="1">
      <c r="E19222" s="96"/>
    </row>
    <row r="19223" hidden="1">
      <c r="E19223" s="96"/>
    </row>
    <row r="19224" hidden="1">
      <c r="E19224" s="96"/>
    </row>
    <row r="19225" hidden="1">
      <c r="E19225" s="96"/>
    </row>
    <row r="19226" hidden="1">
      <c r="E19226" s="96"/>
    </row>
    <row r="19227" hidden="1">
      <c r="E19227" s="96"/>
    </row>
    <row r="19228" hidden="1">
      <c r="E19228" s="96"/>
    </row>
    <row r="19229" hidden="1">
      <c r="E19229" s="96"/>
    </row>
    <row r="19230" hidden="1">
      <c r="E19230" s="96"/>
    </row>
    <row r="19231" hidden="1">
      <c r="E19231" s="96"/>
    </row>
    <row r="19232" hidden="1">
      <c r="E19232" s="96"/>
    </row>
    <row r="19233" hidden="1">
      <c r="E19233" s="96"/>
    </row>
    <row r="19234" hidden="1">
      <c r="E19234" s="96"/>
    </row>
    <row r="19235" hidden="1">
      <c r="E19235" s="96"/>
    </row>
    <row r="19236" hidden="1">
      <c r="E19236" s="96"/>
    </row>
    <row r="19237" hidden="1">
      <c r="E19237" s="96"/>
    </row>
    <row r="19238" hidden="1">
      <c r="E19238" s="96"/>
    </row>
    <row r="19239" hidden="1">
      <c r="E19239" s="96"/>
    </row>
    <row r="19240" hidden="1">
      <c r="E19240" s="96"/>
    </row>
    <row r="19241" hidden="1">
      <c r="E19241" s="96"/>
    </row>
    <row r="19242" hidden="1">
      <c r="E19242" s="96"/>
    </row>
    <row r="19243" hidden="1">
      <c r="E19243" s="96"/>
    </row>
    <row r="19244" hidden="1">
      <c r="E19244" s="96"/>
    </row>
    <row r="19245" hidden="1">
      <c r="E19245" s="96"/>
    </row>
    <row r="19246" hidden="1">
      <c r="E19246" s="96"/>
    </row>
    <row r="19247" hidden="1">
      <c r="E19247" s="96"/>
    </row>
    <row r="19248" hidden="1">
      <c r="E19248" s="96"/>
    </row>
    <row r="19249" hidden="1">
      <c r="E19249" s="96"/>
    </row>
    <row r="19250" hidden="1">
      <c r="E19250" s="96"/>
    </row>
    <row r="19251" hidden="1">
      <c r="E19251" s="96"/>
    </row>
    <row r="19252" hidden="1">
      <c r="E19252" s="96"/>
    </row>
    <row r="19253" hidden="1">
      <c r="E19253" s="96"/>
    </row>
    <row r="19254" hidden="1">
      <c r="E19254" s="96"/>
    </row>
    <row r="19255" hidden="1">
      <c r="E19255" s="96"/>
    </row>
    <row r="19256" hidden="1">
      <c r="E19256" s="96"/>
    </row>
    <row r="19257" hidden="1">
      <c r="E19257" s="96"/>
    </row>
    <row r="19258" hidden="1">
      <c r="E19258" s="96"/>
    </row>
    <row r="19259" hidden="1">
      <c r="E19259" s="96"/>
    </row>
    <row r="19260" hidden="1">
      <c r="E19260" s="96"/>
    </row>
    <row r="19261" hidden="1">
      <c r="E19261" s="96"/>
    </row>
    <row r="19262" hidden="1">
      <c r="E19262" s="96"/>
    </row>
    <row r="19263" hidden="1">
      <c r="E19263" s="96"/>
    </row>
    <row r="19264" hidden="1">
      <c r="E19264" s="96"/>
    </row>
    <row r="19265" hidden="1">
      <c r="E19265" s="96"/>
    </row>
    <row r="19266" hidden="1">
      <c r="E19266" s="96"/>
    </row>
    <row r="19267" hidden="1">
      <c r="E19267" s="96"/>
    </row>
    <row r="19268" hidden="1">
      <c r="E19268" s="96"/>
    </row>
    <row r="19269" hidden="1">
      <c r="E19269" s="96"/>
    </row>
    <row r="19270" hidden="1">
      <c r="E19270" s="96"/>
    </row>
    <row r="19271" hidden="1">
      <c r="E19271" s="96"/>
    </row>
    <row r="19272" hidden="1">
      <c r="E19272" s="96"/>
    </row>
    <row r="19273" hidden="1">
      <c r="E19273" s="96"/>
    </row>
    <row r="19274" hidden="1">
      <c r="E19274" s="96"/>
    </row>
    <row r="19275" hidden="1">
      <c r="E19275" s="96"/>
    </row>
    <row r="19276" hidden="1">
      <c r="E19276" s="96"/>
    </row>
    <row r="19277" hidden="1">
      <c r="E19277" s="96"/>
    </row>
    <row r="19278" hidden="1">
      <c r="E19278" s="96"/>
    </row>
    <row r="19279" hidden="1">
      <c r="E19279" s="96"/>
    </row>
    <row r="19280" hidden="1">
      <c r="E19280" s="96"/>
    </row>
    <row r="19281" hidden="1">
      <c r="E19281" s="96"/>
    </row>
    <row r="19282" hidden="1">
      <c r="E19282" s="96"/>
    </row>
    <row r="19283" hidden="1">
      <c r="E19283" s="96"/>
    </row>
    <row r="19284" hidden="1">
      <c r="E19284" s="96"/>
    </row>
    <row r="19285" hidden="1">
      <c r="E19285" s="96"/>
    </row>
    <row r="19286" hidden="1">
      <c r="E19286" s="96"/>
    </row>
    <row r="19287" hidden="1">
      <c r="E19287" s="96"/>
    </row>
    <row r="19288" hidden="1">
      <c r="E19288" s="96"/>
    </row>
    <row r="19289" hidden="1">
      <c r="E19289" s="96"/>
    </row>
    <row r="19290" hidden="1">
      <c r="E19290" s="96"/>
    </row>
    <row r="19291" hidden="1">
      <c r="E19291" s="96"/>
    </row>
    <row r="19292" hidden="1">
      <c r="E19292" s="96"/>
    </row>
    <row r="19293" hidden="1">
      <c r="E19293" s="96"/>
    </row>
    <row r="19294" hidden="1">
      <c r="E19294" s="96"/>
    </row>
    <row r="19295" hidden="1">
      <c r="E19295" s="96"/>
    </row>
    <row r="19296" hidden="1">
      <c r="E19296" s="96"/>
    </row>
    <row r="19297" hidden="1">
      <c r="E19297" s="96"/>
    </row>
    <row r="19298" hidden="1">
      <c r="E19298" s="96"/>
    </row>
    <row r="19299" hidden="1">
      <c r="E19299" s="96"/>
    </row>
    <row r="19300" hidden="1">
      <c r="E19300" s="96"/>
    </row>
    <row r="19301" hidden="1">
      <c r="E19301" s="96"/>
    </row>
    <row r="19302" hidden="1">
      <c r="E19302" s="96"/>
    </row>
    <row r="19303" hidden="1">
      <c r="E19303" s="96"/>
    </row>
    <row r="19304" hidden="1">
      <c r="E19304" s="96"/>
    </row>
    <row r="19305" hidden="1">
      <c r="E19305" s="96"/>
    </row>
    <row r="19306" hidden="1">
      <c r="E19306" s="96"/>
    </row>
    <row r="19307" hidden="1">
      <c r="E19307" s="96"/>
    </row>
    <row r="19308" hidden="1">
      <c r="E19308" s="96"/>
    </row>
    <row r="19309" hidden="1">
      <c r="E19309" s="96"/>
    </row>
    <row r="19310" hidden="1">
      <c r="E19310" s="96"/>
    </row>
    <row r="19311" hidden="1">
      <c r="E19311" s="96"/>
    </row>
    <row r="19312" hidden="1">
      <c r="E19312" s="96"/>
    </row>
    <row r="19313" hidden="1">
      <c r="E19313" s="96"/>
    </row>
    <row r="19314" hidden="1">
      <c r="E19314" s="96"/>
    </row>
    <row r="19315" hidden="1">
      <c r="E19315" s="96"/>
    </row>
    <row r="19316" hidden="1">
      <c r="E19316" s="96"/>
    </row>
    <row r="19317" hidden="1">
      <c r="E19317" s="96"/>
    </row>
    <row r="19318" hidden="1">
      <c r="E19318" s="96"/>
    </row>
    <row r="19319" hidden="1">
      <c r="E19319" s="96"/>
    </row>
    <row r="19320" hidden="1">
      <c r="E19320" s="96"/>
    </row>
    <row r="19321" hidden="1">
      <c r="E19321" s="96"/>
    </row>
    <row r="19322" hidden="1">
      <c r="E19322" s="96"/>
    </row>
    <row r="19323" hidden="1">
      <c r="E19323" s="96"/>
    </row>
    <row r="19324" hidden="1">
      <c r="E19324" s="96"/>
    </row>
    <row r="19325" hidden="1">
      <c r="E19325" s="96"/>
    </row>
    <row r="19326" hidden="1">
      <c r="E19326" s="96"/>
    </row>
    <row r="19327" hidden="1">
      <c r="E19327" s="96"/>
    </row>
    <row r="19328" hidden="1">
      <c r="E19328" s="96"/>
    </row>
    <row r="19329" hidden="1">
      <c r="E19329" s="96"/>
    </row>
    <row r="19330" hidden="1">
      <c r="E19330" s="96"/>
    </row>
    <row r="19331" hidden="1">
      <c r="E19331" s="96"/>
    </row>
    <row r="19332" hidden="1">
      <c r="E19332" s="96"/>
    </row>
    <row r="19333" hidden="1">
      <c r="E19333" s="96"/>
    </row>
    <row r="19334" hidden="1">
      <c r="E19334" s="96"/>
    </row>
    <row r="19335" hidden="1">
      <c r="E19335" s="96"/>
    </row>
    <row r="19336" hidden="1">
      <c r="E19336" s="96"/>
    </row>
    <row r="19337" hidden="1">
      <c r="E19337" s="96"/>
    </row>
    <row r="19338" hidden="1">
      <c r="E19338" s="96"/>
    </row>
    <row r="19339" hidden="1">
      <c r="E19339" s="96"/>
    </row>
    <row r="19340" hidden="1">
      <c r="E19340" s="96"/>
    </row>
    <row r="19341" hidden="1">
      <c r="E19341" s="96"/>
    </row>
    <row r="19342" hidden="1">
      <c r="E19342" s="96"/>
    </row>
    <row r="19343" hidden="1">
      <c r="E19343" s="96"/>
    </row>
    <row r="19344" hidden="1">
      <c r="E19344" s="96"/>
    </row>
    <row r="19345" hidden="1">
      <c r="E19345" s="96"/>
    </row>
    <row r="19346" hidden="1">
      <c r="E19346" s="96"/>
    </row>
    <row r="19347" hidden="1">
      <c r="E19347" s="96"/>
    </row>
    <row r="19348" hidden="1">
      <c r="E19348" s="96"/>
    </row>
    <row r="19349" hidden="1">
      <c r="E19349" s="96"/>
    </row>
    <row r="19350" hidden="1">
      <c r="E19350" s="96"/>
    </row>
    <row r="19351" hidden="1">
      <c r="E19351" s="96"/>
    </row>
    <row r="19352" hidden="1">
      <c r="E19352" s="96"/>
    </row>
    <row r="19353" hidden="1">
      <c r="E19353" s="96"/>
    </row>
    <row r="19354" hidden="1">
      <c r="E19354" s="96"/>
    </row>
    <row r="19355" hidden="1">
      <c r="E19355" s="96"/>
    </row>
    <row r="19356" hidden="1">
      <c r="E19356" s="96"/>
    </row>
    <row r="19357" hidden="1">
      <c r="E19357" s="96"/>
    </row>
    <row r="19358" hidden="1">
      <c r="E19358" s="96"/>
    </row>
    <row r="19359" hidden="1">
      <c r="E19359" s="96"/>
    </row>
    <row r="19360" hidden="1">
      <c r="E19360" s="96"/>
    </row>
    <row r="19361" hidden="1">
      <c r="E19361" s="96"/>
    </row>
    <row r="19362" hidden="1">
      <c r="E19362" s="96"/>
    </row>
    <row r="19363" hidden="1">
      <c r="E19363" s="96"/>
    </row>
    <row r="19364" hidden="1">
      <c r="E19364" s="96"/>
    </row>
    <row r="19365" hidden="1">
      <c r="E19365" s="96"/>
    </row>
    <row r="19366" hidden="1">
      <c r="E19366" s="96"/>
    </row>
    <row r="19367" hidden="1">
      <c r="E19367" s="96"/>
    </row>
    <row r="19368" hidden="1">
      <c r="E19368" s="96"/>
    </row>
    <row r="19369" hidden="1">
      <c r="E19369" s="96"/>
    </row>
    <row r="19370" hidden="1">
      <c r="E19370" s="96"/>
    </row>
    <row r="19371" hidden="1">
      <c r="E19371" s="96"/>
    </row>
    <row r="19372" hidden="1">
      <c r="E19372" s="96"/>
    </row>
    <row r="19373" hidden="1">
      <c r="E19373" s="96"/>
    </row>
    <row r="19374" hidden="1">
      <c r="E19374" s="96"/>
    </row>
    <row r="19375" hidden="1">
      <c r="E19375" s="96"/>
    </row>
    <row r="19376" hidden="1">
      <c r="E19376" s="96"/>
    </row>
    <row r="19377" hidden="1">
      <c r="E19377" s="96"/>
    </row>
    <row r="19378" hidden="1">
      <c r="E19378" s="96"/>
    </row>
    <row r="19379" hidden="1">
      <c r="E19379" s="96"/>
    </row>
    <row r="19380" hidden="1">
      <c r="E19380" s="96"/>
    </row>
    <row r="19381" hidden="1">
      <c r="E19381" s="96"/>
    </row>
    <row r="19382" hidden="1">
      <c r="E19382" s="96"/>
    </row>
    <row r="19383" hidden="1">
      <c r="E19383" s="96"/>
    </row>
    <row r="19384" hidden="1">
      <c r="E19384" s="96"/>
    </row>
    <row r="19385" hidden="1">
      <c r="E19385" s="96"/>
    </row>
    <row r="19386" hidden="1">
      <c r="E19386" s="96"/>
    </row>
    <row r="19387" hidden="1">
      <c r="E19387" s="96"/>
    </row>
    <row r="19388" hidden="1">
      <c r="E19388" s="96"/>
    </row>
    <row r="19389" hidden="1">
      <c r="E19389" s="96"/>
    </row>
    <row r="19390" hidden="1">
      <c r="E19390" s="96"/>
    </row>
    <row r="19391" hidden="1">
      <c r="E19391" s="96"/>
    </row>
    <row r="19392" hidden="1">
      <c r="E19392" s="96"/>
    </row>
    <row r="19393" hidden="1">
      <c r="E19393" s="96"/>
    </row>
    <row r="19394" hidden="1">
      <c r="E19394" s="96"/>
    </row>
    <row r="19395" hidden="1">
      <c r="E19395" s="96"/>
    </row>
    <row r="19396" hidden="1">
      <c r="E19396" s="96"/>
    </row>
    <row r="19397" hidden="1">
      <c r="E19397" s="96"/>
    </row>
    <row r="19398" hidden="1">
      <c r="E19398" s="96"/>
    </row>
    <row r="19399" hidden="1">
      <c r="E19399" s="96"/>
    </row>
    <row r="19400" hidden="1">
      <c r="E19400" s="96"/>
    </row>
    <row r="19401" hidden="1">
      <c r="E19401" s="96"/>
    </row>
    <row r="19402" hidden="1">
      <c r="E19402" s="96"/>
    </row>
    <row r="19403" hidden="1">
      <c r="E19403" s="96"/>
    </row>
    <row r="19404" hidden="1">
      <c r="E19404" s="96"/>
    </row>
    <row r="19405" hidden="1">
      <c r="E19405" s="96"/>
    </row>
    <row r="19406" hidden="1">
      <c r="E19406" s="96"/>
    </row>
    <row r="19407" hidden="1">
      <c r="E19407" s="96"/>
    </row>
    <row r="19408" hidden="1">
      <c r="E19408" s="96"/>
    </row>
    <row r="19409" hidden="1">
      <c r="E19409" s="96"/>
    </row>
    <row r="19410" hidden="1">
      <c r="E19410" s="96"/>
    </row>
    <row r="19411" hidden="1">
      <c r="E19411" s="96"/>
    </row>
    <row r="19412" hidden="1">
      <c r="E19412" s="96"/>
    </row>
    <row r="19413" hidden="1">
      <c r="E19413" s="96"/>
    </row>
    <row r="19414" hidden="1">
      <c r="E19414" s="96"/>
    </row>
    <row r="19415" hidden="1">
      <c r="E19415" s="96"/>
    </row>
    <row r="19416" hidden="1">
      <c r="E19416" s="96"/>
    </row>
    <row r="19417" hidden="1">
      <c r="E19417" s="96"/>
    </row>
    <row r="19418" hidden="1">
      <c r="E19418" s="96"/>
    </row>
    <row r="19419" hidden="1">
      <c r="E19419" s="96"/>
    </row>
    <row r="19420" hidden="1">
      <c r="E19420" s="96"/>
    </row>
    <row r="19421" hidden="1">
      <c r="E19421" s="96"/>
    </row>
    <row r="19422" hidden="1">
      <c r="E19422" s="96"/>
    </row>
    <row r="19423" hidden="1">
      <c r="E19423" s="96"/>
    </row>
    <row r="19424" hidden="1">
      <c r="E19424" s="96"/>
    </row>
    <row r="19425" hidden="1">
      <c r="E19425" s="96"/>
    </row>
    <row r="19426" hidden="1">
      <c r="E19426" s="96"/>
    </row>
    <row r="19427" hidden="1">
      <c r="E19427" s="96"/>
    </row>
    <row r="19428" hidden="1">
      <c r="E19428" s="96"/>
    </row>
    <row r="19429" hidden="1">
      <c r="E19429" s="96"/>
    </row>
    <row r="19430" hidden="1">
      <c r="E19430" s="96"/>
    </row>
    <row r="19431" hidden="1">
      <c r="E19431" s="96"/>
    </row>
    <row r="19432" hidden="1">
      <c r="E19432" s="96"/>
    </row>
    <row r="19433" hidden="1">
      <c r="E19433" s="96"/>
    </row>
    <row r="19434" hidden="1">
      <c r="E19434" s="96"/>
    </row>
    <row r="19435" hidden="1">
      <c r="E19435" s="96"/>
    </row>
    <row r="19436" hidden="1">
      <c r="E19436" s="96"/>
    </row>
    <row r="19437" hidden="1">
      <c r="E19437" s="96"/>
    </row>
    <row r="19438" hidden="1">
      <c r="E19438" s="96"/>
    </row>
    <row r="19439" hidden="1">
      <c r="E19439" s="96"/>
    </row>
    <row r="19440" hidden="1">
      <c r="E19440" s="96"/>
    </row>
    <row r="19441" hidden="1">
      <c r="E19441" s="96"/>
    </row>
    <row r="19442" hidden="1">
      <c r="E19442" s="96"/>
    </row>
    <row r="19443" hidden="1">
      <c r="E19443" s="96"/>
    </row>
    <row r="19444" hidden="1">
      <c r="E19444" s="96"/>
    </row>
    <row r="19445" hidden="1">
      <c r="E19445" s="96"/>
    </row>
    <row r="19446" hidden="1">
      <c r="E19446" s="96"/>
    </row>
    <row r="19447" hidden="1">
      <c r="E19447" s="96"/>
    </row>
    <row r="19448" hidden="1">
      <c r="E19448" s="96"/>
    </row>
    <row r="19449" hidden="1">
      <c r="E19449" s="96"/>
    </row>
    <row r="19450" hidden="1">
      <c r="E19450" s="96"/>
    </row>
    <row r="19451" hidden="1">
      <c r="E19451" s="96"/>
    </row>
    <row r="19452" hidden="1">
      <c r="E19452" s="96"/>
    </row>
    <row r="19453" hidden="1">
      <c r="E19453" s="96"/>
    </row>
    <row r="19454" hidden="1">
      <c r="E19454" s="96"/>
    </row>
    <row r="19455" hidden="1">
      <c r="E19455" s="96"/>
    </row>
    <row r="19456" hidden="1">
      <c r="E19456" s="96"/>
    </row>
    <row r="19457" hidden="1">
      <c r="E19457" s="96"/>
    </row>
    <row r="19458" hidden="1">
      <c r="E19458" s="96"/>
    </row>
    <row r="19459" hidden="1">
      <c r="E19459" s="96"/>
    </row>
    <row r="19460" hidden="1">
      <c r="E19460" s="96"/>
    </row>
    <row r="19461" hidden="1">
      <c r="E19461" s="96"/>
    </row>
    <row r="19462" hidden="1">
      <c r="E19462" s="96"/>
    </row>
    <row r="19463" hidden="1">
      <c r="E19463" s="96"/>
    </row>
    <row r="19464" hidden="1">
      <c r="E19464" s="96"/>
    </row>
    <row r="19465" hidden="1">
      <c r="E19465" s="96"/>
    </row>
    <row r="19466" hidden="1">
      <c r="E19466" s="96"/>
    </row>
    <row r="19467" hidden="1">
      <c r="E19467" s="96"/>
    </row>
    <row r="19468" hidden="1">
      <c r="E19468" s="96"/>
    </row>
    <row r="19469" hidden="1">
      <c r="E19469" s="96"/>
    </row>
    <row r="19470" hidden="1">
      <c r="E19470" s="96"/>
    </row>
    <row r="19471" hidden="1">
      <c r="E19471" s="96"/>
    </row>
    <row r="19472" hidden="1">
      <c r="E19472" s="96"/>
    </row>
    <row r="19473" hidden="1">
      <c r="E19473" s="96"/>
    </row>
    <row r="19474" hidden="1">
      <c r="E19474" s="96"/>
    </row>
    <row r="19475" hidden="1">
      <c r="E19475" s="96"/>
    </row>
    <row r="19476" hidden="1">
      <c r="E19476" s="96"/>
    </row>
    <row r="19477" hidden="1">
      <c r="E19477" s="96"/>
    </row>
    <row r="19478" hidden="1">
      <c r="E19478" s="96"/>
    </row>
    <row r="19479" hidden="1">
      <c r="E19479" s="96"/>
    </row>
    <row r="19480" hidden="1">
      <c r="E19480" s="96"/>
    </row>
    <row r="19481" hidden="1">
      <c r="E19481" s="96"/>
    </row>
    <row r="19482" hidden="1">
      <c r="E19482" s="96"/>
    </row>
    <row r="19483" hidden="1">
      <c r="E19483" s="96"/>
    </row>
    <row r="19484" hidden="1">
      <c r="E19484" s="96"/>
    </row>
    <row r="19485" hidden="1">
      <c r="E19485" s="96"/>
    </row>
    <row r="19486" hidden="1">
      <c r="E19486" s="96"/>
    </row>
    <row r="19487" hidden="1">
      <c r="E19487" s="96"/>
    </row>
    <row r="19488" hidden="1">
      <c r="E19488" s="96"/>
    </row>
    <row r="19489" hidden="1">
      <c r="E19489" s="96"/>
    </row>
    <row r="19490" hidden="1">
      <c r="E19490" s="96"/>
    </row>
    <row r="19491" hidden="1">
      <c r="E19491" s="96"/>
    </row>
    <row r="19492" hidden="1">
      <c r="E19492" s="96"/>
    </row>
    <row r="19493" hidden="1">
      <c r="E19493" s="96"/>
    </row>
    <row r="19494" hidden="1">
      <c r="E19494" s="96"/>
    </row>
    <row r="19495" hidden="1">
      <c r="E19495" s="96"/>
    </row>
    <row r="19496" hidden="1">
      <c r="E19496" s="96"/>
    </row>
    <row r="19497" hidden="1">
      <c r="E19497" s="96"/>
    </row>
    <row r="19498" hidden="1">
      <c r="E19498" s="96"/>
    </row>
    <row r="19499" hidden="1">
      <c r="E19499" s="96"/>
    </row>
    <row r="19500" hidden="1">
      <c r="E19500" s="96"/>
    </row>
    <row r="19501" hidden="1">
      <c r="E19501" s="96"/>
    </row>
    <row r="19502" hidden="1">
      <c r="E19502" s="96"/>
    </row>
    <row r="19503" hidden="1">
      <c r="E19503" s="96"/>
    </row>
    <row r="19504" hidden="1">
      <c r="E19504" s="96"/>
    </row>
    <row r="19505" hidden="1">
      <c r="E19505" s="96"/>
    </row>
    <row r="19506" hidden="1">
      <c r="E19506" s="96"/>
    </row>
    <row r="19507" hidden="1">
      <c r="E19507" s="96"/>
    </row>
    <row r="19508" hidden="1">
      <c r="E19508" s="96"/>
    </row>
    <row r="19509" hidden="1">
      <c r="E19509" s="96"/>
    </row>
    <row r="19510" hidden="1">
      <c r="E19510" s="96"/>
    </row>
    <row r="19511" hidden="1">
      <c r="E19511" s="96"/>
    </row>
    <row r="19512" hidden="1">
      <c r="E19512" s="96"/>
    </row>
    <row r="19513" hidden="1">
      <c r="E19513" s="96"/>
    </row>
    <row r="19514" hidden="1">
      <c r="E19514" s="96"/>
    </row>
    <row r="19515" hidden="1">
      <c r="E19515" s="96"/>
    </row>
    <row r="19516" hidden="1">
      <c r="E19516" s="96"/>
    </row>
    <row r="19517" hidden="1">
      <c r="E19517" s="96"/>
    </row>
    <row r="19518" hidden="1">
      <c r="E19518" s="96"/>
    </row>
    <row r="19519" hidden="1">
      <c r="E19519" s="96"/>
    </row>
    <row r="19520" hidden="1">
      <c r="E19520" s="96"/>
    </row>
    <row r="19521" hidden="1">
      <c r="E19521" s="96"/>
    </row>
    <row r="19522" hidden="1">
      <c r="E19522" s="96"/>
    </row>
    <row r="19523" hidden="1">
      <c r="E19523" s="96"/>
    </row>
    <row r="19524" hidden="1">
      <c r="E19524" s="96"/>
    </row>
    <row r="19525" hidden="1">
      <c r="E19525" s="96"/>
    </row>
    <row r="19526" hidden="1">
      <c r="E19526" s="96"/>
    </row>
    <row r="19527" hidden="1">
      <c r="E19527" s="96"/>
    </row>
    <row r="19528" hidden="1">
      <c r="E19528" s="96"/>
    </row>
    <row r="19529" hidden="1">
      <c r="E19529" s="96"/>
    </row>
    <row r="19530" hidden="1">
      <c r="E19530" s="96"/>
    </row>
    <row r="19531" hidden="1">
      <c r="E19531" s="96"/>
    </row>
    <row r="19532" hidden="1">
      <c r="E19532" s="96"/>
    </row>
    <row r="19533" hidden="1">
      <c r="E19533" s="96"/>
    </row>
    <row r="19534" hidden="1">
      <c r="E19534" s="96"/>
    </row>
    <row r="19535" hidden="1">
      <c r="E19535" s="96"/>
    </row>
    <row r="19536" hidden="1">
      <c r="E19536" s="96"/>
    </row>
    <row r="19537" hidden="1">
      <c r="E19537" s="96"/>
    </row>
    <row r="19538" hidden="1">
      <c r="E19538" s="96"/>
    </row>
    <row r="19539" hidden="1">
      <c r="E19539" s="96"/>
    </row>
    <row r="19540" hidden="1">
      <c r="E19540" s="96"/>
    </row>
    <row r="19541" hidden="1">
      <c r="E19541" s="96"/>
    </row>
    <row r="19542" hidden="1">
      <c r="E19542" s="96"/>
    </row>
    <row r="19543" hidden="1">
      <c r="E19543" s="96"/>
    </row>
    <row r="19544" hidden="1">
      <c r="E19544" s="96"/>
    </row>
    <row r="19545" hidden="1">
      <c r="E19545" s="96"/>
    </row>
    <row r="19546" hidden="1">
      <c r="E19546" s="96"/>
    </row>
    <row r="19547" hidden="1">
      <c r="E19547" s="96"/>
    </row>
    <row r="19548" hidden="1">
      <c r="E19548" s="96"/>
    </row>
    <row r="19549" hidden="1">
      <c r="E19549" s="96"/>
    </row>
    <row r="19550" hidden="1">
      <c r="E19550" s="96"/>
    </row>
    <row r="19551" hidden="1">
      <c r="E19551" s="96"/>
    </row>
    <row r="19552" hidden="1">
      <c r="E19552" s="96"/>
    </row>
    <row r="19553" hidden="1">
      <c r="E19553" s="96"/>
    </row>
    <row r="19554" hidden="1">
      <c r="E19554" s="96"/>
    </row>
    <row r="19555" hidden="1">
      <c r="E19555" s="96"/>
    </row>
    <row r="19556" hidden="1">
      <c r="E19556" s="96"/>
    </row>
    <row r="19557" hidden="1">
      <c r="E19557" s="96"/>
    </row>
    <row r="19558" hidden="1">
      <c r="E19558" s="96"/>
    </row>
    <row r="19559" hidden="1">
      <c r="E19559" s="96"/>
    </row>
    <row r="19560" hidden="1">
      <c r="E19560" s="96"/>
    </row>
    <row r="19561" hidden="1">
      <c r="E19561" s="96"/>
    </row>
    <row r="19562" hidden="1">
      <c r="E19562" s="96"/>
    </row>
    <row r="19563" hidden="1">
      <c r="E19563" s="96"/>
    </row>
    <row r="19564" hidden="1">
      <c r="E19564" s="96"/>
    </row>
    <row r="19565" hidden="1">
      <c r="E19565" s="96"/>
    </row>
    <row r="19566" hidden="1">
      <c r="E19566" s="96"/>
    </row>
    <row r="19567" hidden="1">
      <c r="E19567" s="96"/>
    </row>
    <row r="19568" hidden="1">
      <c r="E19568" s="96"/>
    </row>
    <row r="19569" hidden="1">
      <c r="E19569" s="96"/>
    </row>
    <row r="19570" hidden="1">
      <c r="E19570" s="96"/>
    </row>
    <row r="19571" hidden="1">
      <c r="E19571" s="96"/>
    </row>
    <row r="19572" hidden="1">
      <c r="E19572" s="96"/>
    </row>
    <row r="19573" hidden="1">
      <c r="E19573" s="96"/>
    </row>
    <row r="19574" hidden="1">
      <c r="E19574" s="96"/>
    </row>
    <row r="19575" hidden="1">
      <c r="E19575" s="96"/>
    </row>
    <row r="19576" hidden="1">
      <c r="E19576" s="96"/>
    </row>
    <row r="19577" hidden="1">
      <c r="E19577" s="96"/>
    </row>
    <row r="19578" hidden="1">
      <c r="E19578" s="96"/>
    </row>
    <row r="19579" hidden="1">
      <c r="E19579" s="96"/>
    </row>
    <row r="19580" hidden="1">
      <c r="E19580" s="96"/>
    </row>
    <row r="19581" hidden="1">
      <c r="E19581" s="96"/>
    </row>
    <row r="19582" hidden="1">
      <c r="E19582" s="96"/>
    </row>
    <row r="19583" hidden="1">
      <c r="E19583" s="96"/>
    </row>
    <row r="19584" hidden="1">
      <c r="E19584" s="96"/>
    </row>
    <row r="19585" hidden="1">
      <c r="E19585" s="96"/>
    </row>
    <row r="19586" hidden="1">
      <c r="E19586" s="96"/>
    </row>
    <row r="19587" hidden="1">
      <c r="E19587" s="96"/>
    </row>
    <row r="19588" hidden="1">
      <c r="E19588" s="96"/>
    </row>
    <row r="19589" hidden="1">
      <c r="E19589" s="96"/>
    </row>
    <row r="19590" hidden="1">
      <c r="E19590" s="96"/>
    </row>
    <row r="19591" hidden="1">
      <c r="E19591" s="96"/>
    </row>
    <row r="19592" hidden="1">
      <c r="E19592" s="96"/>
    </row>
    <row r="19593" hidden="1">
      <c r="E19593" s="96"/>
    </row>
    <row r="19594" hidden="1">
      <c r="E19594" s="96"/>
    </row>
    <row r="19595" hidden="1">
      <c r="E19595" s="96"/>
    </row>
    <row r="19596" hidden="1">
      <c r="E19596" s="96"/>
    </row>
    <row r="19597" hidden="1">
      <c r="E19597" s="96"/>
    </row>
    <row r="19598" hidden="1">
      <c r="E19598" s="96"/>
    </row>
    <row r="19599" hidden="1">
      <c r="E19599" s="96"/>
    </row>
    <row r="19600" hidden="1">
      <c r="E19600" s="96"/>
    </row>
    <row r="19601" hidden="1">
      <c r="E19601" s="96"/>
    </row>
    <row r="19602" hidden="1">
      <c r="E19602" s="96"/>
    </row>
    <row r="19603" hidden="1">
      <c r="E19603" s="96"/>
    </row>
    <row r="19604" hidden="1">
      <c r="E19604" s="96"/>
    </row>
    <row r="19605" hidden="1">
      <c r="E19605" s="96"/>
    </row>
    <row r="19606" hidden="1">
      <c r="E19606" s="96"/>
    </row>
    <row r="19607" hidden="1">
      <c r="E19607" s="96"/>
    </row>
    <row r="19608" hidden="1">
      <c r="E19608" s="96"/>
    </row>
    <row r="19609" hidden="1">
      <c r="E19609" s="96"/>
    </row>
    <row r="19610" hidden="1">
      <c r="E19610" s="96"/>
    </row>
    <row r="19611" hidden="1">
      <c r="E19611" s="96"/>
    </row>
    <row r="19612" hidden="1">
      <c r="E19612" s="96"/>
    </row>
    <row r="19613" hidden="1">
      <c r="E19613" s="96"/>
    </row>
    <row r="19614" hidden="1">
      <c r="E19614" s="96"/>
    </row>
    <row r="19615" hidden="1">
      <c r="E19615" s="96"/>
    </row>
    <row r="19616" hidden="1">
      <c r="E19616" s="96"/>
    </row>
    <row r="19617" hidden="1">
      <c r="E19617" s="96"/>
    </row>
    <row r="19618" hidden="1">
      <c r="E19618" s="96"/>
    </row>
    <row r="19619" hidden="1">
      <c r="E19619" s="96"/>
    </row>
    <row r="19620" hidden="1">
      <c r="E19620" s="96"/>
    </row>
    <row r="19621" hidden="1">
      <c r="E19621" s="96"/>
    </row>
    <row r="19622" hidden="1">
      <c r="E19622" s="96"/>
    </row>
    <row r="19623" hidden="1">
      <c r="E19623" s="96"/>
    </row>
    <row r="19624" hidden="1">
      <c r="E19624" s="96"/>
    </row>
    <row r="19625" hidden="1">
      <c r="E19625" s="96"/>
    </row>
    <row r="19626" hidden="1">
      <c r="E19626" s="96"/>
    </row>
    <row r="19627" hidden="1">
      <c r="E19627" s="96"/>
    </row>
    <row r="19628" hidden="1">
      <c r="E19628" s="96"/>
    </row>
    <row r="19629" hidden="1">
      <c r="E19629" s="96"/>
    </row>
    <row r="19630" hidden="1">
      <c r="E19630" s="96"/>
    </row>
    <row r="19631" hidden="1">
      <c r="E19631" s="96"/>
    </row>
    <row r="19632" hidden="1">
      <c r="E19632" s="96"/>
    </row>
    <row r="19633" hidden="1">
      <c r="E19633" s="96"/>
    </row>
    <row r="19634" hidden="1">
      <c r="E19634" s="96"/>
    </row>
    <row r="19635" hidden="1">
      <c r="E19635" s="96"/>
    </row>
    <row r="19636" hidden="1">
      <c r="E19636" s="96"/>
    </row>
    <row r="19637" hidden="1">
      <c r="E19637" s="96"/>
    </row>
    <row r="19638" hidden="1">
      <c r="E19638" s="96"/>
    </row>
    <row r="19639" hidden="1">
      <c r="E19639" s="96"/>
    </row>
    <row r="19640" hidden="1">
      <c r="E19640" s="96"/>
    </row>
    <row r="19641" hidden="1">
      <c r="E19641" s="96"/>
    </row>
    <row r="19642" hidden="1">
      <c r="E19642" s="96"/>
    </row>
    <row r="19643" hidden="1">
      <c r="E19643" s="96"/>
    </row>
    <row r="19644" hidden="1">
      <c r="E19644" s="96"/>
    </row>
    <row r="19645" hidden="1">
      <c r="E19645" s="96"/>
    </row>
    <row r="19646" hidden="1">
      <c r="E19646" s="96"/>
    </row>
    <row r="19647" hidden="1">
      <c r="E19647" s="96"/>
    </row>
    <row r="19648" hidden="1">
      <c r="E19648" s="96"/>
    </row>
    <row r="19649" hidden="1">
      <c r="E19649" s="96"/>
    </row>
    <row r="19650" hidden="1">
      <c r="E19650" s="96"/>
    </row>
    <row r="19651" hidden="1">
      <c r="E19651" s="96"/>
    </row>
    <row r="19652" hidden="1">
      <c r="E19652" s="96"/>
    </row>
    <row r="19653" hidden="1">
      <c r="E19653" s="96"/>
    </row>
    <row r="19654" hidden="1">
      <c r="E19654" s="96"/>
    </row>
    <row r="19655" hidden="1">
      <c r="E19655" s="96"/>
    </row>
    <row r="19656" hidden="1">
      <c r="E19656" s="96"/>
    </row>
    <row r="19657" hidden="1">
      <c r="E19657" s="96"/>
    </row>
    <row r="19658" hidden="1">
      <c r="E19658" s="96"/>
    </row>
    <row r="19659" hidden="1">
      <c r="E19659" s="96"/>
    </row>
    <row r="19660" hidden="1">
      <c r="E19660" s="96"/>
    </row>
    <row r="19661" hidden="1">
      <c r="E19661" s="96"/>
    </row>
    <row r="19662" hidden="1">
      <c r="E19662" s="96"/>
    </row>
    <row r="19663" hidden="1">
      <c r="E19663" s="96"/>
    </row>
    <row r="19664" hidden="1">
      <c r="E19664" s="96"/>
    </row>
    <row r="19665" hidden="1">
      <c r="E19665" s="96"/>
    </row>
    <row r="19666" hidden="1">
      <c r="E19666" s="96"/>
    </row>
    <row r="19667" hidden="1">
      <c r="E19667" s="96"/>
    </row>
    <row r="19668" hidden="1">
      <c r="E19668" s="96"/>
    </row>
    <row r="19669" hidden="1">
      <c r="E19669" s="96"/>
    </row>
    <row r="19670" hidden="1">
      <c r="E19670" s="96"/>
    </row>
    <row r="19671" hidden="1">
      <c r="E19671" s="96"/>
    </row>
    <row r="19672" hidden="1">
      <c r="E19672" s="96"/>
    </row>
    <row r="19673" hidden="1">
      <c r="E19673" s="96"/>
    </row>
    <row r="19674" hidden="1">
      <c r="E19674" s="96"/>
    </row>
    <row r="19675" hidden="1">
      <c r="E19675" s="96"/>
    </row>
    <row r="19676" hidden="1">
      <c r="E19676" s="96"/>
    </row>
    <row r="19677" hidden="1">
      <c r="E19677" s="96"/>
    </row>
    <row r="19678" hidden="1">
      <c r="E19678" s="96"/>
    </row>
    <row r="19679" hidden="1">
      <c r="E19679" s="96"/>
    </row>
    <row r="19680" hidden="1">
      <c r="E19680" s="96"/>
    </row>
    <row r="19681" hidden="1">
      <c r="E19681" s="96"/>
    </row>
    <row r="19682" hidden="1">
      <c r="E19682" s="96"/>
    </row>
    <row r="19683" hidden="1">
      <c r="E19683" s="96"/>
    </row>
    <row r="19684" hidden="1">
      <c r="E19684" s="96"/>
    </row>
    <row r="19685" hidden="1">
      <c r="E19685" s="96"/>
    </row>
    <row r="19686" hidden="1">
      <c r="E19686" s="96"/>
    </row>
    <row r="19687" hidden="1">
      <c r="E19687" s="96"/>
    </row>
    <row r="19688" hidden="1">
      <c r="E19688" s="96"/>
    </row>
    <row r="19689" hidden="1">
      <c r="E19689" s="96"/>
    </row>
    <row r="19690" hidden="1">
      <c r="E19690" s="96"/>
    </row>
    <row r="19691" hidden="1">
      <c r="E19691" s="96"/>
    </row>
    <row r="19692" hidden="1">
      <c r="E19692" s="96"/>
    </row>
    <row r="19693" hidden="1">
      <c r="E19693" s="96"/>
    </row>
    <row r="19694" hidden="1">
      <c r="E19694" s="96"/>
    </row>
    <row r="19695" hidden="1">
      <c r="E19695" s="96"/>
    </row>
    <row r="19696" hidden="1">
      <c r="E19696" s="96"/>
    </row>
    <row r="19697" hidden="1">
      <c r="E19697" s="96"/>
    </row>
    <row r="19698" hidden="1">
      <c r="E19698" s="96"/>
    </row>
    <row r="19699" hidden="1">
      <c r="E19699" s="96"/>
    </row>
    <row r="19700" hidden="1">
      <c r="E19700" s="96"/>
    </row>
    <row r="19701" hidden="1">
      <c r="E19701" s="96"/>
    </row>
    <row r="19702" hidden="1">
      <c r="E19702" s="96"/>
    </row>
    <row r="19703" hidden="1">
      <c r="E19703" s="96"/>
    </row>
    <row r="19704" hidden="1">
      <c r="E19704" s="96"/>
    </row>
    <row r="19705" hidden="1">
      <c r="E19705" s="96"/>
    </row>
    <row r="19706" hidden="1">
      <c r="E19706" s="96"/>
    </row>
    <row r="19707" hidden="1">
      <c r="E19707" s="96"/>
    </row>
    <row r="19708" hidden="1">
      <c r="E19708" s="96"/>
    </row>
    <row r="19709" hidden="1">
      <c r="E19709" s="96"/>
    </row>
    <row r="19710" hidden="1">
      <c r="E19710" s="96"/>
    </row>
    <row r="19711" hidden="1">
      <c r="E19711" s="96"/>
    </row>
    <row r="19712" hidden="1">
      <c r="E19712" s="96"/>
    </row>
    <row r="19713" hidden="1">
      <c r="E19713" s="96"/>
    </row>
    <row r="19714" hidden="1">
      <c r="E19714" s="96"/>
    </row>
    <row r="19715" hidden="1">
      <c r="E19715" s="96"/>
    </row>
    <row r="19716" hidden="1">
      <c r="E19716" s="96"/>
    </row>
    <row r="19717" hidden="1">
      <c r="E19717" s="96"/>
    </row>
    <row r="19718" hidden="1">
      <c r="E19718" s="96"/>
    </row>
    <row r="19719" hidden="1">
      <c r="E19719" s="96"/>
    </row>
    <row r="19720" hidden="1">
      <c r="E19720" s="96"/>
    </row>
    <row r="19721" hidden="1">
      <c r="E19721" s="96"/>
    </row>
    <row r="19722" hidden="1">
      <c r="E19722" s="96"/>
    </row>
    <row r="19723" hidden="1">
      <c r="E19723" s="96"/>
    </row>
    <row r="19724" hidden="1">
      <c r="E19724" s="96"/>
    </row>
    <row r="19725" hidden="1">
      <c r="E19725" s="96"/>
    </row>
    <row r="19726" hidden="1">
      <c r="E19726" s="96"/>
    </row>
    <row r="19727" hidden="1">
      <c r="E19727" s="96"/>
    </row>
    <row r="19728" hidden="1">
      <c r="E19728" s="96"/>
    </row>
    <row r="19729" hidden="1">
      <c r="E19729" s="96"/>
    </row>
    <row r="19730" hidden="1">
      <c r="E19730" s="96"/>
    </row>
    <row r="19731" hidden="1">
      <c r="E19731" s="96"/>
    </row>
    <row r="19732" hidden="1">
      <c r="E19732" s="96"/>
    </row>
    <row r="19733" hidden="1">
      <c r="E19733" s="96"/>
    </row>
    <row r="19734" hidden="1">
      <c r="E19734" s="96"/>
    </row>
    <row r="19735" hidden="1">
      <c r="E19735" s="96"/>
    </row>
    <row r="19736" hidden="1">
      <c r="E19736" s="96"/>
    </row>
    <row r="19737" hidden="1">
      <c r="E19737" s="96"/>
    </row>
    <row r="19738" hidden="1">
      <c r="E19738" s="96"/>
    </row>
    <row r="19739" hidden="1">
      <c r="E19739" s="96"/>
    </row>
    <row r="19740" hidden="1">
      <c r="E19740" s="96"/>
    </row>
    <row r="19741" hidden="1">
      <c r="E19741" s="96"/>
    </row>
    <row r="19742" hidden="1">
      <c r="E19742" s="96"/>
    </row>
    <row r="19743" hidden="1">
      <c r="E19743" s="96"/>
    </row>
    <row r="19744" hidden="1">
      <c r="E19744" s="96"/>
    </row>
    <row r="19745" hidden="1">
      <c r="E19745" s="96"/>
    </row>
    <row r="19746" hidden="1">
      <c r="E19746" s="96"/>
    </row>
    <row r="19747" hidden="1">
      <c r="E19747" s="96"/>
    </row>
    <row r="19748" hidden="1">
      <c r="E19748" s="96"/>
    </row>
    <row r="19749" hidden="1">
      <c r="E19749" s="96"/>
    </row>
    <row r="19750" hidden="1">
      <c r="E19750" s="96"/>
    </row>
    <row r="19751" hidden="1">
      <c r="E19751" s="96"/>
    </row>
    <row r="19752" hidden="1">
      <c r="E19752" s="96"/>
    </row>
    <row r="19753" hidden="1">
      <c r="E19753" s="96"/>
    </row>
    <row r="19754" hidden="1">
      <c r="E19754" s="96"/>
    </row>
    <row r="19755" hidden="1">
      <c r="E19755" s="96"/>
    </row>
    <row r="19756" hidden="1">
      <c r="E19756" s="96"/>
    </row>
    <row r="19757" hidden="1">
      <c r="E19757" s="96"/>
    </row>
    <row r="19758" hidden="1">
      <c r="E19758" s="96"/>
    </row>
    <row r="19759" hidden="1">
      <c r="E19759" s="96"/>
    </row>
    <row r="19760" hidden="1">
      <c r="E19760" s="96"/>
    </row>
    <row r="19761" hidden="1">
      <c r="E19761" s="96"/>
    </row>
    <row r="19762" hidden="1">
      <c r="E19762" s="96"/>
    </row>
    <row r="19763" hidden="1">
      <c r="E19763" s="96"/>
    </row>
    <row r="19764" hidden="1">
      <c r="E19764" s="96"/>
    </row>
    <row r="19765" hidden="1">
      <c r="E19765" s="96"/>
    </row>
    <row r="19766" hidden="1">
      <c r="E19766" s="96"/>
    </row>
    <row r="19767" hidden="1">
      <c r="E19767" s="96"/>
    </row>
    <row r="19768" hidden="1">
      <c r="E19768" s="96"/>
    </row>
    <row r="19769" hidden="1">
      <c r="E19769" s="96"/>
    </row>
    <row r="19770" hidden="1">
      <c r="E19770" s="96"/>
    </row>
    <row r="19771" hidden="1">
      <c r="E19771" s="96"/>
    </row>
    <row r="19772" hidden="1">
      <c r="E19772" s="96"/>
    </row>
    <row r="19773" hidden="1">
      <c r="E19773" s="96"/>
    </row>
    <row r="19774" hidden="1">
      <c r="E19774" s="96"/>
    </row>
    <row r="19775" hidden="1">
      <c r="E19775" s="96"/>
    </row>
    <row r="19776" hidden="1">
      <c r="E19776" s="96"/>
    </row>
    <row r="19777" hidden="1">
      <c r="E19777" s="96"/>
    </row>
    <row r="19778" hidden="1">
      <c r="E19778" s="96"/>
    </row>
    <row r="19779" hidden="1">
      <c r="E19779" s="96"/>
    </row>
    <row r="19780" hidden="1">
      <c r="E19780" s="96"/>
    </row>
    <row r="19781" hidden="1">
      <c r="E19781" s="96"/>
    </row>
    <row r="19782" hidden="1">
      <c r="E19782" s="96"/>
    </row>
    <row r="19783" hidden="1">
      <c r="E19783" s="96"/>
    </row>
    <row r="19784" hidden="1">
      <c r="E19784" s="96"/>
    </row>
    <row r="19785" hidden="1">
      <c r="E19785" s="96"/>
    </row>
    <row r="19786" hidden="1">
      <c r="E19786" s="96"/>
    </row>
    <row r="19787" hidden="1">
      <c r="E19787" s="96"/>
    </row>
    <row r="19788" hidden="1">
      <c r="E19788" s="96"/>
    </row>
    <row r="19789" hidden="1">
      <c r="E19789" s="96"/>
    </row>
    <row r="19790" hidden="1">
      <c r="E19790" s="96"/>
    </row>
    <row r="19791" hidden="1">
      <c r="E19791" s="96"/>
    </row>
    <row r="19792" hidden="1">
      <c r="E19792" s="96"/>
    </row>
    <row r="19793" hidden="1">
      <c r="E19793" s="96"/>
    </row>
    <row r="19794" hidden="1">
      <c r="E19794" s="96"/>
    </row>
    <row r="19795" hidden="1">
      <c r="E19795" s="96"/>
    </row>
    <row r="19796" hidden="1">
      <c r="E19796" s="96"/>
    </row>
    <row r="19797" hidden="1">
      <c r="E19797" s="96"/>
    </row>
    <row r="19798" hidden="1">
      <c r="E19798" s="96"/>
    </row>
    <row r="19799" hidden="1">
      <c r="E19799" s="96"/>
    </row>
    <row r="19800" hidden="1">
      <c r="E19800" s="96"/>
    </row>
    <row r="19801" hidden="1">
      <c r="E19801" s="96"/>
    </row>
    <row r="19802" hidden="1">
      <c r="E19802" s="96"/>
    </row>
    <row r="19803" hidden="1">
      <c r="E19803" s="96"/>
    </row>
    <row r="19804" hidden="1">
      <c r="E19804" s="96"/>
    </row>
    <row r="19805" hidden="1">
      <c r="E19805" s="96"/>
    </row>
    <row r="19806" hidden="1">
      <c r="E19806" s="96"/>
    </row>
    <row r="19807" hidden="1">
      <c r="E19807" s="96"/>
    </row>
    <row r="19808" hidden="1">
      <c r="E19808" s="96"/>
    </row>
    <row r="19809" hidden="1">
      <c r="E19809" s="96"/>
    </row>
    <row r="19810" hidden="1">
      <c r="E19810" s="96"/>
    </row>
    <row r="19811" hidden="1">
      <c r="E19811" s="96"/>
    </row>
    <row r="19812" hidden="1">
      <c r="E19812" s="96"/>
    </row>
    <row r="19813" hidden="1">
      <c r="E19813" s="96"/>
    </row>
    <row r="19814" hidden="1">
      <c r="E19814" s="96"/>
    </row>
    <row r="19815" hidden="1">
      <c r="E19815" s="96"/>
    </row>
    <row r="19816" hidden="1">
      <c r="E19816" s="96"/>
    </row>
    <row r="19817" hidden="1">
      <c r="E19817" s="96"/>
    </row>
    <row r="19818" hidden="1">
      <c r="E19818" s="96"/>
    </row>
    <row r="19819" hidden="1">
      <c r="E19819" s="96"/>
    </row>
    <row r="19820" hidden="1">
      <c r="E19820" s="96"/>
    </row>
    <row r="19821" hidden="1">
      <c r="E19821" s="96"/>
    </row>
    <row r="19822" hidden="1">
      <c r="E19822" s="96"/>
    </row>
    <row r="19823" hidden="1">
      <c r="E19823" s="96"/>
    </row>
    <row r="19824" hidden="1">
      <c r="E19824" s="96"/>
    </row>
    <row r="19825" hidden="1">
      <c r="E19825" s="96"/>
    </row>
    <row r="19826" hidden="1">
      <c r="E19826" s="96"/>
    </row>
    <row r="19827" hidden="1">
      <c r="E19827" s="96"/>
    </row>
    <row r="19828" hidden="1">
      <c r="E19828" s="96"/>
    </row>
    <row r="19829" hidden="1">
      <c r="E19829" s="96"/>
    </row>
    <row r="19830" hidden="1">
      <c r="E19830" s="96"/>
    </row>
    <row r="19831" hidden="1">
      <c r="E19831" s="96"/>
    </row>
    <row r="19832" hidden="1">
      <c r="E19832" s="96"/>
    </row>
    <row r="19833" hidden="1">
      <c r="E19833" s="96"/>
    </row>
    <row r="19834" hidden="1">
      <c r="E19834" s="96"/>
    </row>
    <row r="19835" hidden="1">
      <c r="E19835" s="96"/>
    </row>
    <row r="19836" hidden="1">
      <c r="E19836" s="96"/>
    </row>
    <row r="19837" hidden="1">
      <c r="E19837" s="96"/>
    </row>
    <row r="19838" hidden="1">
      <c r="E19838" s="96"/>
    </row>
    <row r="19839" hidden="1">
      <c r="E19839" s="96"/>
    </row>
    <row r="19840" hidden="1">
      <c r="E19840" s="96"/>
    </row>
    <row r="19841" hidden="1">
      <c r="E19841" s="96"/>
    </row>
    <row r="19842" hidden="1">
      <c r="E19842" s="96"/>
    </row>
    <row r="19843" hidden="1">
      <c r="E19843" s="96"/>
    </row>
    <row r="19844" hidden="1">
      <c r="E19844" s="96"/>
    </row>
    <row r="19845" hidden="1">
      <c r="E19845" s="96"/>
    </row>
    <row r="19846" hidden="1">
      <c r="E19846" s="96"/>
    </row>
    <row r="19847" hidden="1">
      <c r="E19847" s="96"/>
    </row>
    <row r="19848" hidden="1">
      <c r="E19848" s="96"/>
    </row>
    <row r="19849" hidden="1">
      <c r="E19849" s="96"/>
    </row>
    <row r="19850" hidden="1">
      <c r="E19850" s="96"/>
    </row>
    <row r="19851" hidden="1">
      <c r="E19851" s="96"/>
    </row>
    <row r="19852" hidden="1">
      <c r="E19852" s="96"/>
    </row>
    <row r="19853" hidden="1">
      <c r="E19853" s="96"/>
    </row>
    <row r="19854" hidden="1">
      <c r="E19854" s="96"/>
    </row>
    <row r="19855" hidden="1">
      <c r="E19855" s="96"/>
    </row>
    <row r="19856" hidden="1">
      <c r="E19856" s="96"/>
    </row>
    <row r="19857" hidden="1">
      <c r="E19857" s="96"/>
    </row>
    <row r="19858" hidden="1">
      <c r="E19858" s="96"/>
    </row>
    <row r="19859" hidden="1">
      <c r="E19859" s="96"/>
    </row>
    <row r="19860" hidden="1">
      <c r="E19860" s="96"/>
    </row>
    <row r="19861" hidden="1">
      <c r="E19861" s="96"/>
    </row>
    <row r="19862" hidden="1">
      <c r="E19862" s="96"/>
    </row>
    <row r="19863" hidden="1">
      <c r="E19863" s="96"/>
    </row>
    <row r="19864" hidden="1">
      <c r="E19864" s="96"/>
    </row>
    <row r="19865" hidden="1">
      <c r="E19865" s="96"/>
    </row>
    <row r="19866" hidden="1">
      <c r="E19866" s="96"/>
    </row>
    <row r="19867" hidden="1">
      <c r="E19867" s="96"/>
    </row>
    <row r="19868" hidden="1">
      <c r="E19868" s="96"/>
    </row>
    <row r="19869" hidden="1">
      <c r="E19869" s="96"/>
    </row>
    <row r="19870" hidden="1">
      <c r="E19870" s="96"/>
    </row>
    <row r="19871" hidden="1">
      <c r="E19871" s="96"/>
    </row>
    <row r="19872" hidden="1">
      <c r="E19872" s="96"/>
    </row>
    <row r="19873" hidden="1">
      <c r="E19873" s="96"/>
    </row>
    <row r="19874" hidden="1">
      <c r="E19874" s="96"/>
    </row>
    <row r="19875" hidden="1">
      <c r="E19875" s="96"/>
    </row>
    <row r="19876" hidden="1">
      <c r="E19876" s="96"/>
    </row>
    <row r="19877" hidden="1">
      <c r="E19877" s="96"/>
    </row>
    <row r="19878" hidden="1">
      <c r="E19878" s="96"/>
    </row>
    <row r="19879" hidden="1">
      <c r="E19879" s="96"/>
    </row>
    <row r="19880" hidden="1">
      <c r="E19880" s="96"/>
    </row>
    <row r="19881" hidden="1">
      <c r="E19881" s="96"/>
    </row>
    <row r="19882" hidden="1">
      <c r="E19882" s="96"/>
    </row>
    <row r="19883" hidden="1">
      <c r="E19883" s="96"/>
    </row>
    <row r="19884" hidden="1">
      <c r="E19884" s="96"/>
    </row>
    <row r="19885" hidden="1">
      <c r="E19885" s="96"/>
    </row>
    <row r="19886" hidden="1">
      <c r="E19886" s="96"/>
    </row>
    <row r="19887" hidden="1">
      <c r="E19887" s="96"/>
    </row>
    <row r="19888" hidden="1">
      <c r="E19888" s="96"/>
    </row>
    <row r="19889" hidden="1">
      <c r="E19889" s="96"/>
    </row>
    <row r="19890" hidden="1">
      <c r="E19890" s="96"/>
    </row>
    <row r="19891" hidden="1">
      <c r="E19891" s="96"/>
    </row>
    <row r="19892" hidden="1">
      <c r="E19892" s="96"/>
    </row>
    <row r="19893" hidden="1">
      <c r="E19893" s="96"/>
    </row>
    <row r="19894" hidden="1">
      <c r="E19894" s="96"/>
    </row>
    <row r="19895" hidden="1">
      <c r="E19895" s="96"/>
    </row>
    <row r="19896" hidden="1">
      <c r="E19896" s="96"/>
    </row>
    <row r="19897" hidden="1">
      <c r="E19897" s="96"/>
    </row>
    <row r="19898" hidden="1">
      <c r="E19898" s="96"/>
    </row>
    <row r="19899" hidden="1">
      <c r="E19899" s="96"/>
    </row>
    <row r="19900" hidden="1">
      <c r="E19900" s="96"/>
    </row>
    <row r="19901" hidden="1">
      <c r="E19901" s="96"/>
    </row>
    <row r="19902" hidden="1">
      <c r="E19902" s="96"/>
    </row>
    <row r="19903" hidden="1">
      <c r="E19903" s="96"/>
    </row>
    <row r="19904" hidden="1">
      <c r="E19904" s="96"/>
    </row>
    <row r="19905" hidden="1">
      <c r="E19905" s="96"/>
    </row>
    <row r="19906" hidden="1">
      <c r="E19906" s="96"/>
    </row>
    <row r="19907" hidden="1">
      <c r="E19907" s="96"/>
    </row>
    <row r="19908" hidden="1">
      <c r="E19908" s="96"/>
    </row>
    <row r="19909" hidden="1">
      <c r="E19909" s="96"/>
    </row>
    <row r="19910" hidden="1">
      <c r="E19910" s="96"/>
    </row>
    <row r="19911" hidden="1">
      <c r="E19911" s="96"/>
    </row>
    <row r="19912" hidden="1">
      <c r="E19912" s="96"/>
    </row>
    <row r="19913" hidden="1">
      <c r="E19913" s="96"/>
    </row>
    <row r="19914" hidden="1">
      <c r="E19914" s="96"/>
    </row>
    <row r="19915" hidden="1">
      <c r="E19915" s="96"/>
    </row>
    <row r="19916" hidden="1">
      <c r="E19916" s="96"/>
    </row>
    <row r="19917" hidden="1">
      <c r="E19917" s="96"/>
    </row>
    <row r="19918" hidden="1">
      <c r="E19918" s="96"/>
    </row>
    <row r="19919" hidden="1">
      <c r="E19919" s="96"/>
    </row>
    <row r="19920" hidden="1">
      <c r="E19920" s="96"/>
    </row>
    <row r="19921" hidden="1">
      <c r="E19921" s="96"/>
    </row>
    <row r="19922" hidden="1">
      <c r="E19922" s="96"/>
    </row>
    <row r="19923" hidden="1">
      <c r="E19923" s="96"/>
    </row>
    <row r="19924" hidden="1">
      <c r="E19924" s="96"/>
    </row>
    <row r="19925" hidden="1">
      <c r="E19925" s="96"/>
    </row>
    <row r="19926" hidden="1">
      <c r="E19926" s="96"/>
    </row>
    <row r="19927" hidden="1">
      <c r="E19927" s="96"/>
    </row>
    <row r="19928" hidden="1">
      <c r="E19928" s="96"/>
    </row>
    <row r="19929" hidden="1">
      <c r="E19929" s="96"/>
    </row>
    <row r="19930" hidden="1">
      <c r="E19930" s="96"/>
    </row>
    <row r="19931" hidden="1">
      <c r="E19931" s="96"/>
    </row>
    <row r="19932" hidden="1">
      <c r="E19932" s="96"/>
    </row>
    <row r="19933" hidden="1">
      <c r="E19933" s="96"/>
    </row>
    <row r="19934" hidden="1">
      <c r="E19934" s="96"/>
    </row>
    <row r="19935" hidden="1">
      <c r="E19935" s="96"/>
    </row>
    <row r="19936" hidden="1">
      <c r="E19936" s="96"/>
    </row>
    <row r="19937" hidden="1">
      <c r="E19937" s="96"/>
    </row>
    <row r="19938" hidden="1">
      <c r="E19938" s="96"/>
    </row>
    <row r="19939" hidden="1">
      <c r="E19939" s="96"/>
    </row>
    <row r="19940" hidden="1">
      <c r="E19940" s="96"/>
    </row>
    <row r="19941" hidden="1">
      <c r="E19941" s="96"/>
    </row>
    <row r="19942" hidden="1">
      <c r="E19942" s="96"/>
    </row>
    <row r="19943" hidden="1">
      <c r="E19943" s="96"/>
    </row>
    <row r="19944" hidden="1">
      <c r="E19944" s="96"/>
    </row>
    <row r="19945" hidden="1">
      <c r="E19945" s="96"/>
    </row>
    <row r="19946" hidden="1">
      <c r="E19946" s="96"/>
    </row>
    <row r="19947" hidden="1">
      <c r="E19947" s="96"/>
    </row>
    <row r="19948" hidden="1">
      <c r="E19948" s="96"/>
    </row>
    <row r="19949" hidden="1">
      <c r="E19949" s="96"/>
    </row>
    <row r="19950" hidden="1">
      <c r="E19950" s="96"/>
    </row>
    <row r="19951" hidden="1">
      <c r="E19951" s="96"/>
    </row>
    <row r="19952" hidden="1">
      <c r="E19952" s="96"/>
    </row>
    <row r="19953" hidden="1">
      <c r="E19953" s="96"/>
    </row>
    <row r="19954" hidden="1">
      <c r="E19954" s="96"/>
    </row>
    <row r="19955" hidden="1">
      <c r="E19955" s="96"/>
    </row>
    <row r="19956" hidden="1">
      <c r="E19956" s="96"/>
    </row>
    <row r="19957" hidden="1">
      <c r="E19957" s="96"/>
    </row>
    <row r="19958" hidden="1">
      <c r="E19958" s="96"/>
    </row>
    <row r="19959" hidden="1">
      <c r="E19959" s="96"/>
    </row>
    <row r="19960" hidden="1">
      <c r="E19960" s="96"/>
    </row>
    <row r="19961" hidden="1">
      <c r="E19961" s="96"/>
    </row>
    <row r="19962" hidden="1">
      <c r="E19962" s="96"/>
    </row>
    <row r="19963" hidden="1">
      <c r="E19963" s="96"/>
    </row>
    <row r="19964" hidden="1">
      <c r="E19964" s="96"/>
    </row>
    <row r="19965" hidden="1">
      <c r="E19965" s="96"/>
    </row>
    <row r="19966" hidden="1">
      <c r="E19966" s="96"/>
    </row>
    <row r="19967" hidden="1">
      <c r="E19967" s="96"/>
    </row>
    <row r="19968" hidden="1">
      <c r="E19968" s="96"/>
    </row>
    <row r="19969" hidden="1">
      <c r="E19969" s="96"/>
    </row>
    <row r="19970" hidden="1">
      <c r="E19970" s="96"/>
    </row>
    <row r="19971" hidden="1">
      <c r="E19971" s="96"/>
    </row>
    <row r="19972" hidden="1">
      <c r="E19972" s="96"/>
    </row>
    <row r="19973" hidden="1">
      <c r="E19973" s="96"/>
    </row>
    <row r="19974" hidden="1">
      <c r="E19974" s="96"/>
    </row>
    <row r="19975" hidden="1">
      <c r="E19975" s="96"/>
    </row>
    <row r="19976" hidden="1">
      <c r="E19976" s="96"/>
    </row>
    <row r="19977" hidden="1">
      <c r="E19977" s="96"/>
    </row>
    <row r="19978" hidden="1">
      <c r="E19978" s="96"/>
    </row>
    <row r="19979" hidden="1">
      <c r="E19979" s="96"/>
    </row>
    <row r="19980" hidden="1">
      <c r="E19980" s="96"/>
    </row>
    <row r="19981" hidden="1">
      <c r="E19981" s="96"/>
    </row>
    <row r="19982" hidden="1">
      <c r="E19982" s="96"/>
    </row>
    <row r="19983" hidden="1">
      <c r="E19983" s="96"/>
    </row>
    <row r="19984" hidden="1">
      <c r="E19984" s="96"/>
    </row>
    <row r="19985" hidden="1">
      <c r="E19985" s="96"/>
    </row>
    <row r="19986" hidden="1">
      <c r="E19986" s="96"/>
    </row>
    <row r="19987" hidden="1">
      <c r="E19987" s="96"/>
    </row>
    <row r="19988" hidden="1">
      <c r="E19988" s="96"/>
    </row>
    <row r="19989" hidden="1">
      <c r="E19989" s="96"/>
    </row>
    <row r="19990" hidden="1">
      <c r="E19990" s="96"/>
    </row>
    <row r="19991" hidden="1">
      <c r="E19991" s="96"/>
    </row>
    <row r="19992" hidden="1">
      <c r="E19992" s="96"/>
    </row>
    <row r="19993" hidden="1">
      <c r="E19993" s="96"/>
    </row>
    <row r="19994" hidden="1">
      <c r="E19994" s="96"/>
    </row>
    <row r="19995" hidden="1">
      <c r="E19995" s="96"/>
    </row>
    <row r="19996" hidden="1">
      <c r="E19996" s="96"/>
    </row>
    <row r="19997" hidden="1">
      <c r="E19997" s="96"/>
    </row>
    <row r="19998" hidden="1">
      <c r="E19998" s="96"/>
    </row>
    <row r="19999" hidden="1">
      <c r="E19999" s="96"/>
    </row>
    <row r="20000" hidden="1">
      <c r="E20000" s="96"/>
    </row>
    <row r="20001" hidden="1">
      <c r="E20001" s="96"/>
    </row>
    <row r="20002" hidden="1">
      <c r="E20002" s="96"/>
    </row>
    <row r="20003" hidden="1">
      <c r="E20003" s="96"/>
    </row>
    <row r="20004" hidden="1">
      <c r="E20004" s="96"/>
    </row>
    <row r="20005" hidden="1">
      <c r="E20005" s="96"/>
    </row>
    <row r="20006" hidden="1">
      <c r="E20006" s="96"/>
    </row>
    <row r="20007" hidden="1">
      <c r="E20007" s="96"/>
    </row>
    <row r="20008" hidden="1">
      <c r="E20008" s="96"/>
    </row>
    <row r="20009" hidden="1">
      <c r="E20009" s="96"/>
    </row>
    <row r="20010" hidden="1">
      <c r="E20010" s="96"/>
    </row>
    <row r="20011" hidden="1">
      <c r="E20011" s="96"/>
    </row>
    <row r="20012" hidden="1">
      <c r="E20012" s="96"/>
    </row>
    <row r="20013" hidden="1">
      <c r="E20013" s="96"/>
    </row>
    <row r="20014" hidden="1">
      <c r="E20014" s="96"/>
    </row>
    <row r="20015" hidden="1">
      <c r="E20015" s="96"/>
    </row>
    <row r="20016" hidden="1">
      <c r="E20016" s="96"/>
    </row>
    <row r="20017" hidden="1">
      <c r="E20017" s="96"/>
    </row>
    <row r="20018" hidden="1">
      <c r="E20018" s="96"/>
    </row>
    <row r="20019" hidden="1">
      <c r="E20019" s="96"/>
    </row>
    <row r="20020" hidden="1">
      <c r="E20020" s="96"/>
    </row>
    <row r="20021" hidden="1">
      <c r="E20021" s="96"/>
    </row>
    <row r="20022" hidden="1">
      <c r="E20022" s="96"/>
    </row>
    <row r="20023" hidden="1">
      <c r="E20023" s="96"/>
    </row>
    <row r="20024" hidden="1">
      <c r="E20024" s="96"/>
    </row>
    <row r="20025" hidden="1">
      <c r="E20025" s="96"/>
    </row>
    <row r="20026" hidden="1">
      <c r="E20026" s="96"/>
    </row>
    <row r="20027" hidden="1">
      <c r="E20027" s="96"/>
    </row>
    <row r="20028" hidden="1">
      <c r="E20028" s="96"/>
    </row>
    <row r="20029" hidden="1">
      <c r="E20029" s="96"/>
    </row>
    <row r="20030" hidden="1">
      <c r="E20030" s="96"/>
    </row>
    <row r="20031" hidden="1">
      <c r="E20031" s="96"/>
    </row>
    <row r="20032" hidden="1">
      <c r="E20032" s="96"/>
    </row>
    <row r="20033" hidden="1">
      <c r="E20033" s="96"/>
    </row>
    <row r="20034" hidden="1">
      <c r="E20034" s="96"/>
    </row>
    <row r="20035" hidden="1">
      <c r="E20035" s="96"/>
    </row>
    <row r="20036" hidden="1">
      <c r="E20036" s="96"/>
    </row>
    <row r="20037" hidden="1">
      <c r="E20037" s="96"/>
    </row>
    <row r="20038" hidden="1">
      <c r="E20038" s="96"/>
    </row>
    <row r="20039" hidden="1">
      <c r="E20039" s="96"/>
    </row>
    <row r="20040" hidden="1">
      <c r="E20040" s="96"/>
    </row>
    <row r="20041" hidden="1">
      <c r="E20041" s="96"/>
    </row>
    <row r="20042" hidden="1">
      <c r="E20042" s="96"/>
    </row>
    <row r="20043" hidden="1">
      <c r="E20043" s="96"/>
    </row>
    <row r="20044" hidden="1">
      <c r="E20044" s="96"/>
    </row>
    <row r="20045" hidden="1">
      <c r="E20045" s="96"/>
    </row>
    <row r="20046" hidden="1">
      <c r="E20046" s="96"/>
    </row>
    <row r="20047" hidden="1">
      <c r="E20047" s="96"/>
    </row>
    <row r="20048" hidden="1">
      <c r="E20048" s="96"/>
    </row>
    <row r="20049" hidden="1">
      <c r="E20049" s="96"/>
    </row>
    <row r="20050" hidden="1">
      <c r="E20050" s="96"/>
    </row>
    <row r="20051" hidden="1">
      <c r="E20051" s="96"/>
    </row>
    <row r="20052" hidden="1">
      <c r="E20052" s="96"/>
    </row>
    <row r="20053" hidden="1">
      <c r="E20053" s="96"/>
    </row>
    <row r="20054" hidden="1">
      <c r="E20054" s="96"/>
    </row>
    <row r="20055" hidden="1">
      <c r="E20055" s="96"/>
    </row>
    <row r="20056" hidden="1">
      <c r="E20056" s="96"/>
    </row>
    <row r="20057" hidden="1">
      <c r="E20057" s="96"/>
    </row>
    <row r="20058" hidden="1">
      <c r="E20058" s="96"/>
    </row>
    <row r="20059" hidden="1">
      <c r="E20059" s="96"/>
    </row>
    <row r="20060" hidden="1">
      <c r="E20060" s="96"/>
    </row>
    <row r="20061" hidden="1">
      <c r="E20061" s="96"/>
    </row>
    <row r="20062" hidden="1">
      <c r="E20062" s="96"/>
    </row>
    <row r="20063" hidden="1">
      <c r="E20063" s="96"/>
    </row>
    <row r="20064" hidden="1">
      <c r="E20064" s="96"/>
    </row>
    <row r="20065" hidden="1">
      <c r="E20065" s="96"/>
    </row>
    <row r="20066" hidden="1">
      <c r="E20066" s="96"/>
    </row>
    <row r="20067" hidden="1">
      <c r="E20067" s="96"/>
    </row>
    <row r="20068" hidden="1">
      <c r="E20068" s="96"/>
    </row>
    <row r="20069" hidden="1">
      <c r="E20069" s="96"/>
    </row>
    <row r="20070" hidden="1">
      <c r="E20070" s="96"/>
    </row>
    <row r="20071" hidden="1">
      <c r="E20071" s="96"/>
    </row>
    <row r="20072" hidden="1">
      <c r="E20072" s="96"/>
    </row>
    <row r="20073" hidden="1">
      <c r="E20073" s="96"/>
    </row>
    <row r="20074" hidden="1">
      <c r="E20074" s="96"/>
    </row>
    <row r="20075" hidden="1">
      <c r="E20075" s="96"/>
    </row>
    <row r="20076" hidden="1">
      <c r="E20076" s="96"/>
    </row>
    <row r="20077" hidden="1">
      <c r="E20077" s="96"/>
    </row>
    <row r="20078" hidden="1">
      <c r="E20078" s="96"/>
    </row>
    <row r="20079" hidden="1">
      <c r="E20079" s="96"/>
    </row>
    <row r="20080" hidden="1">
      <c r="E20080" s="96"/>
    </row>
    <row r="20081" hidden="1">
      <c r="E20081" s="96"/>
    </row>
    <row r="20082" hidden="1">
      <c r="E20082" s="96"/>
    </row>
    <row r="20083" hidden="1">
      <c r="E20083" s="96"/>
    </row>
    <row r="20084" hidden="1">
      <c r="E20084" s="96"/>
    </row>
    <row r="20085" hidden="1">
      <c r="E20085" s="96"/>
    </row>
    <row r="20086" hidden="1">
      <c r="E20086" s="96"/>
    </row>
    <row r="20087" hidden="1">
      <c r="E20087" s="96"/>
    </row>
    <row r="20088" hidden="1">
      <c r="E20088" s="96"/>
    </row>
    <row r="20089" hidden="1">
      <c r="E20089" s="96"/>
    </row>
    <row r="20090" hidden="1">
      <c r="E20090" s="96"/>
    </row>
    <row r="20091" hidden="1">
      <c r="E20091" s="96"/>
    </row>
    <row r="20092" hidden="1">
      <c r="E20092" s="96"/>
    </row>
    <row r="20093" hidden="1">
      <c r="E20093" s="96"/>
    </row>
    <row r="20094" hidden="1">
      <c r="E20094" s="96"/>
    </row>
    <row r="20095" hidden="1">
      <c r="E20095" s="96"/>
    </row>
    <row r="20096" hidden="1">
      <c r="E20096" s="96"/>
    </row>
    <row r="20097" hidden="1">
      <c r="E20097" s="96"/>
    </row>
    <row r="20098" hidden="1">
      <c r="E20098" s="96"/>
    </row>
    <row r="20099" hidden="1">
      <c r="E20099" s="96"/>
    </row>
    <row r="20100" hidden="1">
      <c r="E20100" s="96"/>
    </row>
    <row r="20101" hidden="1">
      <c r="E20101" s="96"/>
    </row>
    <row r="20102" hidden="1">
      <c r="E20102" s="96"/>
    </row>
    <row r="20103" hidden="1">
      <c r="E20103" s="96"/>
    </row>
    <row r="20104" hidden="1">
      <c r="E20104" s="96"/>
    </row>
    <row r="20105" hidden="1">
      <c r="E20105" s="96"/>
    </row>
    <row r="20106" hidden="1">
      <c r="E20106" s="96"/>
    </row>
    <row r="20107" hidden="1">
      <c r="E20107" s="96"/>
    </row>
    <row r="20108" hidden="1">
      <c r="E20108" s="96"/>
    </row>
    <row r="20109" hidden="1">
      <c r="E20109" s="96"/>
    </row>
    <row r="20110" hidden="1">
      <c r="E20110" s="96"/>
    </row>
    <row r="20111" hidden="1">
      <c r="E20111" s="96"/>
    </row>
    <row r="20112" hidden="1">
      <c r="E20112" s="96"/>
    </row>
    <row r="20113" hidden="1">
      <c r="E20113" s="96"/>
    </row>
    <row r="20114" hidden="1">
      <c r="E20114" s="96"/>
    </row>
    <row r="20115" hidden="1">
      <c r="E20115" s="96"/>
    </row>
    <row r="20116" hidden="1">
      <c r="E20116" s="96"/>
    </row>
    <row r="20117" hidden="1">
      <c r="E20117" s="96"/>
    </row>
    <row r="20118" hidden="1">
      <c r="E20118" s="96"/>
    </row>
    <row r="20119" hidden="1">
      <c r="E20119" s="96"/>
    </row>
    <row r="20120" hidden="1">
      <c r="E20120" s="96"/>
    </row>
    <row r="20121" hidden="1">
      <c r="E20121" s="96"/>
    </row>
    <row r="20122" hidden="1">
      <c r="E20122" s="96"/>
    </row>
    <row r="20123" hidden="1">
      <c r="E20123" s="96"/>
    </row>
    <row r="20124" hidden="1">
      <c r="E20124" s="96"/>
    </row>
    <row r="20125" hidden="1">
      <c r="E20125" s="96"/>
    </row>
    <row r="20126" hidden="1">
      <c r="E20126" s="96"/>
    </row>
    <row r="20127" hidden="1">
      <c r="E20127" s="96"/>
    </row>
    <row r="20128" hidden="1">
      <c r="E20128" s="96"/>
    </row>
    <row r="20129" hidden="1">
      <c r="E20129" s="96"/>
    </row>
    <row r="20130" hidden="1">
      <c r="E20130" s="96"/>
    </row>
    <row r="20131" hidden="1">
      <c r="E20131" s="96"/>
    </row>
    <row r="20132" hidden="1">
      <c r="E20132" s="96"/>
    </row>
    <row r="20133" hidden="1">
      <c r="E20133" s="96"/>
    </row>
    <row r="20134" hidden="1">
      <c r="E20134" s="96"/>
    </row>
    <row r="20135" hidden="1">
      <c r="E20135" s="96"/>
    </row>
    <row r="20136" hidden="1">
      <c r="E20136" s="96"/>
    </row>
    <row r="20137" hidden="1">
      <c r="E20137" s="96"/>
    </row>
    <row r="20138" hidden="1">
      <c r="E20138" s="96"/>
    </row>
    <row r="20139" hidden="1">
      <c r="E20139" s="96"/>
    </row>
    <row r="20140" hidden="1">
      <c r="E20140" s="96"/>
    </row>
    <row r="20141" hidden="1">
      <c r="E20141" s="96"/>
    </row>
    <row r="20142" hidden="1">
      <c r="E20142" s="96"/>
    </row>
    <row r="20143" hidden="1">
      <c r="E20143" s="96"/>
    </row>
    <row r="20144" hidden="1">
      <c r="E20144" s="96"/>
    </row>
    <row r="20145" hidden="1">
      <c r="E20145" s="96"/>
    </row>
    <row r="20146" hidden="1">
      <c r="E20146" s="96"/>
    </row>
    <row r="20147" hidden="1">
      <c r="E20147" s="96"/>
    </row>
    <row r="20148" hidden="1">
      <c r="E20148" s="96"/>
    </row>
    <row r="20149" hidden="1">
      <c r="E20149" s="96"/>
    </row>
    <row r="20150" hidden="1">
      <c r="E20150" s="96"/>
    </row>
    <row r="20151" hidden="1">
      <c r="E20151" s="96"/>
    </row>
    <row r="20152" hidden="1">
      <c r="E20152" s="96"/>
    </row>
    <row r="20153" hidden="1">
      <c r="E20153" s="96"/>
    </row>
    <row r="20154" hidden="1">
      <c r="E20154" s="96"/>
    </row>
    <row r="20155" hidden="1">
      <c r="E20155" s="96"/>
    </row>
    <row r="20156" hidden="1">
      <c r="E20156" s="96"/>
    </row>
    <row r="20157" hidden="1">
      <c r="E20157" s="96"/>
    </row>
    <row r="20158" hidden="1">
      <c r="E20158" s="96"/>
    </row>
    <row r="20159" hidden="1">
      <c r="E20159" s="96"/>
    </row>
    <row r="20160" hidden="1">
      <c r="E20160" s="96"/>
    </row>
    <row r="20161" hidden="1">
      <c r="E20161" s="96"/>
    </row>
    <row r="20162" hidden="1">
      <c r="E20162" s="96"/>
    </row>
    <row r="20163" hidden="1">
      <c r="E20163" s="96"/>
    </row>
    <row r="20164" hidden="1">
      <c r="E20164" s="96"/>
    </row>
    <row r="20165" hidden="1">
      <c r="E20165" s="96"/>
    </row>
    <row r="20166" hidden="1">
      <c r="E20166" s="96"/>
    </row>
    <row r="20167" hidden="1">
      <c r="E20167" s="96"/>
    </row>
    <row r="20168" hidden="1">
      <c r="E20168" s="96"/>
    </row>
    <row r="20169" hidden="1">
      <c r="E20169" s="96"/>
    </row>
    <row r="20170" hidden="1">
      <c r="E20170" s="96"/>
    </row>
    <row r="20171" hidden="1">
      <c r="E20171" s="96"/>
    </row>
    <row r="20172" hidden="1">
      <c r="E20172" s="96"/>
    </row>
    <row r="20173" hidden="1">
      <c r="E20173" s="96"/>
    </row>
    <row r="20174" hidden="1">
      <c r="E20174" s="96"/>
    </row>
    <row r="20175" hidden="1">
      <c r="E20175" s="96"/>
    </row>
    <row r="20176" hidden="1">
      <c r="E20176" s="96"/>
    </row>
    <row r="20177" hidden="1">
      <c r="E20177" s="96"/>
    </row>
    <row r="20178" hidden="1">
      <c r="E20178" s="96"/>
    </row>
    <row r="20179" hidden="1">
      <c r="E20179" s="96"/>
    </row>
    <row r="20180" hidden="1">
      <c r="E20180" s="96"/>
    </row>
    <row r="20181" hidden="1">
      <c r="E20181" s="96"/>
    </row>
    <row r="20182" hidden="1">
      <c r="E20182" s="96"/>
    </row>
    <row r="20183" hidden="1">
      <c r="E20183" s="96"/>
    </row>
    <row r="20184" hidden="1">
      <c r="E20184" s="96"/>
    </row>
    <row r="20185" hidden="1">
      <c r="E20185" s="96"/>
    </row>
    <row r="20186" hidden="1">
      <c r="E20186" s="96"/>
    </row>
    <row r="20187" hidden="1">
      <c r="E20187" s="96"/>
    </row>
    <row r="20188" hidden="1">
      <c r="E20188" s="96"/>
    </row>
    <row r="20189" hidden="1">
      <c r="E20189" s="96"/>
    </row>
    <row r="20190" hidden="1">
      <c r="E20190" s="96"/>
    </row>
    <row r="20191" hidden="1">
      <c r="E20191" s="96"/>
    </row>
    <row r="20192" hidden="1">
      <c r="E20192" s="96"/>
    </row>
    <row r="20193" hidden="1">
      <c r="E20193" s="96"/>
    </row>
    <row r="20194" hidden="1">
      <c r="E20194" s="96"/>
    </row>
    <row r="20195" hidden="1">
      <c r="E20195" s="96"/>
    </row>
    <row r="20196" hidden="1">
      <c r="E20196" s="96"/>
    </row>
    <row r="20197" hidden="1">
      <c r="E20197" s="96"/>
    </row>
    <row r="20198" hidden="1">
      <c r="E20198" s="96"/>
    </row>
    <row r="20199" hidden="1">
      <c r="E20199" s="96"/>
    </row>
    <row r="20200" hidden="1">
      <c r="E20200" s="96"/>
    </row>
    <row r="20201" hidden="1">
      <c r="E20201" s="96"/>
    </row>
    <row r="20202" hidden="1">
      <c r="E20202" s="96"/>
    </row>
    <row r="20203" hidden="1">
      <c r="E20203" s="96"/>
    </row>
    <row r="20204" hidden="1">
      <c r="E20204" s="96"/>
    </row>
    <row r="20205" hidden="1">
      <c r="E20205" s="96"/>
    </row>
    <row r="20206" hidden="1">
      <c r="E20206" s="96"/>
    </row>
    <row r="20207" hidden="1">
      <c r="E20207" s="96"/>
    </row>
    <row r="20208" hidden="1">
      <c r="E20208" s="96"/>
    </row>
    <row r="20209" hidden="1">
      <c r="E20209" s="96"/>
    </row>
    <row r="20210" hidden="1">
      <c r="E20210" s="96"/>
    </row>
    <row r="20211" hidden="1">
      <c r="E20211" s="96"/>
    </row>
    <row r="20212" hidden="1">
      <c r="E20212" s="96"/>
    </row>
    <row r="20213" hidden="1">
      <c r="E20213" s="96"/>
    </row>
    <row r="20214" hidden="1">
      <c r="E20214" s="96"/>
    </row>
    <row r="20215" hidden="1">
      <c r="E20215" s="96"/>
    </row>
    <row r="20216" hidden="1">
      <c r="E20216" s="96"/>
    </row>
    <row r="20217" hidden="1">
      <c r="E20217" s="96"/>
    </row>
    <row r="20218" hidden="1">
      <c r="E20218" s="96"/>
    </row>
    <row r="20219" hidden="1">
      <c r="E20219" s="96"/>
    </row>
    <row r="20220" hidden="1">
      <c r="E20220" s="96"/>
    </row>
    <row r="20221" hidden="1">
      <c r="E20221" s="96"/>
    </row>
    <row r="20222" hidden="1">
      <c r="E20222" s="96"/>
    </row>
    <row r="20223" hidden="1">
      <c r="E20223" s="96"/>
    </row>
    <row r="20224" hidden="1">
      <c r="E20224" s="96"/>
    </row>
    <row r="20225" hidden="1">
      <c r="E20225" s="96"/>
    </row>
    <row r="20226" hidden="1">
      <c r="E20226" s="96"/>
    </row>
    <row r="20227" hidden="1">
      <c r="E20227" s="96"/>
    </row>
    <row r="20228" hidden="1">
      <c r="E20228" s="96"/>
    </row>
    <row r="20229" hidden="1">
      <c r="E20229" s="96"/>
    </row>
    <row r="20230" hidden="1">
      <c r="E20230" s="96"/>
    </row>
    <row r="20231" hidden="1">
      <c r="E20231" s="96"/>
    </row>
    <row r="20232" hidden="1">
      <c r="E20232" s="96"/>
    </row>
    <row r="20233" hidden="1">
      <c r="E20233" s="96"/>
    </row>
    <row r="20234" hidden="1">
      <c r="E20234" s="96"/>
    </row>
    <row r="20235" hidden="1">
      <c r="E20235" s="96"/>
    </row>
    <row r="20236" hidden="1">
      <c r="E20236" s="96"/>
    </row>
    <row r="20237" hidden="1">
      <c r="E20237" s="96"/>
    </row>
    <row r="20238" hidden="1">
      <c r="E20238" s="96"/>
    </row>
    <row r="20239" hidden="1">
      <c r="E20239" s="96"/>
    </row>
    <row r="20240" hidden="1">
      <c r="E20240" s="96"/>
    </row>
    <row r="20241" hidden="1">
      <c r="E20241" s="96"/>
    </row>
    <row r="20242" hidden="1">
      <c r="E20242" s="96"/>
    </row>
    <row r="20243" hidden="1">
      <c r="E20243" s="96"/>
    </row>
    <row r="20244" hidden="1">
      <c r="E20244" s="96"/>
    </row>
    <row r="20245" hidden="1">
      <c r="E20245" s="96"/>
    </row>
    <row r="20246" hidden="1">
      <c r="E20246" s="96"/>
    </row>
    <row r="20247" hidden="1">
      <c r="E20247" s="96"/>
    </row>
    <row r="20248" hidden="1">
      <c r="E20248" s="96"/>
    </row>
    <row r="20249" hidden="1">
      <c r="E20249" s="96"/>
    </row>
    <row r="20250" hidden="1">
      <c r="E20250" s="96"/>
    </row>
    <row r="20251" hidden="1">
      <c r="E20251" s="96"/>
    </row>
    <row r="20252" hidden="1">
      <c r="E20252" s="96"/>
    </row>
    <row r="20253" hidden="1">
      <c r="E20253" s="96"/>
    </row>
    <row r="20254" hidden="1">
      <c r="E20254" s="96"/>
    </row>
    <row r="20255" hidden="1">
      <c r="E20255" s="96"/>
    </row>
    <row r="20256" hidden="1">
      <c r="E20256" s="96"/>
    </row>
    <row r="20257" hidden="1">
      <c r="E20257" s="96"/>
    </row>
    <row r="20258" hidden="1">
      <c r="E20258" s="96"/>
    </row>
    <row r="20259" hidden="1">
      <c r="E20259" s="96"/>
    </row>
    <row r="20260" hidden="1">
      <c r="E20260" s="96"/>
    </row>
    <row r="20261" hidden="1">
      <c r="E20261" s="96"/>
    </row>
    <row r="20262" hidden="1">
      <c r="E20262" s="96"/>
    </row>
    <row r="20263" hidden="1">
      <c r="E20263" s="96"/>
    </row>
    <row r="20264" hidden="1">
      <c r="E20264" s="96"/>
    </row>
    <row r="20265" hidden="1">
      <c r="E20265" s="96"/>
    </row>
    <row r="20266" hidden="1">
      <c r="E20266" s="96"/>
    </row>
    <row r="20267" hidden="1">
      <c r="E20267" s="96"/>
    </row>
    <row r="20268" hidden="1">
      <c r="E20268" s="96"/>
    </row>
    <row r="20269" hidden="1">
      <c r="E20269" s="96"/>
    </row>
    <row r="20270" hidden="1">
      <c r="E20270" s="96"/>
    </row>
    <row r="20271" hidden="1">
      <c r="E20271" s="96"/>
    </row>
    <row r="20272" hidden="1">
      <c r="E20272" s="96"/>
    </row>
    <row r="20273" hidden="1">
      <c r="E20273" s="96"/>
    </row>
    <row r="20274" hidden="1">
      <c r="E20274" s="96"/>
    </row>
    <row r="20275" hidden="1">
      <c r="E20275" s="96"/>
    </row>
    <row r="20276" hidden="1">
      <c r="E20276" s="96"/>
    </row>
    <row r="20277" hidden="1">
      <c r="E20277" s="96"/>
    </row>
    <row r="20278" hidden="1">
      <c r="E20278" s="96"/>
    </row>
    <row r="20279" hidden="1">
      <c r="E20279" s="96"/>
    </row>
    <row r="20280" hidden="1">
      <c r="E20280" s="96"/>
    </row>
    <row r="20281" hidden="1">
      <c r="E20281" s="96"/>
    </row>
    <row r="20282" hidden="1">
      <c r="E20282" s="96"/>
    </row>
    <row r="20283" hidden="1">
      <c r="E20283" s="96"/>
    </row>
    <row r="20284" hidden="1">
      <c r="E20284" s="96"/>
    </row>
    <row r="20285" hidden="1">
      <c r="E20285" s="96"/>
    </row>
    <row r="20286" hidden="1">
      <c r="E20286" s="96"/>
    </row>
    <row r="20287" hidden="1">
      <c r="E20287" s="96"/>
    </row>
    <row r="20288" hidden="1">
      <c r="E20288" s="96"/>
    </row>
    <row r="20289" hidden="1">
      <c r="E20289" s="96"/>
    </row>
    <row r="20290" hidden="1">
      <c r="E20290" s="96"/>
    </row>
    <row r="20291" hidden="1">
      <c r="E20291" s="96"/>
    </row>
    <row r="20292" hidden="1">
      <c r="E20292" s="96"/>
    </row>
    <row r="20293" hidden="1">
      <c r="E20293" s="96"/>
    </row>
    <row r="20294" hidden="1">
      <c r="E20294" s="96"/>
    </row>
    <row r="20295" hidden="1">
      <c r="E20295" s="96"/>
    </row>
    <row r="20296" hidden="1">
      <c r="E20296" s="96"/>
    </row>
    <row r="20297" hidden="1">
      <c r="E20297" s="96"/>
    </row>
    <row r="20298" hidden="1">
      <c r="E20298" s="96"/>
    </row>
    <row r="20299" hidden="1">
      <c r="E20299" s="96"/>
    </row>
    <row r="20300" hidden="1">
      <c r="E20300" s="96"/>
    </row>
    <row r="20301" hidden="1">
      <c r="E20301" s="96"/>
    </row>
    <row r="20302" hidden="1">
      <c r="E20302" s="96"/>
    </row>
    <row r="20303" hidden="1">
      <c r="E20303" s="96"/>
    </row>
    <row r="20304" hidden="1">
      <c r="E20304" s="96"/>
    </row>
    <row r="20305" hidden="1">
      <c r="E20305" s="96"/>
    </row>
    <row r="20306" hidden="1">
      <c r="E20306" s="96"/>
    </row>
    <row r="20307" hidden="1">
      <c r="E20307" s="96"/>
    </row>
    <row r="20308" hidden="1">
      <c r="E20308" s="96"/>
    </row>
    <row r="20309" hidden="1">
      <c r="E20309" s="96"/>
    </row>
    <row r="20310" hidden="1">
      <c r="E20310" s="96"/>
    </row>
    <row r="20311" hidden="1">
      <c r="E20311" s="96"/>
    </row>
    <row r="20312" hidden="1">
      <c r="E20312" s="96"/>
    </row>
    <row r="20313" hidden="1">
      <c r="E20313" s="96"/>
    </row>
    <row r="20314" hidden="1">
      <c r="E20314" s="96"/>
    </row>
    <row r="20315" hidden="1">
      <c r="E20315" s="96"/>
    </row>
    <row r="20316" hidden="1">
      <c r="E20316" s="96"/>
    </row>
    <row r="20317" hidden="1">
      <c r="E20317" s="96"/>
    </row>
    <row r="20318" hidden="1">
      <c r="E20318" s="96"/>
    </row>
    <row r="20319" hidden="1">
      <c r="E20319" s="96"/>
    </row>
    <row r="20320" hidden="1">
      <c r="E20320" s="96"/>
    </row>
    <row r="20321" hidden="1">
      <c r="E20321" s="96"/>
    </row>
    <row r="20322" hidden="1">
      <c r="E20322" s="96"/>
    </row>
    <row r="20323" hidden="1">
      <c r="E20323" s="96"/>
    </row>
    <row r="20324" hidden="1">
      <c r="E20324" s="96"/>
    </row>
    <row r="20325" hidden="1">
      <c r="E20325" s="96"/>
    </row>
    <row r="20326" hidden="1">
      <c r="E20326" s="96"/>
    </row>
    <row r="20327" hidden="1">
      <c r="E20327" s="96"/>
    </row>
    <row r="20328" hidden="1">
      <c r="E20328" s="96"/>
    </row>
    <row r="20329" hidden="1">
      <c r="E20329" s="96"/>
    </row>
    <row r="20330" hidden="1">
      <c r="E20330" s="96"/>
    </row>
    <row r="20331" hidden="1">
      <c r="E20331" s="96"/>
    </row>
    <row r="20332" hidden="1">
      <c r="E20332" s="96"/>
    </row>
    <row r="20333" hidden="1">
      <c r="E20333" s="96"/>
    </row>
    <row r="20334" hidden="1">
      <c r="E20334" s="96"/>
    </row>
    <row r="20335" hidden="1">
      <c r="E20335" s="96"/>
    </row>
    <row r="20336" hidden="1">
      <c r="E20336" s="96"/>
    </row>
    <row r="20337" hidden="1">
      <c r="E20337" s="96"/>
    </row>
    <row r="20338" hidden="1">
      <c r="E20338" s="96"/>
    </row>
    <row r="20339" hidden="1">
      <c r="E20339" s="96"/>
    </row>
    <row r="20340" hidden="1">
      <c r="E20340" s="96"/>
    </row>
    <row r="20341" hidden="1">
      <c r="E20341" s="96"/>
    </row>
    <row r="20342" hidden="1">
      <c r="E20342" s="96"/>
    </row>
    <row r="20343" hidden="1">
      <c r="E20343" s="96"/>
    </row>
    <row r="20344" hidden="1">
      <c r="E20344" s="96"/>
    </row>
    <row r="20345" hidden="1">
      <c r="E20345" s="96"/>
    </row>
    <row r="20346" hidden="1">
      <c r="E20346" s="96"/>
    </row>
    <row r="20347" hidden="1">
      <c r="E20347" s="96"/>
    </row>
    <row r="20348" hidden="1">
      <c r="E20348" s="96"/>
    </row>
    <row r="20349" hidden="1">
      <c r="E20349" s="96"/>
    </row>
    <row r="20350" hidden="1">
      <c r="E20350" s="96"/>
    </row>
    <row r="20351" hidden="1">
      <c r="E20351" s="96"/>
    </row>
    <row r="20352" hidden="1">
      <c r="E20352" s="96"/>
    </row>
    <row r="20353" hidden="1">
      <c r="E20353" s="96"/>
    </row>
    <row r="20354" hidden="1">
      <c r="E20354" s="96"/>
    </row>
    <row r="20355" hidden="1">
      <c r="E20355" s="96"/>
    </row>
    <row r="20356" hidden="1">
      <c r="E20356" s="96"/>
    </row>
    <row r="20357" hidden="1">
      <c r="E20357" s="96"/>
    </row>
    <row r="20358" hidden="1">
      <c r="E20358" s="96"/>
    </row>
    <row r="20359" hidden="1">
      <c r="E20359" s="96"/>
    </row>
    <row r="20360" hidden="1">
      <c r="E20360" s="96"/>
    </row>
    <row r="20361" hidden="1">
      <c r="E20361" s="96"/>
    </row>
    <row r="20362" hidden="1">
      <c r="E20362" s="96"/>
    </row>
    <row r="20363" hidden="1">
      <c r="E20363" s="96"/>
    </row>
    <row r="20364" hidden="1">
      <c r="E20364" s="96"/>
    </row>
    <row r="20365" hidden="1">
      <c r="E20365" s="96"/>
    </row>
    <row r="20366" hidden="1">
      <c r="E20366" s="96"/>
    </row>
    <row r="20367" hidden="1">
      <c r="E20367" s="96"/>
    </row>
    <row r="20368" hidden="1">
      <c r="E20368" s="96"/>
    </row>
    <row r="20369" hidden="1">
      <c r="E20369" s="96"/>
    </row>
    <row r="20370" hidden="1">
      <c r="E20370" s="96"/>
    </row>
    <row r="20371" hidden="1">
      <c r="E20371" s="96"/>
    </row>
    <row r="20372" hidden="1">
      <c r="E20372" s="96"/>
    </row>
    <row r="20373" hidden="1">
      <c r="E20373" s="96"/>
    </row>
    <row r="20374" hidden="1">
      <c r="E20374" s="96"/>
    </row>
    <row r="20375" hidden="1">
      <c r="E20375" s="96"/>
    </row>
    <row r="20376" hidden="1">
      <c r="E20376" s="96"/>
    </row>
    <row r="20377" hidden="1">
      <c r="E20377" s="96"/>
    </row>
    <row r="20378" hidden="1">
      <c r="E20378" s="96"/>
    </row>
    <row r="20379" hidden="1">
      <c r="E20379" s="96"/>
    </row>
    <row r="20380" hidden="1">
      <c r="E20380" s="96"/>
    </row>
    <row r="20381" hidden="1">
      <c r="E20381" s="96"/>
    </row>
    <row r="20382" hidden="1">
      <c r="E20382" s="96"/>
    </row>
    <row r="20383" hidden="1">
      <c r="E20383" s="96"/>
    </row>
    <row r="20384" hidden="1">
      <c r="E20384" s="96"/>
    </row>
    <row r="20385" hidden="1">
      <c r="E20385" s="96"/>
    </row>
    <row r="20386" hidden="1">
      <c r="E20386" s="96"/>
    </row>
    <row r="20387" hidden="1">
      <c r="E20387" s="96"/>
    </row>
    <row r="20388" hidden="1">
      <c r="E20388" s="96"/>
    </row>
    <row r="20389" hidden="1">
      <c r="E20389" s="96"/>
    </row>
    <row r="20390" hidden="1">
      <c r="E20390" s="96"/>
    </row>
    <row r="20391" hidden="1">
      <c r="E20391" s="96"/>
    </row>
    <row r="20392" hidden="1">
      <c r="E20392" s="96"/>
    </row>
    <row r="20393" hidden="1">
      <c r="E20393" s="96"/>
    </row>
    <row r="20394" hidden="1">
      <c r="E20394" s="96"/>
    </row>
    <row r="20395" hidden="1">
      <c r="E20395" s="96"/>
    </row>
    <row r="20396" hidden="1">
      <c r="E20396" s="96"/>
    </row>
    <row r="20397" hidden="1">
      <c r="E20397" s="96"/>
    </row>
    <row r="20398" hidden="1">
      <c r="E20398" s="96"/>
    </row>
    <row r="20399" hidden="1">
      <c r="E20399" s="96"/>
    </row>
    <row r="20400" hidden="1">
      <c r="E20400" s="96"/>
    </row>
    <row r="20401" hidden="1">
      <c r="E20401" s="96"/>
    </row>
    <row r="20402" hidden="1">
      <c r="E20402" s="96"/>
    </row>
    <row r="20403" hidden="1">
      <c r="E20403" s="96"/>
    </row>
    <row r="20404" hidden="1">
      <c r="E20404" s="96"/>
    </row>
    <row r="20405" hidden="1">
      <c r="E20405" s="96"/>
    </row>
    <row r="20406" hidden="1">
      <c r="E20406" s="96"/>
    </row>
    <row r="20407" hidden="1">
      <c r="E20407" s="96"/>
    </row>
    <row r="20408" hidden="1">
      <c r="E20408" s="96"/>
    </row>
    <row r="20409" hidden="1">
      <c r="E20409" s="96"/>
    </row>
    <row r="20410" hidden="1">
      <c r="E20410" s="96"/>
    </row>
    <row r="20411" hidden="1">
      <c r="E20411" s="96"/>
    </row>
    <row r="20412" hidden="1">
      <c r="E20412" s="96"/>
    </row>
    <row r="20413" hidden="1">
      <c r="E20413" s="96"/>
    </row>
    <row r="20414" hidden="1">
      <c r="E20414" s="96"/>
    </row>
    <row r="20415" hidden="1">
      <c r="E20415" s="96"/>
    </row>
    <row r="20416" hidden="1">
      <c r="E20416" s="96"/>
    </row>
    <row r="20417" hidden="1">
      <c r="E20417" s="96"/>
    </row>
    <row r="20418" hidden="1">
      <c r="E20418" s="96"/>
    </row>
    <row r="20419" hidden="1">
      <c r="E20419" s="96"/>
    </row>
    <row r="20420" hidden="1">
      <c r="E20420" s="96"/>
    </row>
    <row r="20421" hidden="1">
      <c r="E20421" s="96"/>
    </row>
    <row r="20422" hidden="1">
      <c r="E20422" s="96"/>
    </row>
    <row r="20423" hidden="1">
      <c r="E20423" s="96"/>
    </row>
    <row r="20424" hidden="1">
      <c r="E20424" s="96"/>
    </row>
    <row r="20425" hidden="1">
      <c r="E20425" s="96"/>
    </row>
    <row r="20426" hidden="1">
      <c r="E20426" s="96"/>
    </row>
    <row r="20427" hidden="1">
      <c r="E20427" s="96"/>
    </row>
    <row r="20428" hidden="1">
      <c r="E20428" s="96"/>
    </row>
    <row r="20429" hidden="1">
      <c r="E20429" s="96"/>
    </row>
    <row r="20430" hidden="1">
      <c r="E20430" s="96"/>
    </row>
    <row r="20431" hidden="1">
      <c r="E20431" s="96"/>
    </row>
    <row r="20432" hidden="1">
      <c r="E20432" s="96"/>
    </row>
    <row r="20433" hidden="1">
      <c r="E20433" s="96"/>
    </row>
    <row r="20434" hidden="1">
      <c r="E20434" s="96"/>
    </row>
    <row r="20435" hidden="1">
      <c r="E20435" s="96"/>
    </row>
    <row r="20436" hidden="1">
      <c r="E20436" s="96"/>
    </row>
    <row r="20437" hidden="1">
      <c r="E20437" s="96"/>
    </row>
    <row r="20438" hidden="1">
      <c r="E20438" s="96"/>
    </row>
    <row r="20439" hidden="1">
      <c r="E20439" s="96"/>
    </row>
    <row r="20440" hidden="1">
      <c r="E20440" s="96"/>
    </row>
    <row r="20441" hidden="1">
      <c r="E20441" s="96"/>
    </row>
    <row r="20442" hidden="1">
      <c r="E20442" s="96"/>
    </row>
    <row r="20443" hidden="1">
      <c r="E20443" s="96"/>
    </row>
    <row r="20444" hidden="1">
      <c r="E20444" s="96"/>
    </row>
    <row r="20445" hidden="1">
      <c r="E20445" s="96"/>
    </row>
    <row r="20446" hidden="1">
      <c r="E20446" s="96"/>
    </row>
    <row r="20447" hidden="1">
      <c r="E20447" s="96"/>
    </row>
    <row r="20448" hidden="1">
      <c r="E20448" s="96"/>
    </row>
    <row r="20449" hidden="1">
      <c r="E20449" s="96"/>
    </row>
    <row r="20450" hidden="1">
      <c r="E20450" s="96"/>
    </row>
    <row r="20451" hidden="1">
      <c r="E20451" s="96"/>
    </row>
    <row r="20452" hidden="1">
      <c r="E20452" s="96"/>
    </row>
    <row r="20453" hidden="1">
      <c r="E20453" s="96"/>
    </row>
    <row r="20454" hidden="1">
      <c r="E20454" s="96"/>
    </row>
    <row r="20455" hidden="1">
      <c r="E20455" s="96"/>
    </row>
    <row r="20456" hidden="1">
      <c r="E20456" s="96"/>
    </row>
    <row r="20457" hidden="1">
      <c r="E20457" s="96"/>
    </row>
    <row r="20458" hidden="1">
      <c r="E20458" s="96"/>
    </row>
    <row r="20459" hidden="1">
      <c r="E20459" s="96"/>
    </row>
    <row r="20460" hidden="1">
      <c r="E20460" s="96"/>
    </row>
    <row r="20461" hidden="1">
      <c r="E20461" s="96"/>
    </row>
    <row r="20462" hidden="1">
      <c r="E20462" s="96"/>
    </row>
    <row r="20463" hidden="1">
      <c r="E20463" s="96"/>
    </row>
    <row r="20464" hidden="1">
      <c r="E20464" s="96"/>
    </row>
    <row r="20465" hidden="1">
      <c r="E20465" s="96"/>
    </row>
    <row r="20466" hidden="1">
      <c r="E20466" s="96"/>
    </row>
    <row r="20467" hidden="1">
      <c r="E20467" s="96"/>
    </row>
    <row r="20468" hidden="1">
      <c r="E20468" s="96"/>
    </row>
    <row r="20469" hidden="1">
      <c r="E20469" s="96"/>
    </row>
    <row r="20470" hidden="1">
      <c r="E20470" s="96"/>
    </row>
    <row r="20471" hidden="1">
      <c r="E20471" s="96"/>
    </row>
    <row r="20472" hidden="1">
      <c r="E20472" s="96"/>
    </row>
    <row r="20473" hidden="1">
      <c r="E20473" s="96"/>
    </row>
    <row r="20474" hidden="1">
      <c r="E20474" s="96"/>
    </row>
    <row r="20475" hidden="1">
      <c r="E20475" s="96"/>
    </row>
    <row r="20476" hidden="1">
      <c r="E20476" s="96"/>
    </row>
    <row r="20477" hidden="1">
      <c r="E20477" s="96"/>
    </row>
    <row r="20478" hidden="1">
      <c r="E20478" s="96"/>
    </row>
    <row r="20479" hidden="1">
      <c r="E20479" s="96"/>
    </row>
    <row r="20480" hidden="1">
      <c r="E20480" s="96"/>
    </row>
    <row r="20481" hidden="1">
      <c r="E20481" s="96"/>
    </row>
    <row r="20482" hidden="1">
      <c r="E20482" s="96"/>
    </row>
    <row r="20483" hidden="1">
      <c r="E20483" s="96"/>
    </row>
    <row r="20484" hidden="1">
      <c r="E20484" s="96"/>
    </row>
    <row r="20485" hidden="1">
      <c r="E20485" s="96"/>
    </row>
    <row r="20486" hidden="1">
      <c r="E20486" s="96"/>
    </row>
    <row r="20487" hidden="1">
      <c r="E20487" s="96"/>
    </row>
    <row r="20488" hidden="1">
      <c r="E20488" s="96"/>
    </row>
    <row r="20489" hidden="1">
      <c r="E20489" s="96"/>
    </row>
    <row r="20490" hidden="1">
      <c r="E20490" s="96"/>
    </row>
    <row r="20491" hidden="1">
      <c r="E20491" s="96"/>
    </row>
    <row r="20492" hidden="1">
      <c r="E20492" s="96"/>
    </row>
    <row r="20493" hidden="1">
      <c r="E20493" s="96"/>
    </row>
    <row r="20494" hidden="1">
      <c r="E20494" s="96"/>
    </row>
    <row r="20495" hidden="1">
      <c r="E20495" s="96"/>
    </row>
    <row r="20496" hidden="1">
      <c r="E20496" s="96"/>
    </row>
    <row r="20497" hidden="1">
      <c r="E20497" s="96"/>
    </row>
    <row r="20498" hidden="1">
      <c r="E20498" s="96"/>
    </row>
    <row r="20499" hidden="1">
      <c r="E20499" s="96"/>
    </row>
    <row r="20500" hidden="1">
      <c r="E20500" s="96"/>
    </row>
    <row r="20501" hidden="1">
      <c r="E20501" s="96"/>
    </row>
    <row r="20502" hidden="1">
      <c r="E20502" s="96"/>
    </row>
    <row r="20503" hidden="1">
      <c r="E20503" s="96"/>
    </row>
    <row r="20504" hidden="1">
      <c r="E20504" s="96"/>
    </row>
    <row r="20505" hidden="1">
      <c r="E20505" s="96"/>
    </row>
    <row r="20506" hidden="1">
      <c r="E20506" s="96"/>
    </row>
    <row r="20507" hidden="1">
      <c r="E20507" s="96"/>
    </row>
    <row r="20508" hidden="1">
      <c r="E20508" s="96"/>
    </row>
    <row r="20509" hidden="1">
      <c r="E20509" s="96"/>
    </row>
    <row r="20510" hidden="1">
      <c r="E20510" s="96"/>
    </row>
    <row r="20511" hidden="1">
      <c r="E20511" s="96"/>
    </row>
    <row r="20512" hidden="1">
      <c r="E20512" s="96"/>
    </row>
    <row r="20513" hidden="1">
      <c r="E20513" s="96"/>
    </row>
    <row r="20514" hidden="1">
      <c r="E20514" s="96"/>
    </row>
    <row r="20515" hidden="1">
      <c r="E20515" s="96"/>
    </row>
    <row r="20516" hidden="1">
      <c r="E20516" s="96"/>
    </row>
    <row r="20517" hidden="1">
      <c r="E20517" s="96"/>
    </row>
    <row r="20518" hidden="1">
      <c r="E20518" s="96"/>
    </row>
    <row r="20519" hidden="1">
      <c r="E20519" s="96"/>
    </row>
    <row r="20520" hidden="1">
      <c r="E20520" s="96"/>
    </row>
    <row r="20521" hidden="1">
      <c r="E20521" s="96"/>
    </row>
    <row r="20522" hidden="1">
      <c r="E20522" s="96"/>
    </row>
    <row r="20523" hidden="1">
      <c r="E20523" s="96"/>
    </row>
    <row r="20524" hidden="1">
      <c r="E20524" s="96"/>
    </row>
    <row r="20525" hidden="1">
      <c r="E20525" s="96"/>
    </row>
    <row r="20526" hidden="1">
      <c r="E20526" s="96"/>
    </row>
    <row r="20527" hidden="1">
      <c r="E20527" s="96"/>
    </row>
    <row r="20528" hidden="1">
      <c r="E20528" s="96"/>
    </row>
    <row r="20529" hidden="1">
      <c r="E20529" s="96"/>
    </row>
    <row r="20530" hidden="1">
      <c r="E20530" s="96"/>
    </row>
    <row r="20531" hidden="1">
      <c r="E20531" s="96"/>
    </row>
    <row r="20532" hidden="1">
      <c r="E20532" s="96"/>
    </row>
    <row r="20533" hidden="1">
      <c r="E20533" s="96"/>
    </row>
    <row r="20534" hidden="1">
      <c r="E20534" s="96"/>
    </row>
    <row r="20535" hidden="1">
      <c r="E20535" s="96"/>
    </row>
    <row r="20536" hidden="1">
      <c r="E20536" s="96"/>
    </row>
    <row r="20537" hidden="1">
      <c r="E20537" s="96"/>
    </row>
    <row r="20538" hidden="1">
      <c r="E20538" s="96"/>
    </row>
    <row r="20539" hidden="1">
      <c r="E20539" s="96"/>
    </row>
    <row r="20540" hidden="1">
      <c r="E20540" s="96"/>
    </row>
    <row r="20541" hidden="1">
      <c r="E20541" s="96"/>
    </row>
    <row r="20542" hidden="1">
      <c r="E20542" s="96"/>
    </row>
    <row r="20543" hidden="1">
      <c r="E20543" s="96"/>
    </row>
    <row r="20544" hidden="1">
      <c r="E20544" s="96"/>
    </row>
    <row r="20545" hidden="1">
      <c r="E20545" s="96"/>
    </row>
    <row r="20546" hidden="1">
      <c r="E20546" s="96"/>
    </row>
    <row r="20547" hidden="1">
      <c r="E20547" s="96"/>
    </row>
    <row r="20548" hidden="1">
      <c r="E20548" s="96"/>
    </row>
    <row r="20549" hidden="1">
      <c r="E20549" s="96"/>
    </row>
    <row r="20550" hidden="1">
      <c r="E20550" s="96"/>
    </row>
    <row r="20551" hidden="1">
      <c r="E20551" s="96"/>
    </row>
    <row r="20552" hidden="1">
      <c r="E20552" s="96"/>
    </row>
    <row r="20553" hidden="1">
      <c r="E20553" s="96"/>
    </row>
    <row r="20554" hidden="1">
      <c r="E20554" s="96"/>
    </row>
    <row r="20555" hidden="1">
      <c r="E20555" s="96"/>
    </row>
    <row r="20556" hidden="1">
      <c r="E20556" s="96"/>
    </row>
    <row r="20557" hidden="1">
      <c r="E20557" s="96"/>
    </row>
    <row r="20558" hidden="1">
      <c r="E20558" s="96"/>
    </row>
    <row r="20559" hidden="1">
      <c r="E20559" s="96"/>
    </row>
    <row r="20560" hidden="1">
      <c r="E20560" s="96"/>
    </row>
    <row r="20561" hidden="1">
      <c r="E20561" s="96"/>
    </row>
    <row r="20562" hidden="1">
      <c r="E20562" s="96"/>
    </row>
    <row r="20563" hidden="1">
      <c r="E20563" s="96"/>
    </row>
    <row r="20564" hidden="1">
      <c r="E20564" s="96"/>
    </row>
    <row r="20565" hidden="1">
      <c r="E20565" s="96"/>
    </row>
    <row r="20566" hidden="1">
      <c r="E20566" s="96"/>
    </row>
    <row r="20567" hidden="1">
      <c r="E20567" s="96"/>
    </row>
    <row r="20568" hidden="1">
      <c r="E20568" s="96"/>
    </row>
    <row r="20569" hidden="1">
      <c r="E20569" s="96"/>
    </row>
    <row r="20570" hidden="1">
      <c r="E20570" s="96"/>
    </row>
    <row r="20571" hidden="1">
      <c r="E20571" s="96"/>
    </row>
    <row r="20572" hidden="1">
      <c r="E20572" s="96"/>
    </row>
    <row r="20573" hidden="1">
      <c r="E20573" s="96"/>
    </row>
    <row r="20574" hidden="1">
      <c r="E20574" s="96"/>
    </row>
    <row r="20575" hidden="1">
      <c r="E20575" s="96"/>
    </row>
    <row r="20576" hidden="1">
      <c r="E20576" s="96"/>
    </row>
    <row r="20577" hidden="1">
      <c r="E20577" s="96"/>
    </row>
    <row r="20578" hidden="1">
      <c r="E20578" s="96"/>
    </row>
    <row r="20579" hidden="1">
      <c r="E20579" s="96"/>
    </row>
    <row r="20580" hidden="1">
      <c r="E20580" s="96"/>
    </row>
    <row r="20581" hidden="1">
      <c r="E20581" s="96"/>
    </row>
    <row r="20582" hidden="1">
      <c r="E20582" s="96"/>
    </row>
    <row r="20583" hidden="1">
      <c r="E20583" s="96"/>
    </row>
    <row r="20584" hidden="1">
      <c r="E20584" s="96"/>
    </row>
    <row r="20585" hidden="1">
      <c r="E20585" s="96"/>
    </row>
    <row r="20586" hidden="1">
      <c r="E20586" s="96"/>
    </row>
    <row r="20587" hidden="1">
      <c r="E20587" s="96"/>
    </row>
    <row r="20588" hidden="1">
      <c r="E20588" s="96"/>
    </row>
    <row r="20589" hidden="1">
      <c r="E20589" s="96"/>
    </row>
    <row r="20590" hidden="1">
      <c r="E20590" s="96"/>
    </row>
    <row r="20591" hidden="1">
      <c r="E20591" s="96"/>
    </row>
    <row r="20592" hidden="1">
      <c r="E20592" s="96"/>
    </row>
    <row r="20593" hidden="1">
      <c r="E20593" s="96"/>
    </row>
    <row r="20594" hidden="1">
      <c r="E20594" s="96"/>
    </row>
    <row r="20595" hidden="1">
      <c r="E20595" s="96"/>
    </row>
    <row r="20596" hidden="1">
      <c r="E20596" s="96"/>
    </row>
    <row r="20597" hidden="1">
      <c r="E20597" s="96"/>
    </row>
    <row r="20598" hidden="1">
      <c r="E20598" s="96"/>
    </row>
    <row r="20599" hidden="1">
      <c r="E20599" s="96"/>
    </row>
    <row r="20600" hidden="1">
      <c r="E20600" s="96"/>
    </row>
    <row r="20601" hidden="1">
      <c r="E20601" s="96"/>
    </row>
    <row r="20602" hidden="1">
      <c r="E20602" s="96"/>
    </row>
    <row r="20603" hidden="1">
      <c r="E20603" s="96"/>
    </row>
    <row r="20604" hidden="1">
      <c r="E20604" s="96"/>
    </row>
    <row r="20605" hidden="1">
      <c r="E20605" s="96"/>
    </row>
    <row r="20606" hidden="1">
      <c r="E20606" s="96"/>
    </row>
    <row r="20607" hidden="1">
      <c r="E20607" s="96"/>
    </row>
    <row r="20608" hidden="1">
      <c r="E20608" s="96"/>
    </row>
    <row r="20609" hidden="1">
      <c r="E20609" s="96"/>
    </row>
    <row r="20610" hidden="1">
      <c r="E20610" s="96"/>
    </row>
    <row r="20611" hidden="1">
      <c r="E20611" s="96"/>
    </row>
    <row r="20612" hidden="1">
      <c r="E20612" s="96"/>
    </row>
    <row r="20613" hidden="1">
      <c r="E20613" s="96"/>
    </row>
    <row r="20614" hidden="1">
      <c r="E20614" s="96"/>
    </row>
    <row r="20615" hidden="1">
      <c r="E20615" s="96"/>
    </row>
    <row r="20616" hidden="1">
      <c r="E20616" s="96"/>
    </row>
    <row r="20617" hidden="1">
      <c r="E20617" s="96"/>
    </row>
    <row r="20618" hidden="1">
      <c r="E20618" s="96"/>
    </row>
    <row r="20619" hidden="1">
      <c r="E20619" s="96"/>
    </row>
    <row r="20620" hidden="1">
      <c r="E20620" s="96"/>
    </row>
    <row r="20621" hidden="1">
      <c r="E20621" s="96"/>
    </row>
    <row r="20622" hidden="1">
      <c r="E20622" s="96"/>
    </row>
    <row r="20623" hidden="1">
      <c r="E20623" s="96"/>
    </row>
    <row r="20624" hidden="1">
      <c r="E20624" s="96"/>
    </row>
    <row r="20625" hidden="1">
      <c r="E20625" s="96"/>
    </row>
    <row r="20626" hidden="1">
      <c r="E20626" s="96"/>
    </row>
    <row r="20627" hidden="1">
      <c r="E20627" s="96"/>
    </row>
    <row r="20628" hidden="1">
      <c r="E20628" s="96"/>
    </row>
    <row r="20629" hidden="1">
      <c r="E20629" s="96"/>
    </row>
    <row r="20630" hidden="1">
      <c r="E20630" s="96"/>
    </row>
    <row r="20631" hidden="1">
      <c r="E20631" s="96"/>
    </row>
    <row r="20632" hidden="1">
      <c r="E20632" s="96"/>
    </row>
    <row r="20633" hidden="1">
      <c r="E20633" s="96"/>
    </row>
    <row r="20634" hidden="1">
      <c r="E20634" s="96"/>
    </row>
    <row r="20635" hidden="1">
      <c r="E20635" s="96"/>
    </row>
    <row r="20636" hidden="1">
      <c r="E20636" s="96"/>
    </row>
    <row r="20637" hidden="1">
      <c r="E20637" s="96"/>
    </row>
    <row r="20638" hidden="1">
      <c r="E20638" s="96"/>
    </row>
    <row r="20639" hidden="1">
      <c r="E20639" s="96"/>
    </row>
    <row r="20640" hidden="1">
      <c r="E20640" s="96"/>
    </row>
    <row r="20641" hidden="1">
      <c r="E20641" s="96"/>
    </row>
    <row r="20642" hidden="1">
      <c r="E20642" s="96"/>
    </row>
    <row r="20643" hidden="1">
      <c r="E20643" s="96"/>
    </row>
    <row r="20644" hidden="1">
      <c r="E20644" s="96"/>
    </row>
    <row r="20645" hidden="1">
      <c r="E20645" s="96"/>
    </row>
    <row r="20646" hidden="1">
      <c r="E20646" s="96"/>
    </row>
    <row r="20647" hidden="1">
      <c r="E20647" s="96"/>
    </row>
    <row r="20648" hidden="1">
      <c r="E20648" s="96"/>
    </row>
    <row r="20649" hidden="1">
      <c r="E20649" s="96"/>
    </row>
    <row r="20650" hidden="1">
      <c r="E20650" s="96"/>
    </row>
    <row r="20651" hidden="1">
      <c r="E20651" s="96"/>
    </row>
    <row r="20652" hidden="1">
      <c r="E20652" s="96"/>
    </row>
    <row r="20653" hidden="1">
      <c r="E20653" s="96"/>
    </row>
    <row r="20654" hidden="1">
      <c r="E20654" s="96"/>
    </row>
    <row r="20655" hidden="1">
      <c r="E20655" s="96"/>
    </row>
    <row r="20656" hidden="1">
      <c r="E20656" s="96"/>
    </row>
    <row r="20657" hidden="1">
      <c r="E20657" s="96"/>
    </row>
    <row r="20658" hidden="1">
      <c r="E20658" s="96"/>
    </row>
    <row r="20659" hidden="1">
      <c r="E20659" s="96"/>
    </row>
    <row r="20660" hidden="1">
      <c r="E20660" s="96"/>
    </row>
    <row r="20661" hidden="1">
      <c r="E20661" s="96"/>
    </row>
    <row r="20662" hidden="1">
      <c r="E20662" s="96"/>
    </row>
    <row r="20663" hidden="1">
      <c r="E20663" s="96"/>
    </row>
    <row r="20664" hidden="1">
      <c r="E20664" s="96"/>
    </row>
    <row r="20665" hidden="1">
      <c r="E20665" s="96"/>
    </row>
    <row r="20666" hidden="1">
      <c r="E20666" s="96"/>
    </row>
    <row r="20667" hidden="1">
      <c r="E20667" s="96"/>
    </row>
    <row r="20668" hidden="1">
      <c r="E20668" s="96"/>
    </row>
    <row r="20669" hidden="1">
      <c r="E20669" s="96"/>
    </row>
    <row r="20670" hidden="1">
      <c r="E20670" s="96"/>
    </row>
    <row r="20671" hidden="1">
      <c r="E20671" s="96"/>
    </row>
    <row r="20672" hidden="1">
      <c r="E20672" s="96"/>
    </row>
    <row r="20673" hidden="1">
      <c r="E20673" s="96"/>
    </row>
    <row r="20674" hidden="1">
      <c r="E20674" s="96"/>
    </row>
    <row r="20675" hidden="1">
      <c r="E20675" s="96"/>
    </row>
    <row r="20676" hidden="1">
      <c r="E20676" s="96"/>
    </row>
    <row r="20677" hidden="1">
      <c r="E20677" s="96"/>
    </row>
    <row r="20678" hidden="1">
      <c r="E20678" s="96"/>
    </row>
    <row r="20679" hidden="1">
      <c r="E20679" s="96"/>
    </row>
    <row r="20680" hidden="1">
      <c r="E20680" s="96"/>
    </row>
    <row r="20681" hidden="1">
      <c r="E20681" s="96"/>
    </row>
    <row r="20682" hidden="1">
      <c r="E20682" s="96"/>
    </row>
    <row r="20683" hidden="1">
      <c r="E20683" s="96"/>
    </row>
    <row r="20684" hidden="1">
      <c r="E20684" s="96"/>
    </row>
    <row r="20685" hidden="1">
      <c r="E20685" s="96"/>
    </row>
    <row r="20686" hidden="1">
      <c r="E20686" s="96"/>
    </row>
    <row r="20687" hidden="1">
      <c r="E20687" s="96"/>
    </row>
    <row r="20688" hidden="1">
      <c r="E20688" s="96"/>
    </row>
    <row r="20689" hidden="1">
      <c r="E20689" s="96"/>
    </row>
    <row r="20690" hidden="1">
      <c r="E20690" s="96"/>
    </row>
    <row r="20691" hidden="1">
      <c r="E20691" s="96"/>
    </row>
    <row r="20692" hidden="1">
      <c r="E20692" s="96"/>
    </row>
    <row r="20693" hidden="1">
      <c r="E20693" s="96"/>
    </row>
    <row r="20694" hidden="1">
      <c r="E20694" s="96"/>
    </row>
    <row r="20695" hidden="1">
      <c r="E20695" s="96"/>
    </row>
    <row r="20696" hidden="1">
      <c r="E20696" s="96"/>
    </row>
    <row r="20697" hidden="1">
      <c r="E20697" s="96"/>
    </row>
    <row r="20698" hidden="1">
      <c r="E20698" s="96"/>
    </row>
    <row r="20699" hidden="1">
      <c r="E20699" s="96"/>
    </row>
    <row r="20700" hidden="1">
      <c r="E20700" s="96"/>
    </row>
    <row r="20701" hidden="1">
      <c r="E20701" s="96"/>
    </row>
    <row r="20702" hidden="1">
      <c r="E20702" s="96"/>
    </row>
    <row r="20703" hidden="1">
      <c r="E20703" s="96"/>
    </row>
    <row r="20704" hidden="1">
      <c r="E20704" s="96"/>
    </row>
    <row r="20705" hidden="1">
      <c r="E20705" s="96"/>
    </row>
    <row r="20706" hidden="1">
      <c r="E20706" s="96"/>
    </row>
    <row r="20707" hidden="1">
      <c r="E20707" s="96"/>
    </row>
    <row r="20708" hidden="1">
      <c r="E20708" s="96"/>
    </row>
    <row r="20709" hidden="1">
      <c r="E20709" s="96"/>
    </row>
    <row r="20710" hidden="1">
      <c r="E20710" s="96"/>
    </row>
    <row r="20711" hidden="1">
      <c r="E20711" s="96"/>
    </row>
    <row r="20712" hidden="1">
      <c r="E20712" s="96"/>
    </row>
    <row r="20713" hidden="1">
      <c r="E20713" s="96"/>
    </row>
    <row r="20714" hidden="1">
      <c r="E20714" s="96"/>
    </row>
    <row r="20715" hidden="1">
      <c r="E20715" s="96"/>
    </row>
    <row r="20716" hidden="1">
      <c r="E20716" s="96"/>
    </row>
    <row r="20717" hidden="1">
      <c r="E20717" s="96"/>
    </row>
    <row r="20718" hidden="1">
      <c r="E20718" s="96"/>
    </row>
    <row r="20719" hidden="1">
      <c r="E20719" s="96"/>
    </row>
    <row r="20720" hidden="1">
      <c r="E20720" s="96"/>
    </row>
    <row r="20721" hidden="1">
      <c r="E20721" s="96"/>
    </row>
    <row r="20722" hidden="1">
      <c r="E20722" s="96"/>
    </row>
    <row r="20723" hidden="1">
      <c r="E20723" s="96"/>
    </row>
    <row r="20724" hidden="1">
      <c r="E20724" s="96"/>
    </row>
    <row r="20725" hidden="1">
      <c r="E20725" s="96"/>
    </row>
    <row r="20726" hidden="1">
      <c r="E20726" s="96"/>
    </row>
    <row r="20727" hidden="1">
      <c r="E20727" s="96"/>
    </row>
    <row r="20728" hidden="1">
      <c r="E20728" s="96"/>
    </row>
    <row r="20729" hidden="1">
      <c r="E20729" s="96"/>
    </row>
    <row r="20730" hidden="1">
      <c r="E20730" s="96"/>
    </row>
    <row r="20731" hidden="1">
      <c r="E20731" s="96"/>
    </row>
    <row r="20732" hidden="1">
      <c r="E20732" s="96"/>
    </row>
    <row r="20733" hidden="1">
      <c r="E20733" s="96"/>
    </row>
    <row r="20734" hidden="1">
      <c r="E20734" s="96"/>
    </row>
    <row r="20735" hidden="1">
      <c r="E20735" s="96"/>
    </row>
    <row r="20736" hidden="1">
      <c r="E20736" s="96"/>
    </row>
    <row r="20737" hidden="1">
      <c r="E20737" s="96"/>
    </row>
    <row r="20738" hidden="1">
      <c r="E20738" s="96"/>
    </row>
    <row r="20739" hidden="1">
      <c r="E20739" s="96"/>
    </row>
    <row r="20740" hidden="1">
      <c r="E20740" s="96"/>
    </row>
    <row r="20741" hidden="1">
      <c r="E20741" s="96"/>
    </row>
    <row r="20742" hidden="1">
      <c r="E20742" s="96"/>
    </row>
    <row r="20743" hidden="1">
      <c r="E20743" s="96"/>
    </row>
    <row r="20744" hidden="1">
      <c r="E20744" s="96"/>
    </row>
    <row r="20745" hidden="1">
      <c r="E20745" s="96"/>
    </row>
    <row r="20746" hidden="1">
      <c r="E20746" s="96"/>
    </row>
    <row r="20747" hidden="1">
      <c r="E20747" s="96"/>
    </row>
    <row r="20748" hidden="1">
      <c r="E20748" s="96"/>
    </row>
    <row r="20749" hidden="1">
      <c r="E20749" s="96"/>
    </row>
    <row r="20750" hidden="1">
      <c r="E20750" s="96"/>
    </row>
    <row r="20751" hidden="1">
      <c r="E20751" s="96"/>
    </row>
    <row r="20752" hidden="1">
      <c r="E20752" s="96"/>
    </row>
    <row r="20753" hidden="1">
      <c r="E20753" s="96"/>
    </row>
    <row r="20754" hidden="1">
      <c r="E20754" s="96"/>
    </row>
    <row r="20755" hidden="1">
      <c r="E20755" s="96"/>
    </row>
    <row r="20756" hidden="1">
      <c r="E20756" s="96"/>
    </row>
    <row r="20757" hidden="1">
      <c r="E20757" s="96"/>
    </row>
    <row r="20758" hidden="1">
      <c r="E20758" s="96"/>
    </row>
    <row r="20759" hidden="1">
      <c r="E20759" s="96"/>
    </row>
    <row r="20760" hidden="1">
      <c r="E20760" s="96"/>
    </row>
    <row r="20761" hidden="1">
      <c r="E20761" s="96"/>
    </row>
    <row r="20762" hidden="1">
      <c r="E20762" s="96"/>
    </row>
    <row r="20763" hidden="1">
      <c r="E20763" s="96"/>
    </row>
    <row r="20764" hidden="1">
      <c r="E20764" s="96"/>
    </row>
    <row r="20765" hidden="1">
      <c r="E20765" s="96"/>
    </row>
    <row r="20766" hidden="1">
      <c r="E20766" s="96"/>
    </row>
    <row r="20767" hidden="1">
      <c r="E20767" s="96"/>
    </row>
    <row r="20768" hidden="1">
      <c r="E20768" s="96"/>
    </row>
    <row r="20769" hidden="1">
      <c r="E20769" s="96"/>
    </row>
    <row r="20770" hidden="1">
      <c r="E20770" s="96"/>
    </row>
    <row r="20771" hidden="1">
      <c r="E20771" s="96"/>
    </row>
    <row r="20772" hidden="1">
      <c r="E20772" s="96"/>
    </row>
    <row r="20773" hidden="1">
      <c r="E20773" s="96"/>
    </row>
    <row r="20774" hidden="1">
      <c r="E20774" s="96"/>
    </row>
    <row r="20775" hidden="1">
      <c r="E20775" s="96"/>
    </row>
    <row r="20776" hidden="1">
      <c r="E20776" s="96"/>
    </row>
    <row r="20777" hidden="1">
      <c r="E20777" s="96"/>
    </row>
    <row r="20778" hidden="1">
      <c r="E20778" s="96"/>
    </row>
    <row r="20779" hidden="1">
      <c r="E20779" s="96"/>
    </row>
    <row r="20780" hidden="1">
      <c r="E20780" s="96"/>
    </row>
    <row r="20781" hidden="1">
      <c r="E20781" s="96"/>
    </row>
    <row r="20782" hidden="1">
      <c r="E20782" s="96"/>
    </row>
    <row r="20783" hidden="1">
      <c r="E20783" s="96"/>
    </row>
    <row r="20784" hidden="1">
      <c r="E20784" s="96"/>
    </row>
    <row r="20785" hidden="1">
      <c r="E20785" s="96"/>
    </row>
    <row r="20786" hidden="1">
      <c r="E20786" s="96"/>
    </row>
    <row r="20787" hidden="1">
      <c r="E20787" s="96"/>
    </row>
    <row r="20788" hidden="1">
      <c r="E20788" s="96"/>
    </row>
    <row r="20789" hidden="1">
      <c r="E20789" s="96"/>
    </row>
    <row r="20790" hidden="1">
      <c r="E20790" s="96"/>
    </row>
    <row r="20791" hidden="1">
      <c r="E20791" s="96"/>
    </row>
    <row r="20792" hidden="1">
      <c r="E20792" s="96"/>
    </row>
    <row r="20793" hidden="1">
      <c r="E20793" s="96"/>
    </row>
    <row r="20794" hidden="1">
      <c r="E20794" s="96"/>
    </row>
    <row r="20795" hidden="1">
      <c r="E20795" s="96"/>
    </row>
    <row r="20796" hidden="1">
      <c r="E20796" s="96"/>
    </row>
    <row r="20797" hidden="1">
      <c r="E20797" s="96"/>
    </row>
    <row r="20798" hidden="1">
      <c r="E20798" s="96"/>
    </row>
    <row r="20799" hidden="1">
      <c r="E20799" s="96"/>
    </row>
    <row r="20800" hidden="1">
      <c r="E20800" s="96"/>
    </row>
    <row r="20801" hidden="1">
      <c r="E20801" s="96"/>
    </row>
    <row r="20802" hidden="1">
      <c r="E20802" s="96"/>
    </row>
    <row r="20803" hidden="1">
      <c r="E20803" s="96"/>
    </row>
    <row r="20804" hidden="1">
      <c r="E20804" s="96"/>
    </row>
    <row r="20805" hidden="1">
      <c r="E20805" s="96"/>
    </row>
    <row r="20806" hidden="1">
      <c r="E20806" s="96"/>
    </row>
    <row r="20807" hidden="1">
      <c r="E20807" s="96"/>
    </row>
    <row r="20808" hidden="1">
      <c r="E20808" s="96"/>
    </row>
    <row r="20809" hidden="1">
      <c r="E20809" s="96"/>
    </row>
    <row r="20810" hidden="1">
      <c r="E20810" s="96"/>
    </row>
    <row r="20811" hidden="1">
      <c r="E20811" s="96"/>
    </row>
    <row r="20812" hidden="1">
      <c r="E20812" s="96"/>
    </row>
    <row r="20813" hidden="1">
      <c r="E20813" s="96"/>
    </row>
    <row r="20814" hidden="1">
      <c r="E20814" s="96"/>
    </row>
    <row r="20815" hidden="1">
      <c r="E20815" s="96"/>
    </row>
    <row r="20816" hidden="1">
      <c r="E20816" s="96"/>
    </row>
    <row r="20817" hidden="1">
      <c r="E20817" s="96"/>
    </row>
    <row r="20818" hidden="1">
      <c r="E20818" s="96"/>
    </row>
    <row r="20819" hidden="1">
      <c r="E20819" s="96"/>
    </row>
    <row r="20820" hidden="1">
      <c r="E20820" s="96"/>
    </row>
    <row r="20821" hidden="1">
      <c r="E20821" s="96"/>
    </row>
    <row r="20822" hidden="1">
      <c r="E20822" s="96"/>
    </row>
    <row r="20823" hidden="1">
      <c r="E20823" s="96"/>
    </row>
    <row r="20824" hidden="1">
      <c r="E20824" s="96"/>
    </row>
    <row r="20825" hidden="1">
      <c r="E20825" s="96"/>
    </row>
    <row r="20826" hidden="1">
      <c r="E20826" s="96"/>
    </row>
    <row r="20827" hidden="1">
      <c r="E20827" s="96"/>
    </row>
    <row r="20828" hidden="1">
      <c r="E20828" s="96"/>
    </row>
    <row r="20829" hidden="1">
      <c r="E20829" s="96"/>
    </row>
    <row r="20830" hidden="1">
      <c r="E20830" s="96"/>
    </row>
    <row r="20831" hidden="1">
      <c r="E20831" s="96"/>
    </row>
    <row r="20832" hidden="1">
      <c r="E20832" s="96"/>
    </row>
    <row r="20833" hidden="1">
      <c r="E20833" s="96"/>
    </row>
    <row r="20834" hidden="1">
      <c r="E20834" s="96"/>
    </row>
    <row r="20835" hidden="1">
      <c r="E20835" s="96"/>
    </row>
    <row r="20836" hidden="1">
      <c r="E20836" s="96"/>
    </row>
    <row r="20837" hidden="1">
      <c r="E20837" s="96"/>
    </row>
    <row r="20838" hidden="1">
      <c r="E20838" s="96"/>
    </row>
    <row r="20839" hidden="1">
      <c r="E20839" s="96"/>
    </row>
    <row r="20840" hidden="1">
      <c r="E20840" s="96"/>
    </row>
    <row r="20841" hidden="1">
      <c r="E20841" s="96"/>
    </row>
    <row r="20842" hidden="1">
      <c r="E20842" s="96"/>
    </row>
    <row r="20843" hidden="1">
      <c r="E20843" s="96"/>
    </row>
    <row r="20844" hidden="1">
      <c r="E20844" s="96"/>
    </row>
    <row r="20845" hidden="1">
      <c r="E20845" s="96"/>
    </row>
    <row r="20846" hidden="1">
      <c r="E20846" s="96"/>
    </row>
    <row r="20847" hidden="1">
      <c r="E20847" s="96"/>
    </row>
    <row r="20848" hidden="1">
      <c r="E20848" s="96"/>
    </row>
    <row r="20849" hidden="1">
      <c r="E20849" s="96"/>
    </row>
    <row r="20850" hidden="1">
      <c r="E20850" s="96"/>
    </row>
    <row r="20851" hidden="1">
      <c r="E20851" s="96"/>
    </row>
    <row r="20852" hidden="1">
      <c r="E20852" s="96"/>
    </row>
    <row r="20853" hidden="1">
      <c r="E20853" s="96"/>
    </row>
    <row r="20854" hidden="1">
      <c r="E20854" s="96"/>
    </row>
    <row r="20855" hidden="1">
      <c r="E20855" s="96"/>
    </row>
    <row r="20856" hidden="1">
      <c r="E20856" s="96"/>
    </row>
    <row r="20857" hidden="1">
      <c r="E20857" s="96"/>
    </row>
    <row r="20858" hidden="1">
      <c r="E20858" s="96"/>
    </row>
    <row r="20859" hidden="1">
      <c r="E20859" s="96"/>
    </row>
    <row r="20860" hidden="1">
      <c r="E20860" s="96"/>
    </row>
    <row r="20861" hidden="1">
      <c r="E20861" s="96"/>
    </row>
    <row r="20862" hidden="1">
      <c r="E20862" s="96"/>
    </row>
    <row r="20863" hidden="1">
      <c r="E20863" s="96"/>
    </row>
    <row r="20864" hidden="1">
      <c r="E20864" s="96"/>
    </row>
    <row r="20865" hidden="1">
      <c r="E20865" s="96"/>
    </row>
    <row r="20866" hidden="1">
      <c r="E20866" s="96"/>
    </row>
    <row r="20867" hidden="1">
      <c r="E20867" s="96"/>
    </row>
    <row r="20868" hidden="1">
      <c r="E20868" s="96"/>
    </row>
    <row r="20869" hidden="1">
      <c r="E20869" s="96"/>
    </row>
    <row r="20870" hidden="1">
      <c r="E20870" s="96"/>
    </row>
    <row r="20871" hidden="1">
      <c r="E20871" s="96"/>
    </row>
    <row r="20872" hidden="1">
      <c r="E20872" s="96"/>
    </row>
    <row r="20873" hidden="1">
      <c r="E20873" s="96"/>
    </row>
    <row r="20874" hidden="1">
      <c r="E20874" s="96"/>
    </row>
    <row r="20875" hidden="1">
      <c r="E20875" s="96"/>
    </row>
    <row r="20876" hidden="1">
      <c r="E20876" s="96"/>
    </row>
    <row r="20877" hidden="1">
      <c r="E20877" s="96"/>
    </row>
    <row r="20878" hidden="1">
      <c r="E20878" s="96"/>
    </row>
    <row r="20879" hidden="1">
      <c r="E20879" s="96"/>
    </row>
    <row r="20880" hidden="1">
      <c r="E20880" s="96"/>
    </row>
    <row r="20881" hidden="1">
      <c r="E20881" s="96"/>
    </row>
    <row r="20882" hidden="1">
      <c r="E20882" s="96"/>
    </row>
    <row r="20883" hidden="1">
      <c r="E20883" s="96"/>
    </row>
    <row r="20884" hidden="1">
      <c r="E20884" s="96"/>
    </row>
    <row r="20885" hidden="1">
      <c r="E20885" s="96"/>
    </row>
    <row r="20886" hidden="1">
      <c r="E20886" s="96"/>
    </row>
    <row r="20887" hidden="1">
      <c r="E20887" s="96"/>
    </row>
    <row r="20888" hidden="1">
      <c r="E20888" s="96"/>
    </row>
    <row r="20889" hidden="1">
      <c r="E20889" s="96"/>
    </row>
    <row r="20890" hidden="1">
      <c r="E20890" s="96"/>
    </row>
    <row r="20891" hidden="1">
      <c r="E20891" s="96"/>
    </row>
    <row r="20892" hidden="1">
      <c r="E20892" s="96"/>
    </row>
    <row r="20893" hidden="1">
      <c r="E20893" s="96"/>
    </row>
    <row r="20894" hidden="1">
      <c r="E20894" s="96"/>
    </row>
    <row r="20895" hidden="1">
      <c r="E20895" s="96"/>
    </row>
    <row r="20896" hidden="1">
      <c r="E20896" s="96"/>
    </row>
    <row r="20897" hidden="1">
      <c r="E20897" s="96"/>
    </row>
    <row r="20898" hidden="1">
      <c r="E20898" s="96"/>
    </row>
    <row r="20899" hidden="1">
      <c r="E20899" s="96"/>
    </row>
    <row r="20900" hidden="1">
      <c r="E20900" s="96"/>
    </row>
    <row r="20901" hidden="1">
      <c r="E20901" s="96"/>
    </row>
    <row r="20902" hidden="1">
      <c r="E20902" s="96"/>
    </row>
    <row r="20903" hidden="1">
      <c r="E20903" s="96"/>
    </row>
    <row r="20904" hidden="1">
      <c r="E20904" s="96"/>
    </row>
    <row r="20905" hidden="1">
      <c r="E20905" s="96"/>
    </row>
    <row r="20906" hidden="1">
      <c r="E20906" s="96"/>
    </row>
    <row r="20907" hidden="1">
      <c r="E20907" s="96"/>
    </row>
    <row r="20908" hidden="1">
      <c r="E20908" s="96"/>
    </row>
    <row r="20909" hidden="1">
      <c r="E20909" s="96"/>
    </row>
    <row r="20910" hidden="1">
      <c r="E20910" s="96"/>
    </row>
    <row r="20911" hidden="1">
      <c r="E20911" s="96"/>
    </row>
    <row r="20912" hidden="1">
      <c r="E20912" s="96"/>
    </row>
    <row r="20913" hidden="1">
      <c r="E20913" s="96"/>
    </row>
    <row r="20914" hidden="1">
      <c r="E20914" s="96"/>
    </row>
    <row r="20915" hidden="1">
      <c r="E20915" s="96"/>
    </row>
    <row r="20916" hidden="1">
      <c r="E20916" s="96"/>
    </row>
    <row r="20917" hidden="1">
      <c r="E20917" s="96"/>
    </row>
    <row r="20918" hidden="1">
      <c r="E20918" s="96"/>
    </row>
    <row r="20919" hidden="1">
      <c r="E20919" s="96"/>
    </row>
    <row r="20920" hidden="1">
      <c r="E20920" s="96"/>
    </row>
    <row r="20921" hidden="1">
      <c r="E20921" s="96"/>
    </row>
    <row r="20922" hidden="1">
      <c r="E20922" s="96"/>
    </row>
    <row r="20923" hidden="1">
      <c r="E20923" s="96"/>
    </row>
    <row r="20924" hidden="1">
      <c r="E20924" s="96"/>
    </row>
    <row r="20925" hidden="1">
      <c r="E20925" s="96"/>
    </row>
    <row r="20926" hidden="1">
      <c r="E20926" s="96"/>
    </row>
    <row r="20927" hidden="1">
      <c r="E20927" s="96"/>
    </row>
    <row r="20928" hidden="1">
      <c r="E20928" s="96"/>
    </row>
    <row r="20929" hidden="1">
      <c r="E20929" s="96"/>
    </row>
    <row r="20930" hidden="1">
      <c r="E20930" s="96"/>
    </row>
    <row r="20931" hidden="1">
      <c r="E20931" s="96"/>
    </row>
    <row r="20932" hidden="1">
      <c r="E20932" s="96"/>
    </row>
    <row r="20933" hidden="1">
      <c r="E20933" s="96"/>
    </row>
    <row r="20934" hidden="1">
      <c r="E20934" s="96"/>
    </row>
    <row r="20935" hidden="1">
      <c r="E20935" s="96"/>
    </row>
    <row r="20936" hidden="1">
      <c r="E20936" s="96"/>
    </row>
    <row r="20937" hidden="1">
      <c r="E20937" s="96"/>
    </row>
    <row r="20938" hidden="1">
      <c r="E20938" s="96"/>
    </row>
    <row r="20939" hidden="1">
      <c r="E20939" s="96"/>
    </row>
    <row r="20940" hidden="1">
      <c r="E20940" s="96"/>
    </row>
    <row r="20941" hidden="1">
      <c r="E20941" s="96"/>
    </row>
    <row r="20942" hidden="1">
      <c r="E20942" s="96"/>
    </row>
    <row r="20943" hidden="1">
      <c r="E20943" s="96"/>
    </row>
    <row r="20944" hidden="1">
      <c r="E20944" s="96"/>
    </row>
    <row r="20945" hidden="1">
      <c r="E20945" s="96"/>
    </row>
    <row r="20946" hidden="1">
      <c r="E20946" s="96"/>
    </row>
    <row r="20947" hidden="1">
      <c r="E20947" s="96"/>
    </row>
    <row r="20948" hidden="1">
      <c r="E20948" s="96"/>
    </row>
    <row r="20949" hidden="1">
      <c r="E20949" s="96"/>
    </row>
    <row r="20950" hidden="1">
      <c r="E20950" s="96"/>
    </row>
    <row r="20951" hidden="1">
      <c r="E20951" s="96"/>
    </row>
    <row r="20952" hidden="1">
      <c r="E20952" s="96"/>
    </row>
    <row r="20953" hidden="1">
      <c r="E20953" s="96"/>
    </row>
    <row r="20954" hidden="1">
      <c r="E20954" s="96"/>
    </row>
    <row r="20955" hidden="1">
      <c r="E20955" s="96"/>
    </row>
    <row r="20956" hidden="1">
      <c r="E20956" s="96"/>
    </row>
    <row r="20957" hidden="1">
      <c r="E20957" s="96"/>
    </row>
    <row r="20958" hidden="1">
      <c r="E20958" s="96"/>
    </row>
    <row r="20959" hidden="1">
      <c r="E20959" s="96"/>
    </row>
    <row r="20960" hidden="1">
      <c r="E20960" s="96"/>
    </row>
    <row r="20961" hidden="1">
      <c r="E20961" s="96"/>
    </row>
    <row r="20962" hidden="1">
      <c r="E20962" s="96"/>
    </row>
    <row r="20963" hidden="1">
      <c r="E20963" s="96"/>
    </row>
    <row r="20964" hidden="1">
      <c r="E20964" s="96"/>
    </row>
    <row r="20965" hidden="1">
      <c r="E20965" s="96"/>
    </row>
    <row r="20966" hidden="1">
      <c r="E20966" s="96"/>
    </row>
    <row r="20967" hidden="1">
      <c r="E20967" s="96"/>
    </row>
    <row r="20968" hidden="1">
      <c r="E20968" s="96"/>
    </row>
    <row r="20969" hidden="1">
      <c r="E20969" s="96"/>
    </row>
    <row r="20970" hidden="1">
      <c r="E20970" s="96"/>
    </row>
    <row r="20971" hidden="1">
      <c r="E20971" s="96"/>
    </row>
    <row r="20972" hidden="1">
      <c r="E20972" s="96"/>
    </row>
    <row r="20973" hidden="1">
      <c r="E20973" s="96"/>
    </row>
    <row r="20974" hidden="1">
      <c r="E20974" s="96"/>
    </row>
    <row r="20975" hidden="1">
      <c r="E20975" s="96"/>
    </row>
    <row r="20976" hidden="1">
      <c r="E20976" s="96"/>
    </row>
    <row r="20977" hidden="1">
      <c r="E20977" s="96"/>
    </row>
    <row r="20978" hidden="1">
      <c r="E20978" s="96"/>
    </row>
    <row r="20979" hidden="1">
      <c r="E20979" s="96"/>
    </row>
    <row r="20980" hidden="1">
      <c r="E20980" s="96"/>
    </row>
    <row r="20981" hidden="1">
      <c r="E20981" s="96"/>
    </row>
    <row r="20982" hidden="1">
      <c r="E20982" s="96"/>
    </row>
    <row r="20983" hidden="1">
      <c r="E20983" s="96"/>
    </row>
    <row r="20984" hidden="1">
      <c r="E20984" s="96"/>
    </row>
    <row r="20985" hidden="1">
      <c r="E20985" s="96"/>
    </row>
    <row r="20986" hidden="1">
      <c r="E20986" s="96"/>
    </row>
    <row r="20987" hidden="1">
      <c r="E20987" s="96"/>
    </row>
    <row r="20988" hidden="1">
      <c r="E20988" s="96"/>
    </row>
    <row r="20989" hidden="1">
      <c r="E20989" s="96"/>
    </row>
    <row r="20990" hidden="1">
      <c r="E20990" s="96"/>
    </row>
    <row r="20991" hidden="1">
      <c r="E20991" s="96"/>
    </row>
    <row r="20992" hidden="1">
      <c r="E20992" s="96"/>
    </row>
    <row r="20993" hidden="1">
      <c r="E20993" s="96"/>
    </row>
    <row r="20994" hidden="1">
      <c r="E20994" s="96"/>
    </row>
    <row r="20995" hidden="1">
      <c r="E20995" s="96"/>
    </row>
    <row r="20996" hidden="1">
      <c r="E20996" s="96"/>
    </row>
    <row r="20997" hidden="1">
      <c r="E20997" s="96"/>
    </row>
    <row r="20998" hidden="1">
      <c r="E20998" s="96"/>
    </row>
    <row r="20999" hidden="1">
      <c r="E20999" s="96"/>
    </row>
    <row r="21000" hidden="1">
      <c r="E21000" s="96"/>
    </row>
    <row r="21001" hidden="1">
      <c r="E21001" s="96"/>
    </row>
    <row r="21002" hidden="1">
      <c r="E21002" s="96"/>
    </row>
    <row r="21003" hidden="1">
      <c r="E21003" s="96"/>
    </row>
    <row r="21004" hidden="1">
      <c r="E21004" s="96"/>
    </row>
    <row r="21005" hidden="1">
      <c r="E21005" s="96"/>
    </row>
    <row r="21006" hidden="1">
      <c r="E21006" s="96"/>
    </row>
    <row r="21007" hidden="1">
      <c r="E21007" s="96"/>
    </row>
    <row r="21008" hidden="1">
      <c r="E21008" s="96"/>
    </row>
    <row r="21009" hidden="1">
      <c r="E21009" s="96"/>
    </row>
    <row r="21010" hidden="1">
      <c r="E21010" s="96"/>
    </row>
    <row r="21011" hidden="1">
      <c r="E21011" s="96"/>
    </row>
    <row r="21012" hidden="1">
      <c r="E21012" s="96"/>
    </row>
    <row r="21013" hidden="1">
      <c r="E21013" s="96"/>
    </row>
    <row r="21014" hidden="1">
      <c r="E21014" s="96"/>
    </row>
    <row r="21015" hidden="1">
      <c r="E21015" s="96"/>
    </row>
    <row r="21016" hidden="1">
      <c r="E21016" s="96"/>
    </row>
    <row r="21017" hidden="1">
      <c r="E21017" s="96"/>
    </row>
    <row r="21018" hidden="1">
      <c r="E21018" s="96"/>
    </row>
    <row r="21019" hidden="1">
      <c r="E21019" s="96"/>
    </row>
    <row r="21020" hidden="1">
      <c r="E21020" s="96"/>
    </row>
    <row r="21021" hidden="1">
      <c r="E21021" s="96"/>
    </row>
    <row r="21022" hidden="1">
      <c r="E21022" s="96"/>
    </row>
    <row r="21023" hidden="1">
      <c r="E21023" s="96"/>
    </row>
    <row r="21024" hidden="1">
      <c r="E21024" s="96"/>
    </row>
    <row r="21025" hidden="1">
      <c r="E21025" s="96"/>
    </row>
    <row r="21026" hidden="1">
      <c r="E21026" s="96"/>
    </row>
    <row r="21027" hidden="1">
      <c r="E21027" s="96"/>
    </row>
    <row r="21028" hidden="1">
      <c r="E21028" s="96"/>
    </row>
    <row r="21029" hidden="1">
      <c r="E21029" s="96"/>
    </row>
    <row r="21030" hidden="1">
      <c r="E21030" s="96"/>
    </row>
    <row r="21031" hidden="1">
      <c r="E21031" s="96"/>
    </row>
    <row r="21032" hidden="1">
      <c r="E21032" s="96"/>
    </row>
    <row r="21033" hidden="1">
      <c r="E21033" s="96"/>
    </row>
    <row r="21034" hidden="1">
      <c r="E21034" s="96"/>
    </row>
    <row r="21035" hidden="1">
      <c r="E21035" s="96"/>
    </row>
    <row r="21036" hidden="1">
      <c r="E21036" s="96"/>
    </row>
    <row r="21037" hidden="1">
      <c r="E21037" s="96"/>
    </row>
    <row r="21038" hidden="1">
      <c r="E21038" s="96"/>
    </row>
    <row r="21039" hidden="1">
      <c r="E21039" s="96"/>
    </row>
    <row r="21040" hidden="1">
      <c r="E21040" s="96"/>
    </row>
    <row r="21041" hidden="1">
      <c r="E21041" s="96"/>
    </row>
    <row r="21042" hidden="1">
      <c r="E21042" s="96"/>
    </row>
    <row r="21043" hidden="1">
      <c r="E21043" s="96"/>
    </row>
    <row r="21044" hidden="1">
      <c r="E21044" s="96"/>
    </row>
    <row r="21045" hidden="1">
      <c r="E21045" s="96"/>
    </row>
    <row r="21046" hidden="1">
      <c r="E21046" s="96"/>
    </row>
    <row r="21047" hidden="1">
      <c r="E21047" s="96"/>
    </row>
    <row r="21048" hidden="1">
      <c r="E21048" s="96"/>
    </row>
    <row r="21049" hidden="1">
      <c r="E21049" s="96"/>
    </row>
    <row r="21050" hidden="1">
      <c r="E21050" s="96"/>
    </row>
    <row r="21051" hidden="1">
      <c r="E21051" s="96"/>
    </row>
    <row r="21052" hidden="1">
      <c r="E21052" s="96"/>
    </row>
    <row r="21053" hidden="1">
      <c r="E21053" s="96"/>
    </row>
    <row r="21054" hidden="1">
      <c r="E21054" s="96"/>
    </row>
    <row r="21055" hidden="1">
      <c r="E21055" s="96"/>
    </row>
    <row r="21056" hidden="1">
      <c r="E21056" s="96"/>
    </row>
    <row r="21057" hidden="1">
      <c r="E21057" s="96"/>
    </row>
    <row r="21058" hidden="1">
      <c r="E21058" s="96"/>
    </row>
    <row r="21059" hidden="1">
      <c r="E21059" s="96"/>
    </row>
    <row r="21060" hidden="1">
      <c r="E21060" s="96"/>
    </row>
    <row r="21061" hidden="1">
      <c r="E21061" s="96"/>
    </row>
    <row r="21062" hidden="1">
      <c r="E21062" s="96"/>
    </row>
    <row r="21063" hidden="1">
      <c r="E21063" s="96"/>
    </row>
    <row r="21064" hidden="1">
      <c r="E21064" s="96"/>
    </row>
    <row r="21065" hidden="1">
      <c r="E21065" s="96"/>
    </row>
    <row r="21066" hidden="1">
      <c r="E21066" s="96"/>
    </row>
    <row r="21067" hidden="1">
      <c r="E21067" s="96"/>
    </row>
    <row r="21068" hidden="1">
      <c r="E21068" s="96"/>
    </row>
    <row r="21069" hidden="1">
      <c r="E21069" s="96"/>
    </row>
    <row r="21070" hidden="1">
      <c r="E21070" s="96"/>
    </row>
    <row r="21071" hidden="1">
      <c r="E21071" s="96"/>
    </row>
    <row r="21072" hidden="1">
      <c r="E21072" s="96"/>
    </row>
    <row r="21073" hidden="1">
      <c r="E21073" s="96"/>
    </row>
    <row r="21074" hidden="1">
      <c r="E21074" s="96"/>
    </row>
    <row r="21075" hidden="1">
      <c r="E21075" s="96"/>
    </row>
    <row r="21076" hidden="1">
      <c r="E21076" s="96"/>
    </row>
    <row r="21077" hidden="1">
      <c r="E21077" s="96"/>
    </row>
    <row r="21078" hidden="1">
      <c r="E21078" s="96"/>
    </row>
    <row r="21079" hidden="1">
      <c r="E21079" s="96"/>
    </row>
    <row r="21080" hidden="1">
      <c r="E21080" s="96"/>
    </row>
    <row r="21081" hidden="1">
      <c r="E21081" s="96"/>
    </row>
    <row r="21082" hidden="1">
      <c r="E21082" s="96"/>
    </row>
    <row r="21083" hidden="1">
      <c r="E21083" s="96"/>
    </row>
    <row r="21084" hidden="1">
      <c r="E21084" s="96"/>
    </row>
    <row r="21085" hidden="1">
      <c r="E21085" s="96"/>
    </row>
    <row r="21086" hidden="1">
      <c r="E21086" s="96"/>
    </row>
    <row r="21087" hidden="1">
      <c r="E21087" s="96"/>
    </row>
    <row r="21088" hidden="1">
      <c r="E21088" s="96"/>
    </row>
    <row r="21089" hidden="1">
      <c r="E21089" s="96"/>
    </row>
    <row r="21090" hidden="1">
      <c r="E21090" s="96"/>
    </row>
    <row r="21091" hidden="1">
      <c r="E21091" s="96"/>
    </row>
    <row r="21092" hidden="1">
      <c r="E21092" s="96"/>
    </row>
    <row r="21093" hidden="1">
      <c r="E21093" s="96"/>
    </row>
    <row r="21094" hidden="1">
      <c r="E21094" s="96"/>
    </row>
    <row r="21095" hidden="1">
      <c r="E21095" s="96"/>
    </row>
    <row r="21096" hidden="1">
      <c r="E21096" s="96"/>
    </row>
    <row r="21097" hidden="1">
      <c r="E21097" s="96"/>
    </row>
    <row r="21098" hidden="1">
      <c r="E21098" s="96"/>
    </row>
    <row r="21099" hidden="1">
      <c r="E21099" s="96"/>
    </row>
    <row r="21100" hidden="1">
      <c r="E21100" s="96"/>
    </row>
    <row r="21101" hidden="1">
      <c r="E21101" s="96"/>
    </row>
    <row r="21102" hidden="1">
      <c r="E21102" s="96"/>
    </row>
    <row r="21103" hidden="1">
      <c r="E21103" s="96"/>
    </row>
    <row r="21104" hidden="1">
      <c r="E21104" s="96"/>
    </row>
    <row r="21105" hidden="1">
      <c r="E21105" s="96"/>
    </row>
    <row r="21106" hidden="1">
      <c r="E21106" s="96"/>
    </row>
    <row r="21107" hidden="1">
      <c r="E21107" s="96"/>
    </row>
    <row r="21108" hidden="1">
      <c r="E21108" s="96"/>
    </row>
    <row r="21109" hidden="1">
      <c r="E21109" s="96"/>
    </row>
    <row r="21110" hidden="1">
      <c r="E21110" s="96"/>
    </row>
    <row r="21111" hidden="1">
      <c r="E21111" s="96"/>
    </row>
    <row r="21112" hidden="1">
      <c r="E21112" s="96"/>
    </row>
    <row r="21113" hidden="1">
      <c r="E21113" s="96"/>
    </row>
    <row r="21114" hidden="1">
      <c r="E21114" s="96"/>
    </row>
    <row r="21115" hidden="1">
      <c r="E21115" s="96"/>
    </row>
    <row r="21116" hidden="1">
      <c r="E21116" s="96"/>
    </row>
    <row r="21117" hidden="1">
      <c r="E21117" s="96"/>
    </row>
    <row r="21118" hidden="1">
      <c r="E21118" s="96"/>
    </row>
    <row r="21119" hidden="1">
      <c r="E21119" s="96"/>
    </row>
    <row r="21120" hidden="1">
      <c r="E21120" s="96"/>
    </row>
    <row r="21121" hidden="1">
      <c r="E21121" s="96"/>
    </row>
    <row r="21122" hidden="1">
      <c r="E21122" s="96"/>
    </row>
    <row r="21123" hidden="1">
      <c r="E21123" s="96"/>
    </row>
    <row r="21124" hidden="1">
      <c r="E21124" s="96"/>
    </row>
    <row r="21125" hidden="1">
      <c r="E21125" s="96"/>
    </row>
    <row r="21126" hidden="1">
      <c r="E21126" s="96"/>
    </row>
    <row r="21127" hidden="1">
      <c r="E21127" s="96"/>
    </row>
    <row r="21128" hidden="1">
      <c r="E21128" s="96"/>
    </row>
    <row r="21129" hidden="1">
      <c r="E21129" s="96"/>
    </row>
    <row r="21130" hidden="1">
      <c r="E21130" s="96"/>
    </row>
    <row r="21131" hidden="1">
      <c r="E21131" s="96"/>
    </row>
    <row r="21132" hidden="1">
      <c r="E21132" s="96"/>
    </row>
    <row r="21133" hidden="1">
      <c r="E21133" s="96"/>
    </row>
    <row r="21134" hidden="1">
      <c r="E21134" s="96"/>
    </row>
    <row r="21135" hidden="1">
      <c r="E21135" s="96"/>
    </row>
    <row r="21136" hidden="1">
      <c r="E21136" s="96"/>
    </row>
    <row r="21137" hidden="1">
      <c r="E21137" s="96"/>
    </row>
    <row r="21138" hidden="1">
      <c r="E21138" s="96"/>
    </row>
    <row r="21139" hidden="1">
      <c r="E21139" s="96"/>
    </row>
    <row r="21140" hidden="1">
      <c r="E21140" s="96"/>
    </row>
    <row r="21141" hidden="1">
      <c r="E21141" s="96"/>
    </row>
    <row r="21142" hidden="1">
      <c r="E21142" s="96"/>
    </row>
    <row r="21143" hidden="1">
      <c r="E21143" s="96"/>
    </row>
    <row r="21144" hidden="1">
      <c r="E21144" s="96"/>
    </row>
    <row r="21145" hidden="1">
      <c r="E21145" s="96"/>
    </row>
    <row r="21146" hidden="1">
      <c r="E21146" s="96"/>
    </row>
    <row r="21147" hidden="1">
      <c r="E21147" s="96"/>
    </row>
    <row r="21148" hidden="1">
      <c r="E21148" s="96"/>
    </row>
    <row r="21149" hidden="1">
      <c r="E21149" s="96"/>
    </row>
    <row r="21150" hidden="1">
      <c r="E21150" s="96"/>
    </row>
    <row r="21151" hidden="1">
      <c r="E21151" s="96"/>
    </row>
    <row r="21152" hidden="1">
      <c r="E21152" s="96"/>
    </row>
    <row r="21153" hidden="1">
      <c r="E21153" s="96"/>
    </row>
    <row r="21154" hidden="1">
      <c r="E21154" s="96"/>
    </row>
    <row r="21155" hidden="1">
      <c r="E21155" s="96"/>
    </row>
    <row r="21156" hidden="1">
      <c r="E21156" s="96"/>
    </row>
    <row r="21157" hidden="1">
      <c r="E21157" s="96"/>
    </row>
    <row r="21158" hidden="1">
      <c r="E21158" s="96"/>
    </row>
    <row r="21159" hidden="1">
      <c r="E21159" s="96"/>
    </row>
    <row r="21160" hidden="1">
      <c r="E21160" s="96"/>
    </row>
    <row r="21161" hidden="1">
      <c r="E21161" s="96"/>
    </row>
    <row r="21162" hidden="1">
      <c r="E21162" s="96"/>
    </row>
    <row r="21163" hidden="1">
      <c r="E21163" s="96"/>
    </row>
    <row r="21164" hidden="1">
      <c r="E21164" s="96"/>
    </row>
    <row r="21165" hidden="1">
      <c r="E21165" s="96"/>
    </row>
    <row r="21166" hidden="1">
      <c r="E21166" s="96"/>
    </row>
    <row r="21167" hidden="1">
      <c r="E21167" s="96"/>
    </row>
    <row r="21168" hidden="1">
      <c r="E21168" s="96"/>
    </row>
    <row r="21169" hidden="1">
      <c r="E21169" s="96"/>
    </row>
    <row r="21170" hidden="1">
      <c r="E21170" s="96"/>
    </row>
    <row r="21171" hidden="1">
      <c r="E21171" s="96"/>
    </row>
    <row r="21172" hidden="1">
      <c r="E21172" s="96"/>
    </row>
    <row r="21173" hidden="1">
      <c r="E21173" s="96"/>
    </row>
    <row r="21174" hidden="1">
      <c r="E21174" s="96"/>
    </row>
    <row r="21175" hidden="1">
      <c r="E21175" s="96"/>
    </row>
    <row r="21176" hidden="1">
      <c r="E21176" s="96"/>
    </row>
    <row r="21177" hidden="1">
      <c r="E21177" s="96"/>
    </row>
    <row r="21178" hidden="1">
      <c r="E21178" s="96"/>
    </row>
    <row r="21179" hidden="1">
      <c r="E21179" s="96"/>
    </row>
    <row r="21180" hidden="1">
      <c r="E21180" s="96"/>
    </row>
    <row r="21181" hidden="1">
      <c r="E21181" s="96"/>
    </row>
    <row r="21182" hidden="1">
      <c r="E21182" s="96"/>
    </row>
    <row r="21183" hidden="1">
      <c r="E21183" s="96"/>
    </row>
    <row r="21184" hidden="1">
      <c r="E21184" s="96"/>
    </row>
    <row r="21185" hidden="1">
      <c r="E21185" s="96"/>
    </row>
    <row r="21186" hidden="1">
      <c r="E21186" s="96"/>
    </row>
    <row r="21187" hidden="1">
      <c r="E21187" s="96"/>
    </row>
    <row r="21188" hidden="1">
      <c r="E21188" s="96"/>
    </row>
    <row r="21189" hidden="1">
      <c r="E21189" s="96"/>
    </row>
    <row r="21190" hidden="1">
      <c r="E21190" s="96"/>
    </row>
    <row r="21191" hidden="1">
      <c r="E21191" s="96"/>
    </row>
    <row r="21192" hidden="1">
      <c r="E21192" s="96"/>
    </row>
    <row r="21193" hidden="1">
      <c r="E21193" s="96"/>
    </row>
    <row r="21194" hidden="1">
      <c r="E21194" s="96"/>
    </row>
    <row r="21195" hidden="1">
      <c r="E21195" s="96"/>
    </row>
    <row r="21196" hidden="1">
      <c r="E21196" s="96"/>
    </row>
    <row r="21197" hidden="1">
      <c r="E21197" s="96"/>
    </row>
    <row r="21198" hidden="1">
      <c r="E21198" s="96"/>
    </row>
    <row r="21199" hidden="1">
      <c r="E21199" s="96"/>
    </row>
    <row r="21200" hidden="1">
      <c r="E21200" s="96"/>
    </row>
    <row r="21201" hidden="1">
      <c r="E21201" s="96"/>
    </row>
    <row r="21202" hidden="1">
      <c r="E21202" s="96"/>
    </row>
    <row r="21203" hidden="1">
      <c r="E21203" s="96"/>
    </row>
    <row r="21204" hidden="1">
      <c r="E21204" s="96"/>
    </row>
    <row r="21205" hidden="1">
      <c r="E21205" s="96"/>
    </row>
    <row r="21206" hidden="1">
      <c r="E21206" s="96"/>
    </row>
    <row r="21207" hidden="1">
      <c r="E21207" s="96"/>
    </row>
    <row r="21208" hidden="1">
      <c r="E21208" s="96"/>
    </row>
    <row r="21209" hidden="1">
      <c r="E21209" s="96"/>
    </row>
    <row r="21210" hidden="1">
      <c r="E21210" s="96"/>
    </row>
    <row r="21211" hidden="1">
      <c r="E21211" s="96"/>
    </row>
    <row r="21212" hidden="1">
      <c r="E21212" s="96"/>
    </row>
    <row r="21213" hidden="1">
      <c r="E21213" s="96"/>
    </row>
    <row r="21214" hidden="1">
      <c r="E21214" s="96"/>
    </row>
    <row r="21215" hidden="1">
      <c r="E21215" s="96"/>
    </row>
    <row r="21216" hidden="1">
      <c r="E21216" s="96"/>
    </row>
    <row r="21217" hidden="1">
      <c r="E21217" s="96"/>
    </row>
    <row r="21218" hidden="1">
      <c r="E21218" s="96"/>
    </row>
    <row r="21219" hidden="1">
      <c r="E21219" s="96"/>
    </row>
    <row r="21220" hidden="1">
      <c r="E21220" s="96"/>
    </row>
    <row r="21221" hidden="1">
      <c r="E21221" s="96"/>
    </row>
    <row r="21222" hidden="1">
      <c r="E21222" s="96"/>
    </row>
    <row r="21223" hidden="1">
      <c r="E21223" s="96"/>
    </row>
    <row r="21224" hidden="1">
      <c r="E21224" s="96"/>
    </row>
    <row r="21225" hidden="1">
      <c r="E21225" s="96"/>
    </row>
    <row r="21226" hidden="1">
      <c r="E21226" s="96"/>
    </row>
    <row r="21227" hidden="1">
      <c r="E21227" s="96"/>
    </row>
    <row r="21228" hidden="1">
      <c r="E21228" s="96"/>
    </row>
    <row r="21229" hidden="1">
      <c r="E21229" s="96"/>
    </row>
    <row r="21230" hidden="1">
      <c r="E21230" s="96"/>
    </row>
    <row r="21231" hidden="1">
      <c r="E21231" s="96"/>
    </row>
    <row r="21232" hidden="1">
      <c r="E21232" s="96"/>
    </row>
    <row r="21233" hidden="1">
      <c r="E21233" s="96"/>
    </row>
    <row r="21234" hidden="1">
      <c r="E21234" s="96"/>
    </row>
    <row r="21235" hidden="1">
      <c r="E21235" s="96"/>
    </row>
    <row r="21236" hidden="1">
      <c r="E21236" s="96"/>
    </row>
    <row r="21237" hidden="1">
      <c r="E21237" s="96"/>
    </row>
    <row r="21238" hidden="1">
      <c r="E21238" s="96"/>
    </row>
    <row r="21239" hidden="1">
      <c r="E21239" s="96"/>
    </row>
    <row r="21240" hidden="1">
      <c r="E21240" s="96"/>
    </row>
    <row r="21241" hidden="1">
      <c r="E21241" s="96"/>
    </row>
    <row r="21242" hidden="1">
      <c r="E21242" s="96"/>
    </row>
    <row r="21243" hidden="1">
      <c r="E21243" s="96"/>
    </row>
    <row r="21244" hidden="1">
      <c r="E21244" s="96"/>
    </row>
    <row r="21245" hidden="1">
      <c r="E21245" s="96"/>
    </row>
    <row r="21246" hidden="1">
      <c r="E21246" s="96"/>
    </row>
    <row r="21247" hidden="1">
      <c r="E21247" s="96"/>
    </row>
    <row r="21248" hidden="1">
      <c r="E21248" s="96"/>
    </row>
    <row r="21249" hidden="1">
      <c r="E21249" s="96"/>
    </row>
    <row r="21250" hidden="1">
      <c r="E21250" s="96"/>
    </row>
    <row r="21251" hidden="1">
      <c r="E21251" s="96"/>
    </row>
    <row r="21252" hidden="1">
      <c r="E21252" s="96"/>
    </row>
    <row r="21253" hidden="1">
      <c r="E21253" s="96"/>
    </row>
    <row r="21254" hidden="1">
      <c r="E21254" s="96"/>
    </row>
    <row r="21255" hidden="1">
      <c r="E21255" s="96"/>
    </row>
    <row r="21256" hidden="1">
      <c r="E21256" s="96"/>
    </row>
    <row r="21257" hidden="1">
      <c r="E21257" s="96"/>
    </row>
    <row r="21258" hidden="1">
      <c r="E21258" s="96"/>
    </row>
    <row r="21259" hidden="1">
      <c r="E21259" s="96"/>
    </row>
    <row r="21260" hidden="1">
      <c r="E21260" s="96"/>
    </row>
    <row r="21261" hidden="1">
      <c r="E21261" s="96"/>
    </row>
    <row r="21262" hidden="1">
      <c r="E21262" s="96"/>
    </row>
    <row r="21263" hidden="1">
      <c r="E21263" s="96"/>
    </row>
    <row r="21264" hidden="1">
      <c r="E21264" s="96"/>
    </row>
    <row r="21265" hidden="1">
      <c r="E21265" s="96"/>
    </row>
    <row r="21266" hidden="1">
      <c r="E21266" s="96"/>
    </row>
    <row r="21267" hidden="1">
      <c r="E21267" s="96"/>
    </row>
    <row r="21268" hidden="1">
      <c r="E21268" s="96"/>
    </row>
    <row r="21269" hidden="1">
      <c r="E21269" s="96"/>
    </row>
    <row r="21270" hidden="1">
      <c r="E21270" s="96"/>
    </row>
    <row r="21271" hidden="1">
      <c r="E21271" s="96"/>
    </row>
    <row r="21272" hidden="1">
      <c r="E21272" s="96"/>
    </row>
    <row r="21273" hidden="1">
      <c r="E21273" s="96"/>
    </row>
    <row r="21274" hidden="1">
      <c r="E21274" s="96"/>
    </row>
    <row r="21275" hidden="1">
      <c r="E21275" s="96"/>
    </row>
    <row r="21276" hidden="1">
      <c r="E21276" s="96"/>
    </row>
    <row r="21277" hidden="1">
      <c r="E21277" s="96"/>
    </row>
    <row r="21278" hidden="1">
      <c r="E21278" s="96"/>
    </row>
    <row r="21279" hidden="1">
      <c r="E21279" s="96"/>
    </row>
    <row r="21280" hidden="1">
      <c r="E21280" s="96"/>
    </row>
    <row r="21281" hidden="1">
      <c r="E21281" s="96"/>
    </row>
    <row r="21282" hidden="1">
      <c r="E21282" s="96"/>
    </row>
    <row r="21283" hidden="1">
      <c r="E21283" s="96"/>
    </row>
    <row r="21284" hidden="1">
      <c r="E21284" s="96"/>
    </row>
    <row r="21285" hidden="1">
      <c r="E21285" s="96"/>
    </row>
    <row r="21286" hidden="1">
      <c r="E21286" s="96"/>
    </row>
    <row r="21287" hidden="1">
      <c r="E21287" s="96"/>
    </row>
    <row r="21288" hidden="1">
      <c r="E21288" s="96"/>
    </row>
    <row r="21289" hidden="1">
      <c r="E21289" s="96"/>
    </row>
    <row r="21290" hidden="1">
      <c r="E21290" s="96"/>
    </row>
    <row r="21291" hidden="1">
      <c r="E21291" s="96"/>
    </row>
    <row r="21292" hidden="1">
      <c r="E21292" s="96"/>
    </row>
    <row r="21293" hidden="1">
      <c r="E21293" s="96"/>
    </row>
    <row r="21294" hidden="1">
      <c r="E21294" s="96"/>
    </row>
    <row r="21295" hidden="1">
      <c r="E21295" s="96"/>
    </row>
    <row r="21296" hidden="1">
      <c r="E21296" s="96"/>
    </row>
    <row r="21297" hidden="1">
      <c r="E21297" s="96"/>
    </row>
    <row r="21298" hidden="1">
      <c r="E21298" s="96"/>
    </row>
    <row r="21299" hidden="1">
      <c r="E21299" s="96"/>
    </row>
    <row r="21300" hidden="1">
      <c r="E21300" s="96"/>
    </row>
    <row r="21301" hidden="1">
      <c r="E21301" s="96"/>
    </row>
    <row r="21302" hidden="1">
      <c r="E21302" s="96"/>
    </row>
    <row r="21303" hidden="1">
      <c r="E21303" s="96"/>
    </row>
    <row r="21304" hidden="1">
      <c r="E21304" s="96"/>
    </row>
    <row r="21305" hidden="1">
      <c r="E21305" s="96"/>
    </row>
    <row r="21306" hidden="1">
      <c r="E21306" s="96"/>
    </row>
    <row r="21307" hidden="1">
      <c r="E21307" s="96"/>
    </row>
    <row r="21308" hidden="1">
      <c r="E21308" s="96"/>
    </row>
    <row r="21309" hidden="1">
      <c r="E21309" s="96"/>
    </row>
    <row r="21310" hidden="1">
      <c r="E21310" s="96"/>
    </row>
    <row r="21311" hidden="1">
      <c r="E21311" s="96"/>
    </row>
    <row r="21312" hidden="1">
      <c r="E21312" s="96"/>
    </row>
    <row r="21313" hidden="1">
      <c r="E21313" s="96"/>
    </row>
    <row r="21314" hidden="1">
      <c r="E21314" s="96"/>
    </row>
    <row r="21315" hidden="1">
      <c r="E21315" s="96"/>
    </row>
    <row r="21316" hidden="1">
      <c r="E21316" s="96"/>
    </row>
    <row r="21317" hidden="1">
      <c r="E21317" s="96"/>
    </row>
    <row r="21318" hidden="1">
      <c r="E21318" s="96"/>
    </row>
    <row r="21319" hidden="1">
      <c r="E21319" s="96"/>
    </row>
    <row r="21320" hidden="1">
      <c r="E21320" s="96"/>
    </row>
    <row r="21321" hidden="1">
      <c r="E21321" s="96"/>
    </row>
    <row r="21322" hidden="1">
      <c r="E21322" s="96"/>
    </row>
    <row r="21323" hidden="1">
      <c r="E21323" s="96"/>
    </row>
    <row r="21324" hidden="1">
      <c r="E21324" s="96"/>
    </row>
    <row r="21325" hidden="1">
      <c r="E21325" s="96"/>
    </row>
    <row r="21326" hidden="1">
      <c r="E21326" s="96"/>
    </row>
    <row r="21327" hidden="1">
      <c r="E21327" s="96"/>
    </row>
    <row r="21328" hidden="1">
      <c r="E21328" s="96"/>
    </row>
    <row r="21329" hidden="1">
      <c r="E21329" s="96"/>
    </row>
    <row r="21330" hidden="1">
      <c r="E21330" s="96"/>
    </row>
    <row r="21331" hidden="1">
      <c r="E21331" s="96"/>
    </row>
    <row r="21332" hidden="1">
      <c r="E21332" s="96"/>
    </row>
    <row r="21333" hidden="1">
      <c r="E21333" s="96"/>
    </row>
    <row r="21334" hidden="1">
      <c r="E21334" s="96"/>
    </row>
    <row r="21335" hidden="1">
      <c r="E21335" s="96"/>
    </row>
    <row r="21336" hidden="1">
      <c r="E21336" s="96"/>
    </row>
    <row r="21337" hidden="1">
      <c r="E21337" s="96"/>
    </row>
    <row r="21338" hidden="1">
      <c r="E21338" s="96"/>
    </row>
    <row r="21339" hidden="1">
      <c r="E21339" s="96"/>
    </row>
    <row r="21340" hidden="1">
      <c r="E21340" s="96"/>
    </row>
    <row r="21341" hidden="1">
      <c r="E21341" s="96"/>
    </row>
    <row r="21342" hidden="1">
      <c r="E21342" s="96"/>
    </row>
    <row r="21343" hidden="1">
      <c r="E21343" s="96"/>
    </row>
    <row r="21344" hidden="1">
      <c r="E21344" s="96"/>
    </row>
    <row r="21345" hidden="1">
      <c r="E21345" s="96"/>
    </row>
    <row r="21346" hidden="1">
      <c r="E21346" s="96"/>
    </row>
    <row r="21347" hidden="1">
      <c r="E21347" s="96"/>
    </row>
    <row r="21348" hidden="1">
      <c r="E21348" s="96"/>
    </row>
    <row r="21349" hidden="1">
      <c r="E21349" s="96"/>
    </row>
    <row r="21350" hidden="1">
      <c r="E21350" s="96"/>
    </row>
    <row r="21351" hidden="1">
      <c r="E21351" s="96"/>
    </row>
    <row r="21352" hidden="1">
      <c r="E21352" s="96"/>
    </row>
    <row r="21353" hidden="1">
      <c r="E21353" s="96"/>
    </row>
    <row r="21354" hidden="1">
      <c r="E21354" s="96"/>
    </row>
    <row r="21355" hidden="1">
      <c r="E21355" s="96"/>
    </row>
    <row r="21356" hidden="1">
      <c r="E21356" s="96"/>
    </row>
    <row r="21357" hidden="1">
      <c r="E21357" s="96"/>
    </row>
    <row r="21358" hidden="1">
      <c r="E21358" s="96"/>
    </row>
    <row r="21359" hidden="1">
      <c r="E21359" s="96"/>
    </row>
    <row r="21360" hidden="1">
      <c r="E21360" s="96"/>
    </row>
    <row r="21361" hidden="1">
      <c r="E21361" s="96"/>
    </row>
    <row r="21362" hidden="1">
      <c r="E21362" s="96"/>
    </row>
    <row r="21363" hidden="1">
      <c r="E21363" s="96"/>
    </row>
    <row r="21364" hidden="1">
      <c r="E21364" s="96"/>
    </row>
    <row r="21365" hidden="1">
      <c r="E21365" s="96"/>
    </row>
    <row r="21366" hidden="1">
      <c r="E21366" s="96"/>
    </row>
    <row r="21367" hidden="1">
      <c r="E21367" s="96"/>
    </row>
    <row r="21368" hidden="1">
      <c r="E21368" s="96"/>
    </row>
    <row r="21369" hidden="1">
      <c r="E21369" s="96"/>
    </row>
    <row r="21370" hidden="1">
      <c r="E21370" s="96"/>
    </row>
    <row r="21371" hidden="1">
      <c r="E21371" s="96"/>
    </row>
    <row r="21372" hidden="1">
      <c r="E21372" s="96"/>
    </row>
    <row r="21373" hidden="1">
      <c r="E21373" s="96"/>
    </row>
    <row r="21374" hidden="1">
      <c r="E21374" s="96"/>
    </row>
    <row r="21375" hidden="1">
      <c r="E21375" s="96"/>
    </row>
    <row r="21376" hidden="1">
      <c r="E21376" s="96"/>
    </row>
    <row r="21377" hidden="1">
      <c r="E21377" s="96"/>
    </row>
    <row r="21378" hidden="1">
      <c r="E21378" s="96"/>
    </row>
    <row r="21379" hidden="1">
      <c r="E21379" s="96"/>
    </row>
    <row r="21380" hidden="1">
      <c r="E21380" s="96"/>
    </row>
    <row r="21381" hidden="1">
      <c r="E21381" s="96"/>
    </row>
    <row r="21382" hidden="1">
      <c r="E21382" s="96"/>
    </row>
    <row r="21383" hidden="1">
      <c r="E21383" s="96"/>
    </row>
    <row r="21384" hidden="1">
      <c r="E21384" s="96"/>
    </row>
    <row r="21385" hidden="1">
      <c r="E21385" s="96"/>
    </row>
    <row r="21386" hidden="1">
      <c r="E21386" s="96"/>
    </row>
    <row r="21387" hidden="1">
      <c r="E21387" s="96"/>
    </row>
    <row r="21388" hidden="1">
      <c r="E21388" s="96"/>
    </row>
    <row r="21389" hidden="1">
      <c r="E21389" s="96"/>
    </row>
    <row r="21390" hidden="1">
      <c r="E21390" s="96"/>
    </row>
    <row r="21391" hidden="1">
      <c r="E21391" s="96"/>
    </row>
    <row r="21392" hidden="1">
      <c r="E21392" s="96"/>
    </row>
    <row r="21393" hidden="1">
      <c r="E21393" s="96"/>
    </row>
    <row r="21394" hidden="1">
      <c r="E21394" s="96"/>
    </row>
    <row r="21395" hidden="1">
      <c r="E21395" s="96"/>
    </row>
    <row r="21396" hidden="1">
      <c r="E21396" s="96"/>
    </row>
    <row r="21397" hidden="1">
      <c r="E21397" s="96"/>
    </row>
    <row r="21398" hidden="1">
      <c r="E21398" s="96"/>
    </row>
    <row r="21399" hidden="1">
      <c r="E21399" s="96"/>
    </row>
    <row r="21400" hidden="1">
      <c r="E21400" s="96"/>
    </row>
    <row r="21401" hidden="1">
      <c r="E21401" s="96"/>
    </row>
    <row r="21402" hidden="1">
      <c r="E21402" s="96"/>
    </row>
    <row r="21403" hidden="1">
      <c r="E21403" s="96"/>
    </row>
    <row r="21404" hidden="1">
      <c r="E21404" s="96"/>
    </row>
    <row r="21405" hidden="1">
      <c r="E21405" s="96"/>
    </row>
    <row r="21406" hidden="1">
      <c r="E21406" s="96"/>
    </row>
    <row r="21407" hidden="1">
      <c r="E21407" s="96"/>
    </row>
    <row r="21408" hidden="1">
      <c r="E21408" s="96"/>
    </row>
    <row r="21409" hidden="1">
      <c r="E21409" s="96"/>
    </row>
    <row r="21410" hidden="1">
      <c r="E21410" s="96"/>
    </row>
    <row r="21411" hidden="1">
      <c r="E21411" s="96"/>
    </row>
    <row r="21412" hidden="1">
      <c r="E21412" s="96"/>
    </row>
    <row r="21413" hidden="1">
      <c r="E21413" s="96"/>
    </row>
    <row r="21414" hidden="1">
      <c r="E21414" s="96"/>
    </row>
    <row r="21415" hidden="1">
      <c r="E21415" s="96"/>
    </row>
    <row r="21416" hidden="1">
      <c r="E21416" s="96"/>
    </row>
    <row r="21417" hidden="1">
      <c r="E21417" s="96"/>
    </row>
    <row r="21418" hidden="1">
      <c r="E21418" s="96"/>
    </row>
    <row r="21419" hidden="1">
      <c r="E21419" s="96"/>
    </row>
    <row r="21420" hidden="1">
      <c r="E21420" s="96"/>
    </row>
    <row r="21421" hidden="1">
      <c r="E21421" s="96"/>
    </row>
    <row r="21422" hidden="1">
      <c r="E21422" s="96"/>
    </row>
    <row r="21423" hidden="1">
      <c r="E21423" s="96"/>
    </row>
    <row r="21424" hidden="1">
      <c r="E21424" s="96"/>
    </row>
    <row r="21425" hidden="1">
      <c r="E21425" s="96"/>
    </row>
    <row r="21426" hidden="1">
      <c r="E21426" s="96"/>
    </row>
    <row r="21427" hidden="1">
      <c r="E21427" s="96"/>
    </row>
    <row r="21428" hidden="1">
      <c r="E21428" s="96"/>
    </row>
    <row r="21429" hidden="1">
      <c r="E21429" s="96"/>
    </row>
    <row r="21430" hidden="1">
      <c r="E21430" s="96"/>
    </row>
    <row r="21431" hidden="1">
      <c r="E21431" s="96"/>
    </row>
    <row r="21432" hidden="1">
      <c r="E21432" s="96"/>
    </row>
    <row r="21433" hidden="1">
      <c r="E21433" s="96"/>
    </row>
    <row r="21434" hidden="1">
      <c r="E21434" s="96"/>
    </row>
    <row r="21435" hidden="1">
      <c r="E21435" s="96"/>
    </row>
    <row r="21436" hidden="1">
      <c r="E21436" s="96"/>
    </row>
    <row r="21437" hidden="1">
      <c r="E21437" s="96"/>
    </row>
    <row r="21438" hidden="1">
      <c r="E21438" s="96"/>
    </row>
    <row r="21439" hidden="1">
      <c r="E21439" s="96"/>
    </row>
    <row r="21440" hidden="1">
      <c r="E21440" s="96"/>
    </row>
    <row r="21441" hidden="1">
      <c r="E21441" s="96"/>
    </row>
    <row r="21442" hidden="1">
      <c r="E21442" s="96"/>
    </row>
    <row r="21443" hidden="1">
      <c r="E21443" s="96"/>
    </row>
    <row r="21444" hidden="1">
      <c r="E21444" s="96"/>
    </row>
    <row r="21445" hidden="1">
      <c r="E21445" s="96"/>
    </row>
    <row r="21446" hidden="1">
      <c r="E21446" s="96"/>
    </row>
    <row r="21447" hidden="1">
      <c r="E21447" s="96"/>
    </row>
    <row r="21448" hidden="1">
      <c r="E21448" s="96"/>
    </row>
    <row r="21449" hidden="1">
      <c r="E21449" s="96"/>
    </row>
    <row r="21450" hidden="1">
      <c r="E21450" s="96"/>
    </row>
    <row r="21451" hidden="1">
      <c r="E21451" s="96"/>
    </row>
    <row r="21452" hidden="1">
      <c r="E21452" s="96"/>
    </row>
    <row r="21453" hidden="1">
      <c r="E21453" s="96"/>
    </row>
    <row r="21454" hidden="1">
      <c r="E21454" s="96"/>
    </row>
    <row r="21455" hidden="1">
      <c r="E21455" s="96"/>
    </row>
    <row r="21456" hidden="1">
      <c r="E21456" s="96"/>
    </row>
    <row r="21457" hidden="1">
      <c r="E21457" s="96"/>
    </row>
    <row r="21458" hidden="1">
      <c r="E21458" s="96"/>
    </row>
    <row r="21459" hidden="1">
      <c r="E21459" s="96"/>
    </row>
    <row r="21460" hidden="1">
      <c r="E21460" s="96"/>
    </row>
    <row r="21461" hidden="1">
      <c r="E21461" s="96"/>
    </row>
    <row r="21462" hidden="1">
      <c r="E21462" s="96"/>
    </row>
    <row r="21463" hidden="1">
      <c r="E21463" s="96"/>
    </row>
    <row r="21464" hidden="1">
      <c r="E21464" s="96"/>
    </row>
    <row r="21465" hidden="1">
      <c r="E21465" s="96"/>
    </row>
    <row r="21466" hidden="1">
      <c r="E21466" s="96"/>
    </row>
    <row r="21467" hidden="1">
      <c r="E21467" s="96"/>
    </row>
    <row r="21468" hidden="1">
      <c r="E21468" s="96"/>
    </row>
    <row r="21469" hidden="1">
      <c r="E21469" s="96"/>
    </row>
    <row r="21470" hidden="1">
      <c r="E21470" s="96"/>
    </row>
    <row r="21471" hidden="1">
      <c r="E21471" s="96"/>
    </row>
    <row r="21472" hidden="1">
      <c r="E21472" s="96"/>
    </row>
    <row r="21473" hidden="1">
      <c r="E21473" s="96"/>
    </row>
    <row r="21474" hidden="1">
      <c r="E21474" s="96"/>
    </row>
    <row r="21475" hidden="1">
      <c r="E21475" s="96"/>
    </row>
    <row r="21476" hidden="1">
      <c r="E21476" s="96"/>
    </row>
    <row r="21477" hidden="1">
      <c r="E21477" s="96"/>
    </row>
    <row r="21478" hidden="1">
      <c r="E21478" s="96"/>
    </row>
    <row r="21479" hidden="1">
      <c r="E21479" s="96"/>
    </row>
    <row r="21480" hidden="1">
      <c r="E21480" s="96"/>
    </row>
    <row r="21481" hidden="1">
      <c r="E21481" s="96"/>
    </row>
    <row r="21482" hidden="1">
      <c r="E21482" s="96"/>
    </row>
    <row r="21483" hidden="1">
      <c r="E21483" s="96"/>
    </row>
    <row r="21484" hidden="1">
      <c r="E21484" s="96"/>
    </row>
    <row r="21485" hidden="1">
      <c r="E21485" s="96"/>
    </row>
    <row r="21486" hidden="1">
      <c r="E21486" s="96"/>
    </row>
    <row r="21487" hidden="1">
      <c r="E21487" s="96"/>
    </row>
    <row r="21488" hidden="1">
      <c r="E21488" s="96"/>
    </row>
    <row r="21489" hidden="1">
      <c r="E21489" s="96"/>
    </row>
    <row r="21490" hidden="1">
      <c r="E21490" s="96"/>
    </row>
    <row r="21491" hidden="1">
      <c r="E21491" s="96"/>
    </row>
    <row r="21492" hidden="1">
      <c r="E21492" s="96"/>
    </row>
    <row r="21493" hidden="1">
      <c r="E21493" s="96"/>
    </row>
    <row r="21494" hidden="1">
      <c r="E21494" s="96"/>
    </row>
    <row r="21495" hidden="1">
      <c r="E21495" s="96"/>
    </row>
    <row r="21496" hidden="1">
      <c r="E21496" s="96"/>
    </row>
    <row r="21497" hidden="1">
      <c r="E21497" s="96"/>
    </row>
    <row r="21498" hidden="1">
      <c r="E21498" s="96"/>
    </row>
    <row r="21499" hidden="1">
      <c r="E21499" s="96"/>
    </row>
    <row r="21500" hidden="1">
      <c r="E21500" s="96"/>
    </row>
    <row r="21501" hidden="1">
      <c r="E21501" s="96"/>
    </row>
    <row r="21502" hidden="1">
      <c r="E21502" s="96"/>
    </row>
    <row r="21503" hidden="1">
      <c r="E21503" s="96"/>
    </row>
    <row r="21504" hidden="1">
      <c r="E21504" s="96"/>
    </row>
    <row r="21505" hidden="1">
      <c r="E21505" s="96"/>
    </row>
    <row r="21506" hidden="1">
      <c r="E21506" s="96"/>
    </row>
    <row r="21507" hidden="1">
      <c r="E21507" s="96"/>
    </row>
    <row r="21508" hidden="1">
      <c r="E21508" s="96"/>
    </row>
    <row r="21509" hidden="1">
      <c r="E21509" s="96"/>
    </row>
    <row r="21510" hidden="1">
      <c r="E21510" s="96"/>
    </row>
    <row r="21511" hidden="1">
      <c r="E21511" s="96"/>
    </row>
    <row r="21512" hidden="1">
      <c r="E21512" s="96"/>
    </row>
    <row r="21513" hidden="1">
      <c r="E21513" s="96"/>
    </row>
    <row r="21514" hidden="1">
      <c r="E21514" s="96"/>
    </row>
    <row r="21515" hidden="1">
      <c r="E21515" s="96"/>
    </row>
    <row r="21516" hidden="1">
      <c r="E21516" s="96"/>
    </row>
    <row r="21517" hidden="1">
      <c r="E21517" s="96"/>
    </row>
    <row r="21518" hidden="1">
      <c r="E21518" s="96"/>
    </row>
    <row r="21519" hidden="1">
      <c r="E21519" s="96"/>
    </row>
    <row r="21520" hidden="1">
      <c r="E21520" s="96"/>
    </row>
    <row r="21521" hidden="1">
      <c r="E21521" s="96"/>
    </row>
    <row r="21522" hidden="1">
      <c r="E21522" s="96"/>
    </row>
    <row r="21523" hidden="1">
      <c r="E21523" s="96"/>
    </row>
    <row r="21524" hidden="1">
      <c r="E21524" s="96"/>
    </row>
    <row r="21525" hidden="1">
      <c r="E21525" s="96"/>
    </row>
    <row r="21526" hidden="1">
      <c r="E21526" s="96"/>
    </row>
    <row r="21527" hidden="1">
      <c r="E21527" s="96"/>
    </row>
    <row r="21528" hidden="1">
      <c r="E21528" s="96"/>
    </row>
    <row r="21529" hidden="1">
      <c r="E21529" s="96"/>
    </row>
    <row r="21530" hidden="1">
      <c r="E21530" s="96"/>
    </row>
    <row r="21531" hidden="1">
      <c r="E21531" s="96"/>
    </row>
    <row r="21532" hidden="1">
      <c r="E21532" s="96"/>
    </row>
    <row r="21533" hidden="1">
      <c r="E21533" s="96"/>
    </row>
    <row r="21534" hidden="1">
      <c r="E21534" s="96"/>
    </row>
    <row r="21535" hidden="1">
      <c r="E21535" s="96"/>
    </row>
    <row r="21536" hidden="1">
      <c r="E21536" s="96"/>
    </row>
    <row r="21537" hidden="1">
      <c r="E21537" s="96"/>
    </row>
    <row r="21538" hidden="1">
      <c r="E21538" s="96"/>
    </row>
    <row r="21539" hidden="1">
      <c r="E21539" s="96"/>
    </row>
    <row r="21540" hidden="1">
      <c r="E21540" s="96"/>
    </row>
    <row r="21541" hidden="1">
      <c r="E21541" s="96"/>
    </row>
    <row r="21542" hidden="1">
      <c r="E21542" s="96"/>
    </row>
    <row r="21543" hidden="1">
      <c r="E21543" s="96"/>
    </row>
    <row r="21544" hidden="1">
      <c r="E21544" s="96"/>
    </row>
    <row r="21545" hidden="1">
      <c r="E21545" s="96"/>
    </row>
    <row r="21546" hidden="1">
      <c r="E21546" s="96"/>
    </row>
    <row r="21547" hidden="1">
      <c r="E21547" s="96"/>
    </row>
    <row r="21548" hidden="1">
      <c r="E21548" s="96"/>
    </row>
    <row r="21549" hidden="1">
      <c r="E21549" s="96"/>
    </row>
    <row r="21550" hidden="1">
      <c r="E21550" s="96"/>
    </row>
    <row r="21551" hidden="1">
      <c r="E21551" s="96"/>
    </row>
    <row r="21552" hidden="1">
      <c r="E21552" s="96"/>
    </row>
    <row r="21553" hidden="1">
      <c r="E21553" s="96"/>
    </row>
    <row r="21554" hidden="1">
      <c r="E21554" s="96"/>
    </row>
    <row r="21555" hidden="1">
      <c r="E21555" s="96"/>
    </row>
    <row r="21556" hidden="1">
      <c r="E21556" s="96"/>
    </row>
    <row r="21557" hidden="1">
      <c r="E21557" s="96"/>
    </row>
    <row r="21558" hidden="1">
      <c r="E21558" s="96"/>
    </row>
    <row r="21559" hidden="1">
      <c r="E21559" s="96"/>
    </row>
    <row r="21560" hidden="1">
      <c r="E21560" s="96"/>
    </row>
    <row r="21561" hidden="1">
      <c r="E21561" s="96"/>
    </row>
    <row r="21562" hidden="1">
      <c r="E21562" s="96"/>
    </row>
    <row r="21563" hidden="1">
      <c r="E21563" s="96"/>
    </row>
    <row r="21564" hidden="1">
      <c r="E21564" s="96"/>
    </row>
    <row r="21565" hidden="1">
      <c r="E21565" s="96"/>
    </row>
    <row r="21566" hidden="1">
      <c r="E21566" s="96"/>
    </row>
    <row r="21567" hidden="1">
      <c r="E21567" s="96"/>
    </row>
    <row r="21568" hidden="1">
      <c r="E21568" s="96"/>
    </row>
    <row r="21569" hidden="1">
      <c r="E21569" s="96"/>
    </row>
    <row r="21570" hidden="1">
      <c r="E21570" s="96"/>
    </row>
    <row r="21571" hidden="1">
      <c r="E21571" s="96"/>
    </row>
    <row r="21572" hidden="1">
      <c r="E21572" s="96"/>
    </row>
    <row r="21573" hidden="1">
      <c r="E21573" s="96"/>
    </row>
    <row r="21574" hidden="1">
      <c r="E21574" s="96"/>
    </row>
    <row r="21575" hidden="1">
      <c r="E21575" s="96"/>
    </row>
    <row r="21576" hidden="1">
      <c r="E21576" s="96"/>
    </row>
    <row r="21577" hidden="1">
      <c r="E21577" s="96"/>
    </row>
    <row r="21578" hidden="1">
      <c r="E21578" s="96"/>
    </row>
    <row r="21579" hidden="1">
      <c r="E21579" s="96"/>
    </row>
    <row r="21580" hidden="1">
      <c r="E21580" s="96"/>
    </row>
    <row r="21581" hidden="1">
      <c r="E21581" s="96"/>
    </row>
    <row r="21582" hidden="1">
      <c r="E21582" s="96"/>
    </row>
    <row r="21583" hidden="1">
      <c r="E21583" s="96"/>
    </row>
    <row r="21584" hidden="1">
      <c r="E21584" s="96"/>
    </row>
    <row r="21585" hidden="1">
      <c r="E21585" s="96"/>
    </row>
    <row r="21586" hidden="1">
      <c r="E21586" s="96"/>
    </row>
    <row r="21587" hidden="1">
      <c r="E21587" s="96"/>
    </row>
    <row r="21588" hidden="1">
      <c r="E21588" s="96"/>
    </row>
    <row r="21589" hidden="1">
      <c r="E21589" s="96"/>
    </row>
    <row r="21590" hidden="1">
      <c r="E21590" s="96"/>
    </row>
    <row r="21591" hidden="1">
      <c r="E21591" s="96"/>
    </row>
    <row r="21592" hidden="1">
      <c r="E21592" s="96"/>
    </row>
    <row r="21593" hidden="1">
      <c r="E21593" s="96"/>
    </row>
    <row r="21594" hidden="1">
      <c r="E21594" s="96"/>
    </row>
    <row r="21595" hidden="1">
      <c r="E21595" s="96"/>
    </row>
    <row r="21596" hidden="1">
      <c r="E21596" s="96"/>
    </row>
    <row r="21597" hidden="1">
      <c r="E21597" s="96"/>
    </row>
    <row r="21598" hidden="1">
      <c r="E21598" s="96"/>
    </row>
    <row r="21599" hidden="1">
      <c r="E21599" s="96"/>
    </row>
    <row r="21600" hidden="1">
      <c r="E21600" s="96"/>
    </row>
    <row r="21601" hidden="1">
      <c r="E21601" s="96"/>
    </row>
    <row r="21602" hidden="1">
      <c r="E21602" s="96"/>
    </row>
    <row r="21603" hidden="1">
      <c r="E21603" s="96"/>
    </row>
    <row r="21604" hidden="1">
      <c r="E21604" s="96"/>
    </row>
    <row r="21605" hidden="1">
      <c r="E21605" s="96"/>
    </row>
    <row r="21606" hidden="1">
      <c r="E21606" s="96"/>
    </row>
    <row r="21607" hidden="1">
      <c r="E21607" s="96"/>
    </row>
    <row r="21608" hidden="1">
      <c r="E21608" s="96"/>
    </row>
    <row r="21609" hidden="1">
      <c r="E21609" s="96"/>
    </row>
    <row r="21610" hidden="1">
      <c r="E21610" s="96"/>
    </row>
    <row r="21611" hidden="1">
      <c r="E21611" s="96"/>
    </row>
    <row r="21612" hidden="1">
      <c r="E21612" s="96"/>
    </row>
    <row r="21613" hidden="1">
      <c r="E21613" s="96"/>
    </row>
    <row r="21614" hidden="1">
      <c r="E21614" s="96"/>
    </row>
    <row r="21615" hidden="1">
      <c r="E21615" s="96"/>
    </row>
    <row r="21616" hidden="1">
      <c r="E21616" s="96"/>
    </row>
    <row r="21617" hidden="1">
      <c r="E21617" s="96"/>
    </row>
    <row r="21618" hidden="1">
      <c r="E21618" s="96"/>
    </row>
    <row r="21619" hidden="1">
      <c r="E21619" s="96"/>
    </row>
    <row r="21620" hidden="1">
      <c r="E21620" s="96"/>
    </row>
    <row r="21621" hidden="1">
      <c r="E21621" s="96"/>
    </row>
    <row r="21622" hidden="1">
      <c r="E21622" s="96"/>
    </row>
    <row r="21623" hidden="1">
      <c r="E21623" s="96"/>
    </row>
    <row r="21624" hidden="1">
      <c r="E21624" s="96"/>
    </row>
    <row r="21625" hidden="1">
      <c r="E21625" s="96"/>
    </row>
    <row r="21626" hidden="1">
      <c r="E21626" s="96"/>
    </row>
    <row r="21627" hidden="1">
      <c r="E21627" s="96"/>
    </row>
    <row r="21628" hidden="1">
      <c r="E21628" s="96"/>
    </row>
    <row r="21629" hidden="1">
      <c r="E21629" s="96"/>
    </row>
    <row r="21630" hidden="1">
      <c r="E21630" s="96"/>
    </row>
    <row r="21631" hidden="1">
      <c r="E21631" s="96"/>
    </row>
    <row r="21632" hidden="1">
      <c r="E21632" s="96"/>
    </row>
    <row r="21633" hidden="1">
      <c r="E21633" s="96"/>
    </row>
    <row r="21634" hidden="1">
      <c r="E21634" s="96"/>
    </row>
    <row r="21635" hidden="1">
      <c r="E21635" s="96"/>
    </row>
    <row r="21636" hidden="1">
      <c r="E21636" s="96"/>
    </row>
    <row r="21637" hidden="1">
      <c r="E21637" s="96"/>
    </row>
    <row r="21638" hidden="1">
      <c r="E21638" s="96"/>
    </row>
    <row r="21639" hidden="1">
      <c r="E21639" s="96"/>
    </row>
    <row r="21640" hidden="1">
      <c r="E21640" s="96"/>
    </row>
    <row r="21641" hidden="1">
      <c r="E21641" s="96"/>
    </row>
    <row r="21642" hidden="1">
      <c r="E21642" s="96"/>
    </row>
    <row r="21643" hidden="1">
      <c r="E21643" s="96"/>
    </row>
    <row r="21644" hidden="1">
      <c r="E21644" s="96"/>
    </row>
    <row r="21645" hidden="1">
      <c r="E21645" s="96"/>
    </row>
    <row r="21646" hidden="1">
      <c r="E21646" s="96"/>
    </row>
    <row r="21647" hidden="1">
      <c r="E21647" s="96"/>
    </row>
    <row r="21648" hidden="1">
      <c r="E21648" s="96"/>
    </row>
    <row r="21649" hidden="1">
      <c r="E21649" s="96"/>
    </row>
    <row r="21650" hidden="1">
      <c r="E21650" s="96"/>
    </row>
    <row r="21651" hidden="1">
      <c r="E21651" s="96"/>
    </row>
    <row r="21652" hidden="1">
      <c r="E21652" s="96"/>
    </row>
    <row r="21653" hidden="1">
      <c r="E21653" s="96"/>
    </row>
    <row r="21654" hidden="1">
      <c r="E21654" s="96"/>
    </row>
    <row r="21655" hidden="1">
      <c r="E21655" s="96"/>
    </row>
    <row r="21656" hidden="1">
      <c r="E21656" s="96"/>
    </row>
    <row r="21657" hidden="1">
      <c r="E21657" s="96"/>
    </row>
    <row r="21658" hidden="1">
      <c r="E21658" s="96"/>
    </row>
    <row r="21659" hidden="1">
      <c r="E21659" s="96"/>
    </row>
    <row r="21660" hidden="1">
      <c r="E21660" s="96"/>
    </row>
    <row r="21661" hidden="1">
      <c r="E21661" s="96"/>
    </row>
    <row r="21662" hidden="1">
      <c r="E21662" s="96"/>
    </row>
    <row r="21663" hidden="1">
      <c r="E21663" s="96"/>
    </row>
    <row r="21664" hidden="1">
      <c r="E21664" s="96"/>
    </row>
    <row r="21665" hidden="1">
      <c r="E21665" s="96"/>
    </row>
    <row r="21666" hidden="1">
      <c r="E21666" s="96"/>
    </row>
    <row r="21667" hidden="1">
      <c r="E21667" s="96"/>
    </row>
    <row r="21668" hidden="1">
      <c r="E21668" s="96"/>
    </row>
    <row r="21669" hidden="1">
      <c r="E21669" s="96"/>
    </row>
    <row r="21670" hidden="1">
      <c r="E21670" s="96"/>
    </row>
    <row r="21671" hidden="1">
      <c r="E21671" s="96"/>
    </row>
    <row r="21672" hidden="1">
      <c r="E21672" s="96"/>
    </row>
    <row r="21673" hidden="1">
      <c r="E21673" s="96"/>
    </row>
    <row r="21674" hidden="1">
      <c r="E21674" s="96"/>
    </row>
    <row r="21675" hidden="1">
      <c r="E21675" s="96"/>
    </row>
    <row r="21676" hidden="1">
      <c r="E21676" s="96"/>
    </row>
    <row r="21677" hidden="1">
      <c r="E21677" s="96"/>
    </row>
    <row r="21678" hidden="1">
      <c r="E21678" s="96"/>
    </row>
    <row r="21679" hidden="1">
      <c r="E21679" s="96"/>
    </row>
    <row r="21680" hidden="1">
      <c r="E21680" s="96"/>
    </row>
    <row r="21681" hidden="1">
      <c r="E21681" s="96"/>
    </row>
    <row r="21682" hidden="1">
      <c r="E21682" s="96"/>
    </row>
    <row r="21683" hidden="1">
      <c r="E21683" s="96"/>
    </row>
    <row r="21684" hidden="1">
      <c r="E21684" s="96"/>
    </row>
    <row r="21685" hidden="1">
      <c r="E21685" s="96"/>
    </row>
    <row r="21686" hidden="1">
      <c r="E21686" s="96"/>
    </row>
    <row r="21687" hidden="1">
      <c r="E21687" s="96"/>
    </row>
    <row r="21688" hidden="1">
      <c r="E21688" s="96"/>
    </row>
    <row r="21689" hidden="1">
      <c r="E21689" s="96"/>
    </row>
    <row r="21690" hidden="1">
      <c r="E21690" s="96"/>
    </row>
    <row r="21691" hidden="1">
      <c r="E21691" s="96"/>
    </row>
    <row r="21692" hidden="1">
      <c r="E21692" s="96"/>
    </row>
    <row r="21693" hidden="1">
      <c r="E21693" s="96"/>
    </row>
    <row r="21694" hidden="1">
      <c r="E21694" s="96"/>
    </row>
    <row r="21695" hidden="1">
      <c r="E21695" s="96"/>
    </row>
    <row r="21696" hidden="1">
      <c r="E21696" s="96"/>
    </row>
    <row r="21697" hidden="1">
      <c r="E21697" s="96"/>
    </row>
    <row r="21698" hidden="1">
      <c r="E21698" s="96"/>
    </row>
    <row r="21699" hidden="1">
      <c r="E21699" s="96"/>
    </row>
    <row r="21700" hidden="1">
      <c r="E21700" s="96"/>
    </row>
    <row r="21701" hidden="1">
      <c r="E21701" s="96"/>
    </row>
    <row r="21702" hidden="1">
      <c r="E21702" s="96"/>
    </row>
    <row r="21703" hidden="1">
      <c r="E21703" s="96"/>
    </row>
    <row r="21704" hidden="1">
      <c r="E21704" s="96"/>
    </row>
    <row r="21705" hidden="1">
      <c r="E21705" s="96"/>
    </row>
    <row r="21706" hidden="1">
      <c r="E21706" s="96"/>
    </row>
    <row r="21707" hidden="1">
      <c r="E21707" s="96"/>
    </row>
    <row r="21708" hidden="1">
      <c r="E21708" s="96"/>
    </row>
    <row r="21709" hidden="1">
      <c r="E21709" s="96"/>
    </row>
    <row r="21710" hidden="1">
      <c r="E21710" s="96"/>
    </row>
    <row r="21711" hidden="1">
      <c r="E21711" s="96"/>
    </row>
    <row r="21712" hidden="1">
      <c r="E21712" s="96"/>
    </row>
    <row r="21713" hidden="1">
      <c r="E21713" s="96"/>
    </row>
    <row r="21714" hidden="1">
      <c r="E21714" s="96"/>
    </row>
    <row r="21715" hidden="1">
      <c r="E21715" s="96"/>
    </row>
    <row r="21716" hidden="1">
      <c r="E21716" s="96"/>
    </row>
    <row r="21717" hidden="1">
      <c r="E21717" s="96"/>
    </row>
    <row r="21718" hidden="1">
      <c r="E21718" s="96"/>
    </row>
    <row r="21719" hidden="1">
      <c r="E21719" s="96"/>
    </row>
    <row r="21720" hidden="1">
      <c r="E21720" s="96"/>
    </row>
    <row r="21721" hidden="1">
      <c r="E21721" s="96"/>
    </row>
    <row r="21722" hidden="1">
      <c r="E21722" s="96"/>
    </row>
    <row r="21723" hidden="1">
      <c r="E21723" s="96"/>
    </row>
    <row r="21724" hidden="1">
      <c r="E21724" s="96"/>
    </row>
    <row r="21725" hidden="1">
      <c r="E21725" s="96"/>
    </row>
    <row r="21726" hidden="1">
      <c r="E21726" s="96"/>
    </row>
    <row r="21727" hidden="1">
      <c r="E21727" s="96"/>
    </row>
    <row r="21728" hidden="1">
      <c r="E21728" s="96"/>
    </row>
    <row r="21729" hidden="1">
      <c r="E21729" s="96"/>
    </row>
    <row r="21730" hidden="1">
      <c r="E21730" s="96"/>
    </row>
    <row r="21731" hidden="1">
      <c r="E21731" s="96"/>
    </row>
    <row r="21732" hidden="1">
      <c r="E21732" s="96"/>
    </row>
    <row r="21733" hidden="1">
      <c r="E21733" s="96"/>
    </row>
    <row r="21734" hidden="1">
      <c r="E21734" s="96"/>
    </row>
    <row r="21735" hidden="1">
      <c r="E21735" s="96"/>
    </row>
    <row r="21736" hidden="1">
      <c r="E21736" s="96"/>
    </row>
    <row r="21737" hidden="1">
      <c r="E21737" s="96"/>
    </row>
    <row r="21738" hidden="1">
      <c r="E21738" s="96"/>
    </row>
    <row r="21739" hidden="1">
      <c r="E21739" s="96"/>
    </row>
    <row r="21740" hidden="1">
      <c r="E21740" s="96"/>
    </row>
    <row r="21741" hidden="1">
      <c r="E21741" s="96"/>
    </row>
    <row r="21742" hidden="1">
      <c r="E21742" s="96"/>
    </row>
    <row r="21743" hidden="1">
      <c r="E21743" s="96"/>
    </row>
    <row r="21744" hidden="1">
      <c r="E21744" s="96"/>
    </row>
    <row r="21745" hidden="1">
      <c r="E21745" s="96"/>
    </row>
    <row r="21746" hidden="1">
      <c r="E21746" s="96"/>
    </row>
    <row r="21747" hidden="1">
      <c r="E21747" s="96"/>
    </row>
    <row r="21748" hidden="1">
      <c r="E21748" s="96"/>
    </row>
    <row r="21749" hidden="1">
      <c r="E21749" s="96"/>
    </row>
    <row r="21750" hidden="1">
      <c r="E21750" s="96"/>
    </row>
    <row r="21751" hidden="1">
      <c r="E21751" s="96"/>
    </row>
    <row r="21752" hidden="1">
      <c r="E21752" s="96"/>
    </row>
    <row r="21753" hidden="1">
      <c r="E21753" s="96"/>
    </row>
    <row r="21754" hidden="1">
      <c r="E21754" s="96"/>
    </row>
    <row r="21755" hidden="1">
      <c r="E21755" s="96"/>
    </row>
    <row r="21756" hidden="1">
      <c r="E21756" s="96"/>
    </row>
    <row r="21757" hidden="1">
      <c r="E21757" s="96"/>
    </row>
    <row r="21758" hidden="1">
      <c r="E21758" s="96"/>
    </row>
    <row r="21759" hidden="1">
      <c r="E21759" s="96"/>
    </row>
    <row r="21760" hidden="1">
      <c r="E21760" s="96"/>
    </row>
    <row r="21761" hidden="1">
      <c r="E21761" s="96"/>
    </row>
    <row r="21762" hidden="1">
      <c r="E21762" s="96"/>
    </row>
    <row r="21763" hidden="1">
      <c r="E21763" s="96"/>
    </row>
    <row r="21764" hidden="1">
      <c r="E21764" s="96"/>
    </row>
    <row r="21765" hidden="1">
      <c r="E21765" s="96"/>
    </row>
    <row r="21766" hidden="1">
      <c r="E21766" s="96"/>
    </row>
    <row r="21767" hidden="1">
      <c r="E21767" s="96"/>
    </row>
    <row r="21768" hidden="1">
      <c r="E21768" s="96"/>
    </row>
    <row r="21769" hidden="1">
      <c r="E21769" s="96"/>
    </row>
    <row r="21770" hidden="1">
      <c r="E21770" s="96"/>
    </row>
    <row r="21771" hidden="1">
      <c r="E21771" s="96"/>
    </row>
    <row r="21772" hidden="1">
      <c r="E21772" s="96"/>
    </row>
    <row r="21773" hidden="1">
      <c r="E21773" s="96"/>
    </row>
    <row r="21774" hidden="1">
      <c r="E21774" s="96"/>
    </row>
    <row r="21775" hidden="1">
      <c r="E21775" s="96"/>
    </row>
    <row r="21776" hidden="1">
      <c r="E21776" s="96"/>
    </row>
    <row r="21777" hidden="1">
      <c r="E21777" s="96"/>
    </row>
    <row r="21778" hidden="1">
      <c r="E21778" s="96"/>
    </row>
    <row r="21779" hidden="1">
      <c r="E21779" s="96"/>
    </row>
    <row r="21780" hidden="1">
      <c r="E21780" s="96"/>
    </row>
    <row r="21781" hidden="1">
      <c r="E21781" s="96"/>
    </row>
    <row r="21782" hidden="1">
      <c r="E21782" s="96"/>
    </row>
    <row r="21783" hidden="1">
      <c r="E21783" s="96"/>
    </row>
    <row r="21784" hidden="1">
      <c r="E21784" s="96"/>
    </row>
    <row r="21785" hidden="1">
      <c r="E21785" s="96"/>
    </row>
    <row r="21786" hidden="1">
      <c r="E21786" s="96"/>
    </row>
    <row r="21787" hidden="1">
      <c r="E21787" s="96"/>
    </row>
    <row r="21788" hidden="1">
      <c r="E21788" s="96"/>
    </row>
    <row r="21789" hidden="1">
      <c r="E21789" s="96"/>
    </row>
    <row r="21790" hidden="1">
      <c r="E21790" s="96"/>
    </row>
    <row r="21791" hidden="1">
      <c r="E21791" s="96"/>
    </row>
    <row r="21792" hidden="1">
      <c r="E21792" s="96"/>
    </row>
    <row r="21793" hidden="1">
      <c r="E21793" s="96"/>
    </row>
    <row r="21794" hidden="1">
      <c r="E21794" s="96"/>
    </row>
    <row r="21795" hidden="1">
      <c r="E21795" s="96"/>
    </row>
    <row r="21796" hidden="1">
      <c r="E21796" s="96"/>
    </row>
    <row r="21797" hidden="1">
      <c r="E21797" s="96"/>
    </row>
    <row r="21798" hidden="1">
      <c r="E21798" s="96"/>
    </row>
    <row r="21799" hidden="1">
      <c r="E21799" s="96"/>
    </row>
    <row r="21800" hidden="1">
      <c r="E21800" s="96"/>
    </row>
    <row r="21801" hidden="1">
      <c r="E21801" s="96"/>
    </row>
    <row r="21802" hidden="1">
      <c r="E21802" s="96"/>
    </row>
    <row r="21803" hidden="1">
      <c r="E21803" s="96"/>
    </row>
    <row r="21804" hidden="1">
      <c r="E21804" s="96"/>
    </row>
    <row r="21805" hidden="1">
      <c r="E21805" s="96"/>
    </row>
    <row r="21806" hidden="1">
      <c r="E21806" s="96"/>
    </row>
    <row r="21807" hidden="1">
      <c r="E21807" s="96"/>
    </row>
    <row r="21808" hidden="1">
      <c r="E21808" s="96"/>
    </row>
    <row r="21809" hidden="1">
      <c r="E21809" s="96"/>
    </row>
    <row r="21810" hidden="1">
      <c r="E21810" s="96"/>
    </row>
    <row r="21811" hidden="1">
      <c r="E21811" s="96"/>
    </row>
    <row r="21812" hidden="1">
      <c r="E21812" s="96"/>
    </row>
    <row r="21813" hidden="1">
      <c r="E21813" s="96"/>
    </row>
    <row r="21814" hidden="1">
      <c r="E21814" s="96"/>
    </row>
    <row r="21815" hidden="1">
      <c r="E21815" s="96"/>
    </row>
    <row r="21816" hidden="1">
      <c r="E21816" s="96"/>
    </row>
    <row r="21817" hidden="1">
      <c r="E21817" s="96"/>
    </row>
    <row r="21818" hidden="1">
      <c r="E21818" s="96"/>
    </row>
    <row r="21819" hidden="1">
      <c r="E21819" s="96"/>
    </row>
    <row r="21820" hidden="1">
      <c r="E21820" s="96"/>
    </row>
    <row r="21821" hidden="1">
      <c r="E21821" s="96"/>
    </row>
    <row r="21822" hidden="1">
      <c r="E21822" s="96"/>
    </row>
    <row r="21823" hidden="1">
      <c r="E21823" s="96"/>
    </row>
    <row r="21824" hidden="1">
      <c r="E21824" s="96"/>
    </row>
    <row r="21825" hidden="1">
      <c r="E21825" s="96"/>
    </row>
    <row r="21826" hidden="1">
      <c r="E21826" s="96"/>
    </row>
    <row r="21827" hidden="1">
      <c r="E21827" s="96"/>
    </row>
    <row r="21828" hidden="1">
      <c r="E21828" s="96"/>
    </row>
    <row r="21829" hidden="1">
      <c r="E21829" s="96"/>
    </row>
    <row r="21830" hidden="1">
      <c r="E21830" s="96"/>
    </row>
    <row r="21831" hidden="1">
      <c r="E21831" s="96"/>
    </row>
    <row r="21832" hidden="1">
      <c r="E21832" s="96"/>
    </row>
    <row r="21833" hidden="1">
      <c r="E21833" s="96"/>
    </row>
    <row r="21834" hidden="1">
      <c r="E21834" s="96"/>
    </row>
    <row r="21835" hidden="1">
      <c r="E21835" s="96"/>
    </row>
    <row r="21836" hidden="1">
      <c r="E21836" s="96"/>
    </row>
    <row r="21837" hidden="1">
      <c r="E21837" s="96"/>
    </row>
    <row r="21838" hidden="1">
      <c r="E21838" s="96"/>
    </row>
    <row r="21839" hidden="1">
      <c r="E21839" s="96"/>
    </row>
    <row r="21840" hidden="1">
      <c r="E21840" s="96"/>
    </row>
    <row r="21841" hidden="1">
      <c r="E21841" s="96"/>
    </row>
    <row r="21842" hidden="1">
      <c r="E21842" s="96"/>
    </row>
    <row r="21843" hidden="1">
      <c r="E21843" s="96"/>
    </row>
    <row r="21844" hidden="1">
      <c r="E21844" s="96"/>
    </row>
    <row r="21845" hidden="1">
      <c r="E21845" s="96"/>
    </row>
    <row r="21846" hidden="1">
      <c r="E21846" s="96"/>
    </row>
    <row r="21847" hidden="1">
      <c r="E21847" s="96"/>
    </row>
    <row r="21848" hidden="1">
      <c r="E21848" s="96"/>
    </row>
    <row r="21849" hidden="1">
      <c r="E21849" s="96"/>
    </row>
    <row r="21850" hidden="1">
      <c r="E21850" s="96"/>
    </row>
    <row r="21851" hidden="1">
      <c r="E21851" s="96"/>
    </row>
    <row r="21852" hidden="1">
      <c r="E21852" s="96"/>
    </row>
    <row r="21853" hidden="1">
      <c r="E21853" s="96"/>
    </row>
    <row r="21854" hidden="1">
      <c r="E21854" s="96"/>
    </row>
    <row r="21855" hidden="1">
      <c r="E21855" s="96"/>
    </row>
    <row r="21856" hidden="1">
      <c r="E21856" s="96"/>
    </row>
    <row r="21857" hidden="1">
      <c r="E21857" s="96"/>
    </row>
    <row r="21858" hidden="1">
      <c r="E21858" s="96"/>
    </row>
    <row r="21859" hidden="1">
      <c r="E21859" s="96"/>
    </row>
    <row r="21860" hidden="1">
      <c r="E21860" s="96"/>
    </row>
    <row r="21861" hidden="1">
      <c r="E21861" s="96"/>
    </row>
    <row r="21862" hidden="1">
      <c r="E21862" s="96"/>
    </row>
    <row r="21863" hidden="1">
      <c r="E21863" s="96"/>
    </row>
    <row r="21864" hidden="1">
      <c r="E21864" s="96"/>
    </row>
    <row r="21865" hidden="1">
      <c r="E21865" s="96"/>
    </row>
    <row r="21866" hidden="1">
      <c r="E21866" s="96"/>
    </row>
    <row r="21867" hidden="1">
      <c r="E21867" s="96"/>
    </row>
    <row r="21868" hidden="1">
      <c r="E21868" s="96"/>
    </row>
    <row r="21869" hidden="1">
      <c r="E21869" s="96"/>
    </row>
    <row r="21870" hidden="1">
      <c r="E21870" s="96"/>
    </row>
    <row r="21871" hidden="1">
      <c r="E21871" s="96"/>
    </row>
    <row r="21872" hidden="1">
      <c r="E21872" s="96"/>
    </row>
    <row r="21873" hidden="1">
      <c r="E21873" s="96"/>
    </row>
    <row r="21874" hidden="1">
      <c r="E21874" s="96"/>
    </row>
    <row r="21875" hidden="1">
      <c r="E21875" s="96"/>
    </row>
    <row r="21876" hidden="1">
      <c r="E21876" s="96"/>
    </row>
    <row r="21877" hidden="1">
      <c r="E21877" s="96"/>
    </row>
    <row r="21878" hidden="1">
      <c r="E21878" s="96"/>
    </row>
    <row r="21879" hidden="1">
      <c r="E21879" s="96"/>
    </row>
    <row r="21880" hidden="1">
      <c r="E21880" s="96"/>
    </row>
    <row r="21881" hidden="1">
      <c r="E21881" s="96"/>
    </row>
    <row r="21882" hidden="1">
      <c r="E21882" s="96"/>
    </row>
    <row r="21883" hidden="1">
      <c r="E21883" s="96"/>
    </row>
    <row r="21884" hidden="1">
      <c r="E21884" s="96"/>
    </row>
    <row r="21885" hidden="1">
      <c r="E21885" s="96"/>
    </row>
    <row r="21886" hidden="1">
      <c r="E21886" s="96"/>
    </row>
    <row r="21887" hidden="1">
      <c r="E21887" s="96"/>
    </row>
    <row r="21888" hidden="1">
      <c r="E21888" s="96"/>
    </row>
    <row r="21889" hidden="1">
      <c r="E21889" s="96"/>
    </row>
    <row r="21890" hidden="1">
      <c r="E21890" s="96"/>
    </row>
    <row r="21891" hidden="1">
      <c r="E21891" s="96"/>
    </row>
    <row r="21892" hidden="1">
      <c r="E21892" s="96"/>
    </row>
    <row r="21893" hidden="1">
      <c r="E21893" s="96"/>
    </row>
    <row r="21894" hidden="1">
      <c r="E21894" s="96"/>
    </row>
    <row r="21895" hidden="1">
      <c r="E21895" s="96"/>
    </row>
    <row r="21896" hidden="1">
      <c r="E21896" s="96"/>
    </row>
    <row r="21897" hidden="1">
      <c r="E21897" s="96"/>
    </row>
    <row r="21898" hidden="1">
      <c r="E21898" s="96"/>
    </row>
    <row r="21899" hidden="1">
      <c r="E21899" s="96"/>
    </row>
    <row r="21900" hidden="1">
      <c r="E21900" s="96"/>
    </row>
    <row r="21901" hidden="1">
      <c r="E21901" s="96"/>
    </row>
    <row r="21902" hidden="1">
      <c r="E21902" s="96"/>
    </row>
    <row r="21903" hidden="1">
      <c r="E21903" s="96"/>
    </row>
    <row r="21904" hidden="1">
      <c r="E21904" s="96"/>
    </row>
    <row r="21905" hidden="1">
      <c r="E21905" s="96"/>
    </row>
    <row r="21906" hidden="1">
      <c r="E21906" s="96"/>
    </row>
    <row r="21907" hidden="1">
      <c r="E21907" s="96"/>
    </row>
    <row r="21908" hidden="1">
      <c r="E21908" s="96"/>
    </row>
    <row r="21909" hidden="1">
      <c r="E21909" s="96"/>
    </row>
    <row r="21910" hidden="1">
      <c r="E21910" s="96"/>
    </row>
    <row r="21911" hidden="1">
      <c r="E21911" s="96"/>
    </row>
    <row r="21912" hidden="1">
      <c r="E21912" s="96"/>
    </row>
    <row r="21913" hidden="1">
      <c r="E21913" s="96"/>
    </row>
    <row r="21914" hidden="1">
      <c r="E21914" s="96"/>
    </row>
    <row r="21915" hidden="1">
      <c r="E21915" s="96"/>
    </row>
    <row r="21916" hidden="1">
      <c r="E21916" s="96"/>
    </row>
    <row r="21917" hidden="1">
      <c r="E21917" s="96"/>
    </row>
    <row r="21918" hidden="1">
      <c r="E21918" s="96"/>
    </row>
    <row r="21919" hidden="1">
      <c r="E21919" s="96"/>
    </row>
    <row r="21920" hidden="1">
      <c r="E21920" s="96"/>
    </row>
    <row r="21921" hidden="1">
      <c r="E21921" s="96"/>
    </row>
    <row r="21922" hidden="1">
      <c r="E21922" s="96"/>
    </row>
    <row r="21923" hidden="1">
      <c r="E21923" s="96"/>
    </row>
    <row r="21924" hidden="1">
      <c r="E21924" s="96"/>
    </row>
    <row r="21925" hidden="1">
      <c r="E21925" s="96"/>
    </row>
    <row r="21926" hidden="1">
      <c r="E21926" s="96"/>
    </row>
    <row r="21927" hidden="1">
      <c r="E21927" s="96"/>
    </row>
    <row r="21928" hidden="1">
      <c r="E21928" s="96"/>
    </row>
    <row r="21929" hidden="1">
      <c r="E21929" s="96"/>
    </row>
    <row r="21930" hidden="1">
      <c r="E21930" s="96"/>
    </row>
    <row r="21931" hidden="1">
      <c r="E21931" s="96"/>
    </row>
    <row r="21932" hidden="1">
      <c r="E21932" s="96"/>
    </row>
    <row r="21933" hidden="1">
      <c r="E21933" s="96"/>
    </row>
    <row r="21934" hidden="1">
      <c r="E21934" s="96"/>
    </row>
    <row r="21935" hidden="1">
      <c r="E21935" s="96"/>
    </row>
    <row r="21936" hidden="1">
      <c r="E21936" s="96"/>
    </row>
    <row r="21937" hidden="1">
      <c r="E21937" s="96"/>
    </row>
    <row r="21938" hidden="1">
      <c r="E21938" s="96"/>
    </row>
    <row r="21939" hidden="1">
      <c r="E21939" s="96"/>
    </row>
    <row r="21940" hidden="1">
      <c r="E21940" s="96"/>
    </row>
    <row r="21941" hidden="1">
      <c r="E21941" s="96"/>
    </row>
    <row r="21942" hidden="1">
      <c r="E21942" s="96"/>
    </row>
    <row r="21943" hidden="1">
      <c r="E21943" s="96"/>
    </row>
    <row r="21944" hidden="1">
      <c r="E21944" s="96"/>
    </row>
    <row r="21945" hidden="1">
      <c r="E21945" s="96"/>
    </row>
    <row r="21946" hidden="1">
      <c r="E21946" s="96"/>
    </row>
    <row r="21947" hidden="1">
      <c r="E21947" s="96"/>
    </row>
    <row r="21948" hidden="1">
      <c r="E21948" s="96"/>
    </row>
    <row r="21949" hidden="1">
      <c r="E21949" s="96"/>
    </row>
    <row r="21950" hidden="1">
      <c r="E21950" s="96"/>
    </row>
    <row r="21951" hidden="1">
      <c r="E21951" s="96"/>
    </row>
    <row r="21952" hidden="1">
      <c r="E21952" s="96"/>
    </row>
    <row r="21953" hidden="1">
      <c r="E21953" s="96"/>
    </row>
    <row r="21954" hidden="1">
      <c r="E21954" s="96"/>
    </row>
    <row r="21955" hidden="1">
      <c r="E21955" s="96"/>
    </row>
    <row r="21956" hidden="1">
      <c r="E21956" s="96"/>
    </row>
    <row r="21957" hidden="1">
      <c r="E21957" s="96"/>
    </row>
    <row r="21958" hidden="1">
      <c r="E21958" s="96"/>
    </row>
    <row r="21959" hidden="1">
      <c r="E21959" s="96"/>
    </row>
    <row r="21960" hidden="1">
      <c r="E21960" s="96"/>
    </row>
    <row r="21961" hidden="1">
      <c r="E21961" s="96"/>
    </row>
    <row r="21962" hidden="1">
      <c r="E21962" s="96"/>
    </row>
    <row r="21963" hidden="1">
      <c r="E21963" s="96"/>
    </row>
    <row r="21964" hidden="1">
      <c r="E21964" s="96"/>
    </row>
    <row r="21965" hidden="1">
      <c r="E21965" s="96"/>
    </row>
    <row r="21966" hidden="1">
      <c r="E21966" s="96"/>
    </row>
    <row r="21967" hidden="1">
      <c r="E21967" s="96"/>
    </row>
    <row r="21968" hidden="1">
      <c r="E21968" s="96"/>
    </row>
    <row r="21969" hidden="1">
      <c r="E21969" s="96"/>
    </row>
    <row r="21970" hidden="1">
      <c r="E21970" s="96"/>
    </row>
    <row r="21971" hidden="1">
      <c r="E21971" s="96"/>
    </row>
    <row r="21972" hidden="1">
      <c r="E21972" s="96"/>
    </row>
    <row r="21973" hidden="1">
      <c r="E21973" s="96"/>
    </row>
    <row r="21974" hidden="1">
      <c r="E21974" s="96"/>
    </row>
    <row r="21975" hidden="1">
      <c r="E21975" s="96"/>
    </row>
    <row r="21976" hidden="1">
      <c r="E21976" s="96"/>
    </row>
    <row r="21977" hidden="1">
      <c r="E21977" s="96"/>
    </row>
    <row r="21978" hidden="1">
      <c r="E21978" s="96"/>
    </row>
    <row r="21979" hidden="1">
      <c r="E21979" s="96"/>
    </row>
    <row r="21980" hidden="1">
      <c r="E21980" s="96"/>
    </row>
    <row r="21981" hidden="1">
      <c r="E21981" s="96"/>
    </row>
    <row r="21982" hidden="1">
      <c r="E21982" s="96"/>
    </row>
    <row r="21983" hidden="1">
      <c r="E21983" s="96"/>
    </row>
    <row r="21984" hidden="1">
      <c r="E21984" s="96"/>
    </row>
    <row r="21985" hidden="1">
      <c r="E21985" s="96"/>
    </row>
    <row r="21986" hidden="1">
      <c r="E21986" s="96"/>
    </row>
    <row r="21987" hidden="1">
      <c r="E21987" s="96"/>
    </row>
    <row r="21988" hidden="1">
      <c r="E21988" s="96"/>
    </row>
    <row r="21989" hidden="1">
      <c r="E21989" s="96"/>
    </row>
    <row r="21990" hidden="1">
      <c r="E21990" s="96"/>
    </row>
    <row r="21991" hidden="1">
      <c r="E21991" s="96"/>
    </row>
    <row r="21992" hidden="1">
      <c r="E21992" s="96"/>
    </row>
    <row r="21993" hidden="1">
      <c r="E21993" s="96"/>
    </row>
    <row r="21994" hidden="1">
      <c r="E21994" s="96"/>
    </row>
    <row r="21995" hidden="1">
      <c r="E21995" s="96"/>
    </row>
    <row r="21996" hidden="1">
      <c r="E21996" s="96"/>
    </row>
    <row r="21997" hidden="1">
      <c r="E21997" s="96"/>
    </row>
    <row r="21998" hidden="1">
      <c r="E21998" s="96"/>
    </row>
    <row r="21999" hidden="1">
      <c r="E21999" s="96"/>
    </row>
    <row r="22000" hidden="1">
      <c r="E22000" s="96"/>
    </row>
    <row r="22001" hidden="1">
      <c r="E22001" s="96"/>
    </row>
    <row r="22002" hidden="1">
      <c r="E22002" s="96"/>
    </row>
    <row r="22003" hidden="1">
      <c r="E22003" s="96"/>
    </row>
    <row r="22004" hidden="1">
      <c r="E22004" s="96"/>
    </row>
    <row r="22005" hidden="1">
      <c r="E22005" s="96"/>
    </row>
    <row r="22006" hidden="1">
      <c r="E22006" s="96"/>
    </row>
    <row r="22007" hidden="1">
      <c r="E22007" s="96"/>
    </row>
    <row r="22008" hidden="1">
      <c r="E22008" s="96"/>
    </row>
    <row r="22009" hidden="1">
      <c r="E22009" s="96"/>
    </row>
    <row r="22010" hidden="1">
      <c r="E22010" s="96"/>
    </row>
    <row r="22011" hidden="1">
      <c r="E22011" s="96"/>
    </row>
    <row r="22012" hidden="1">
      <c r="E22012" s="96"/>
    </row>
    <row r="22013" hidden="1">
      <c r="E22013" s="96"/>
    </row>
    <row r="22014" hidden="1">
      <c r="E22014" s="96"/>
    </row>
    <row r="22015" hidden="1">
      <c r="E22015" s="96"/>
    </row>
    <row r="22016" hidden="1">
      <c r="E22016" s="96"/>
    </row>
    <row r="22017" hidden="1">
      <c r="E22017" s="96"/>
    </row>
    <row r="22018" hidden="1">
      <c r="E22018" s="96"/>
    </row>
    <row r="22019" hidden="1">
      <c r="E22019" s="96"/>
    </row>
    <row r="22020" hidden="1">
      <c r="E22020" s="96"/>
    </row>
    <row r="22021" hidden="1">
      <c r="E22021" s="96"/>
    </row>
    <row r="22022" hidden="1">
      <c r="E22022" s="96"/>
    </row>
    <row r="22023" hidden="1">
      <c r="E22023" s="96"/>
    </row>
    <row r="22024" hidden="1">
      <c r="E22024" s="96"/>
    </row>
    <row r="22025" hidden="1">
      <c r="E22025" s="96"/>
    </row>
    <row r="22026" hidden="1">
      <c r="E22026" s="96"/>
    </row>
    <row r="22027" hidden="1">
      <c r="E22027" s="96"/>
    </row>
    <row r="22028" hidden="1">
      <c r="E22028" s="96"/>
    </row>
    <row r="22029" hidden="1">
      <c r="E22029" s="96"/>
    </row>
    <row r="22030" hidden="1">
      <c r="E22030" s="96"/>
    </row>
    <row r="22031" hidden="1">
      <c r="E22031" s="96"/>
    </row>
    <row r="22032" hidden="1">
      <c r="E22032" s="96"/>
    </row>
    <row r="22033" hidden="1">
      <c r="E22033" s="96"/>
    </row>
    <row r="22034" hidden="1">
      <c r="E22034" s="96"/>
    </row>
    <row r="22035" hidden="1">
      <c r="E22035" s="96"/>
    </row>
    <row r="22036" hidden="1">
      <c r="E22036" s="96"/>
    </row>
    <row r="22037" hidden="1">
      <c r="E22037" s="96"/>
    </row>
    <row r="22038" hidden="1">
      <c r="E22038" s="96"/>
    </row>
    <row r="22039" hidden="1">
      <c r="E22039" s="96"/>
    </row>
    <row r="22040" hidden="1">
      <c r="E22040" s="96"/>
    </row>
    <row r="22041" hidden="1">
      <c r="E22041" s="96"/>
    </row>
    <row r="22042" hidden="1">
      <c r="E22042" s="96"/>
    </row>
    <row r="22043" hidden="1">
      <c r="E22043" s="96"/>
    </row>
    <row r="22044" hidden="1">
      <c r="E22044" s="96"/>
    </row>
    <row r="22045" hidden="1">
      <c r="E22045" s="96"/>
    </row>
    <row r="22046" hidden="1">
      <c r="E22046" s="96"/>
    </row>
    <row r="22047" hidden="1">
      <c r="E22047" s="96"/>
    </row>
    <row r="22048" hidden="1">
      <c r="E22048" s="96"/>
    </row>
    <row r="22049" hidden="1">
      <c r="E22049" s="96"/>
    </row>
    <row r="22050" hidden="1">
      <c r="E22050" s="96"/>
    </row>
    <row r="22051" hidden="1">
      <c r="E22051" s="96"/>
    </row>
    <row r="22052" hidden="1">
      <c r="E22052" s="96"/>
    </row>
    <row r="22053" hidden="1">
      <c r="E22053" s="96"/>
    </row>
    <row r="22054" hidden="1">
      <c r="E22054" s="96"/>
    </row>
    <row r="22055" hidden="1">
      <c r="E22055" s="96"/>
    </row>
    <row r="22056" hidden="1">
      <c r="E22056" s="96"/>
    </row>
    <row r="22057" hidden="1">
      <c r="E22057" s="96"/>
    </row>
    <row r="22058" hidden="1">
      <c r="E22058" s="96"/>
    </row>
    <row r="22059" hidden="1">
      <c r="E22059" s="96"/>
    </row>
    <row r="22060" hidden="1">
      <c r="E22060" s="96"/>
    </row>
    <row r="22061" hidden="1">
      <c r="E22061" s="96"/>
    </row>
    <row r="22062" hidden="1">
      <c r="E22062" s="96"/>
    </row>
    <row r="22063" hidden="1">
      <c r="E22063" s="96"/>
    </row>
    <row r="22064" hidden="1">
      <c r="E22064" s="96"/>
    </row>
    <row r="22065" hidden="1">
      <c r="E22065" s="96"/>
    </row>
    <row r="22066" hidden="1">
      <c r="E22066" s="96"/>
    </row>
    <row r="22067" hidden="1">
      <c r="E22067" s="96"/>
    </row>
    <row r="22068" hidden="1">
      <c r="E22068" s="96"/>
    </row>
    <row r="22069" hidden="1">
      <c r="E22069" s="96"/>
    </row>
    <row r="22070" hidden="1">
      <c r="E22070" s="96"/>
    </row>
    <row r="22071" hidden="1">
      <c r="E22071" s="96"/>
    </row>
    <row r="22072" hidden="1">
      <c r="E22072" s="96"/>
    </row>
    <row r="22073" hidden="1">
      <c r="E22073" s="96"/>
    </row>
    <row r="22074" hidden="1">
      <c r="E22074" s="96"/>
    </row>
    <row r="22075" hidden="1">
      <c r="E22075" s="96"/>
    </row>
    <row r="22076" hidden="1">
      <c r="E22076" s="96"/>
    </row>
    <row r="22077" hidden="1">
      <c r="E22077" s="96"/>
    </row>
    <row r="22078" hidden="1">
      <c r="E22078" s="96"/>
    </row>
    <row r="22079" hidden="1">
      <c r="E22079" s="96"/>
    </row>
    <row r="22080" hidden="1">
      <c r="E22080" s="96"/>
    </row>
    <row r="22081" hidden="1">
      <c r="E22081" s="96"/>
    </row>
    <row r="22082" hidden="1">
      <c r="E22082" s="96"/>
    </row>
    <row r="22083" hidden="1">
      <c r="E22083" s="96"/>
    </row>
    <row r="22084" hidden="1">
      <c r="E22084" s="96"/>
    </row>
    <row r="22085" hidden="1">
      <c r="E22085" s="96"/>
    </row>
    <row r="22086" hidden="1">
      <c r="E22086" s="96"/>
    </row>
    <row r="22087" hidden="1">
      <c r="E22087" s="96"/>
    </row>
    <row r="22088" hidden="1">
      <c r="E22088" s="96"/>
    </row>
    <row r="22089" hidden="1">
      <c r="E22089" s="96"/>
    </row>
    <row r="22090" hidden="1">
      <c r="E22090" s="96"/>
    </row>
    <row r="22091" hidden="1">
      <c r="E22091" s="96"/>
    </row>
    <row r="22092" hidden="1">
      <c r="E22092" s="96"/>
    </row>
    <row r="22093" hidden="1">
      <c r="E22093" s="96"/>
    </row>
    <row r="22094" hidden="1">
      <c r="E22094" s="96"/>
    </row>
    <row r="22095" hidden="1">
      <c r="E22095" s="96"/>
    </row>
    <row r="22096" hidden="1">
      <c r="E22096" s="96"/>
    </row>
    <row r="22097" hidden="1">
      <c r="E22097" s="96"/>
    </row>
    <row r="22098" hidden="1">
      <c r="E22098" s="96"/>
    </row>
    <row r="22099" hidden="1">
      <c r="E22099" s="96"/>
    </row>
    <row r="22100" hidden="1">
      <c r="E22100" s="96"/>
    </row>
    <row r="22101" hidden="1">
      <c r="E22101" s="96"/>
    </row>
    <row r="22102" hidden="1">
      <c r="E22102" s="96"/>
    </row>
    <row r="22103" hidden="1">
      <c r="E22103" s="96"/>
    </row>
    <row r="22104" hidden="1">
      <c r="E22104" s="96"/>
    </row>
    <row r="22105" hidden="1">
      <c r="E22105" s="96"/>
    </row>
    <row r="22106" hidden="1">
      <c r="E22106" s="96"/>
    </row>
    <row r="22107" hidden="1">
      <c r="E22107" s="96"/>
    </row>
    <row r="22108" hidden="1">
      <c r="E22108" s="96"/>
    </row>
    <row r="22109" hidden="1">
      <c r="E22109" s="96"/>
    </row>
    <row r="22110" hidden="1">
      <c r="E22110" s="96"/>
    </row>
    <row r="22111" hidden="1">
      <c r="E22111" s="96"/>
    </row>
    <row r="22112" hidden="1">
      <c r="E22112" s="96"/>
    </row>
    <row r="22113" hidden="1">
      <c r="E22113" s="96"/>
    </row>
    <row r="22114" hidden="1">
      <c r="E22114" s="96"/>
    </row>
    <row r="22115" hidden="1">
      <c r="E22115" s="96"/>
    </row>
    <row r="22116" hidden="1">
      <c r="E22116" s="96"/>
    </row>
    <row r="22117" hidden="1">
      <c r="E22117" s="96"/>
    </row>
    <row r="22118" hidden="1">
      <c r="E22118" s="96"/>
    </row>
    <row r="22119" hidden="1">
      <c r="E22119" s="96"/>
    </row>
    <row r="22120" hidden="1">
      <c r="E22120" s="96"/>
    </row>
    <row r="22121" hidden="1">
      <c r="E22121" s="96"/>
    </row>
    <row r="22122" hidden="1">
      <c r="E22122" s="96"/>
    </row>
    <row r="22123" hidden="1">
      <c r="E22123" s="96"/>
    </row>
    <row r="22124" hidden="1">
      <c r="E22124" s="96"/>
    </row>
    <row r="22125" hidden="1">
      <c r="E22125" s="96"/>
    </row>
    <row r="22126" hidden="1">
      <c r="E22126" s="96"/>
    </row>
    <row r="22127" hidden="1">
      <c r="E22127" s="96"/>
    </row>
    <row r="22128" hidden="1">
      <c r="E22128" s="96"/>
    </row>
    <row r="22129" hidden="1">
      <c r="E22129" s="96"/>
    </row>
    <row r="22130" hidden="1">
      <c r="E22130" s="96"/>
    </row>
    <row r="22131" hidden="1">
      <c r="E22131" s="96"/>
    </row>
    <row r="22132" hidden="1">
      <c r="E22132" s="96"/>
    </row>
    <row r="22133" hidden="1">
      <c r="E22133" s="96"/>
    </row>
    <row r="22134" hidden="1">
      <c r="E22134" s="96"/>
    </row>
    <row r="22135" hidden="1">
      <c r="E22135" s="96"/>
    </row>
    <row r="22136" hidden="1">
      <c r="E22136" s="96"/>
    </row>
    <row r="22137" hidden="1">
      <c r="E22137" s="96"/>
    </row>
    <row r="22138" hidden="1">
      <c r="E22138" s="96"/>
    </row>
    <row r="22139" hidden="1">
      <c r="E22139" s="96"/>
    </row>
    <row r="22140" hidden="1">
      <c r="E22140" s="96"/>
    </row>
    <row r="22141" hidden="1">
      <c r="E22141" s="96"/>
    </row>
    <row r="22142" hidden="1">
      <c r="E22142" s="96"/>
    </row>
    <row r="22143" hidden="1">
      <c r="E22143" s="96"/>
    </row>
    <row r="22144" hidden="1">
      <c r="E22144" s="96"/>
    </row>
    <row r="22145" hidden="1">
      <c r="E22145" s="96"/>
    </row>
    <row r="22146" hidden="1">
      <c r="E22146" s="96"/>
    </row>
    <row r="22147" hidden="1">
      <c r="E22147" s="96"/>
    </row>
    <row r="22148" hidden="1">
      <c r="E22148" s="96"/>
    </row>
    <row r="22149" hidden="1">
      <c r="E22149" s="96"/>
    </row>
    <row r="22150" hidden="1">
      <c r="E22150" s="96"/>
    </row>
    <row r="22151" hidden="1">
      <c r="E22151" s="96"/>
    </row>
    <row r="22152" hidden="1">
      <c r="E22152" s="96"/>
    </row>
    <row r="22153" hidden="1">
      <c r="E22153" s="96"/>
    </row>
    <row r="22154" hidden="1">
      <c r="E22154" s="96"/>
    </row>
    <row r="22155" hidden="1">
      <c r="E22155" s="96"/>
    </row>
    <row r="22156" hidden="1">
      <c r="E22156" s="96"/>
    </row>
    <row r="22157" hidden="1">
      <c r="E22157" s="96"/>
    </row>
    <row r="22158" hidden="1">
      <c r="E22158" s="96"/>
    </row>
    <row r="22159" hidden="1">
      <c r="E22159" s="96"/>
    </row>
    <row r="22160" hidden="1">
      <c r="E22160" s="96"/>
    </row>
    <row r="22161" hidden="1">
      <c r="E22161" s="96"/>
    </row>
    <row r="22162" hidden="1">
      <c r="E22162" s="96"/>
    </row>
    <row r="22163" hidden="1">
      <c r="E22163" s="96"/>
    </row>
    <row r="22164" hidden="1">
      <c r="E22164" s="96"/>
    </row>
    <row r="22165" hidden="1">
      <c r="E22165" s="96"/>
    </row>
    <row r="22166" hidden="1">
      <c r="E22166" s="96"/>
    </row>
    <row r="22167" hidden="1">
      <c r="E22167" s="96"/>
    </row>
    <row r="22168" hidden="1">
      <c r="E22168" s="96"/>
    </row>
    <row r="22169" hidden="1">
      <c r="E22169" s="96"/>
    </row>
    <row r="22170" hidden="1">
      <c r="E22170" s="96"/>
    </row>
    <row r="22171" hidden="1">
      <c r="E22171" s="96"/>
    </row>
    <row r="22172" hidden="1">
      <c r="E22172" s="96"/>
    </row>
    <row r="22173" hidden="1">
      <c r="E22173" s="96"/>
    </row>
    <row r="22174" hidden="1">
      <c r="E22174" s="96"/>
    </row>
    <row r="22175" hidden="1">
      <c r="E22175" s="96"/>
    </row>
    <row r="22176" hidden="1">
      <c r="E22176" s="96"/>
    </row>
    <row r="22177" hidden="1">
      <c r="E22177" s="96"/>
    </row>
    <row r="22178" hidden="1">
      <c r="E22178" s="96"/>
    </row>
    <row r="22179" hidden="1">
      <c r="E22179" s="96"/>
    </row>
    <row r="22180" hidden="1">
      <c r="E22180" s="96"/>
    </row>
    <row r="22181" hidden="1">
      <c r="E22181" s="96"/>
    </row>
    <row r="22182" hidden="1">
      <c r="E22182" s="96"/>
    </row>
    <row r="22183" hidden="1">
      <c r="E22183" s="96"/>
    </row>
    <row r="22184" hidden="1">
      <c r="E22184" s="96"/>
    </row>
    <row r="22185" hidden="1">
      <c r="E22185" s="96"/>
    </row>
    <row r="22186" hidden="1">
      <c r="E22186" s="96"/>
    </row>
    <row r="22187" hidden="1">
      <c r="E22187" s="96"/>
    </row>
    <row r="22188" hidden="1">
      <c r="E22188" s="96"/>
    </row>
    <row r="22189" hidden="1">
      <c r="E22189" s="96"/>
    </row>
    <row r="22190" hidden="1">
      <c r="E22190" s="96"/>
    </row>
    <row r="22191" hidden="1">
      <c r="E22191" s="96"/>
    </row>
    <row r="22192" hidden="1">
      <c r="E22192" s="96"/>
    </row>
    <row r="22193" hidden="1">
      <c r="E22193" s="96"/>
    </row>
    <row r="22194" hidden="1">
      <c r="E22194" s="96"/>
    </row>
    <row r="22195" hidden="1">
      <c r="E22195" s="96"/>
    </row>
    <row r="22196" hidden="1">
      <c r="E22196" s="96"/>
    </row>
    <row r="22197" hidden="1">
      <c r="E22197" s="96"/>
    </row>
    <row r="22198" hidden="1">
      <c r="E22198" s="96"/>
    </row>
    <row r="22199" hidden="1">
      <c r="E22199" s="96"/>
    </row>
    <row r="22200" hidden="1">
      <c r="E22200" s="96"/>
    </row>
    <row r="22201" hidden="1">
      <c r="E22201" s="96"/>
    </row>
    <row r="22202" hidden="1">
      <c r="E22202" s="96"/>
    </row>
    <row r="22203" hidden="1">
      <c r="E22203" s="96"/>
    </row>
    <row r="22204" hidden="1">
      <c r="E22204" s="96"/>
    </row>
    <row r="22205" hidden="1">
      <c r="E22205" s="96"/>
    </row>
    <row r="22206" hidden="1">
      <c r="E22206" s="96"/>
    </row>
    <row r="22207" hidden="1">
      <c r="E22207" s="96"/>
    </row>
    <row r="22208" hidden="1">
      <c r="E22208" s="96"/>
    </row>
    <row r="22209" hidden="1">
      <c r="E22209" s="96"/>
    </row>
    <row r="22210" hidden="1">
      <c r="E22210" s="96"/>
    </row>
    <row r="22211" hidden="1">
      <c r="E22211" s="96"/>
    </row>
    <row r="22212" hidden="1">
      <c r="E22212" s="96"/>
    </row>
    <row r="22213" hidden="1">
      <c r="E22213" s="96"/>
    </row>
    <row r="22214" hidden="1">
      <c r="E22214" s="96"/>
    </row>
    <row r="22215" hidden="1">
      <c r="E22215" s="96"/>
    </row>
    <row r="22216" hidden="1">
      <c r="E22216" s="96"/>
    </row>
    <row r="22217" hidden="1">
      <c r="E22217" s="96"/>
    </row>
    <row r="22218" hidden="1">
      <c r="E22218" s="96"/>
    </row>
    <row r="22219" hidden="1">
      <c r="E22219" s="96"/>
    </row>
    <row r="22220" hidden="1">
      <c r="E22220" s="96"/>
    </row>
    <row r="22221" hidden="1">
      <c r="E22221" s="96"/>
    </row>
    <row r="22222" hidden="1">
      <c r="E22222" s="96"/>
    </row>
    <row r="22223" hidden="1">
      <c r="E22223" s="96"/>
    </row>
    <row r="22224" hidden="1">
      <c r="E22224" s="96"/>
    </row>
    <row r="22225" hidden="1">
      <c r="E22225" s="96"/>
    </row>
    <row r="22226" hidden="1">
      <c r="E22226" s="96"/>
    </row>
    <row r="22227" hidden="1">
      <c r="E22227" s="96"/>
    </row>
    <row r="22228" hidden="1">
      <c r="E22228" s="96"/>
    </row>
    <row r="22229" hidden="1">
      <c r="E22229" s="96"/>
    </row>
    <row r="22230" hidden="1">
      <c r="E22230" s="96"/>
    </row>
    <row r="22231" hidden="1">
      <c r="E22231" s="96"/>
    </row>
    <row r="22232" hidden="1">
      <c r="E22232" s="96"/>
    </row>
    <row r="22233" hidden="1">
      <c r="E22233" s="96"/>
    </row>
    <row r="22234" hidden="1">
      <c r="E22234" s="96"/>
    </row>
    <row r="22235" hidden="1">
      <c r="E22235" s="96"/>
    </row>
    <row r="22236" hidden="1">
      <c r="E22236" s="96"/>
    </row>
    <row r="22237" hidden="1">
      <c r="E22237" s="96"/>
    </row>
    <row r="22238" hidden="1">
      <c r="E22238" s="96"/>
    </row>
    <row r="22239" hidden="1">
      <c r="E22239" s="96"/>
    </row>
    <row r="22240" hidden="1">
      <c r="E22240" s="96"/>
    </row>
    <row r="22241" hidden="1">
      <c r="E22241" s="96"/>
    </row>
    <row r="22242" hidden="1">
      <c r="E22242" s="96"/>
    </row>
    <row r="22243" hidden="1">
      <c r="E22243" s="96"/>
    </row>
    <row r="22244" hidden="1">
      <c r="E22244" s="96"/>
    </row>
    <row r="22245" hidden="1">
      <c r="E22245" s="96"/>
    </row>
    <row r="22246" hidden="1">
      <c r="E22246" s="96"/>
    </row>
    <row r="22247" hidden="1">
      <c r="E22247" s="96"/>
    </row>
    <row r="22248" hidden="1">
      <c r="E22248" s="96"/>
    </row>
    <row r="22249" hidden="1">
      <c r="E22249" s="96"/>
    </row>
    <row r="22250" hidden="1">
      <c r="E22250" s="96"/>
    </row>
    <row r="22251" hidden="1">
      <c r="E22251" s="96"/>
    </row>
    <row r="22252" hidden="1">
      <c r="E22252" s="96"/>
    </row>
    <row r="22253" hidden="1">
      <c r="E22253" s="96"/>
    </row>
    <row r="22254" hidden="1">
      <c r="E22254" s="96"/>
    </row>
    <row r="22255" hidden="1">
      <c r="E22255" s="96"/>
    </row>
    <row r="22256" hidden="1">
      <c r="E22256" s="96"/>
    </row>
    <row r="22257" hidden="1">
      <c r="E22257" s="96"/>
    </row>
    <row r="22258" hidden="1">
      <c r="E22258" s="96"/>
    </row>
    <row r="22259" hidden="1">
      <c r="E22259" s="96"/>
    </row>
    <row r="22260" hidden="1">
      <c r="E22260" s="96"/>
    </row>
    <row r="22261" hidden="1">
      <c r="E22261" s="96"/>
    </row>
    <row r="22262" hidden="1">
      <c r="E22262" s="96"/>
    </row>
    <row r="22263" hidden="1">
      <c r="E22263" s="96"/>
    </row>
    <row r="22264" hidden="1">
      <c r="E22264" s="96"/>
    </row>
    <row r="22265" hidden="1">
      <c r="E22265" s="96"/>
    </row>
    <row r="22266" hidden="1">
      <c r="E22266" s="96"/>
    </row>
    <row r="22267" hidden="1">
      <c r="E22267" s="96"/>
    </row>
    <row r="22268" hidden="1">
      <c r="E22268" s="96"/>
    </row>
    <row r="22269" hidden="1">
      <c r="E22269" s="96"/>
    </row>
    <row r="22270" hidden="1">
      <c r="E22270" s="96"/>
    </row>
    <row r="22271" hidden="1">
      <c r="E22271" s="96"/>
    </row>
    <row r="22272" hidden="1">
      <c r="E22272" s="96"/>
    </row>
    <row r="22273" hidden="1">
      <c r="E22273" s="96"/>
    </row>
    <row r="22274" hidden="1">
      <c r="E22274" s="96"/>
    </row>
    <row r="22275" hidden="1">
      <c r="E22275" s="96"/>
    </row>
    <row r="22276" hidden="1">
      <c r="E22276" s="96"/>
    </row>
    <row r="22277" hidden="1">
      <c r="E22277" s="96"/>
    </row>
    <row r="22278" hidden="1">
      <c r="E22278" s="96"/>
    </row>
    <row r="22279" hidden="1">
      <c r="E22279" s="96"/>
    </row>
    <row r="22280" hidden="1">
      <c r="E22280" s="96"/>
    </row>
    <row r="22281" hidden="1">
      <c r="E22281" s="96"/>
    </row>
    <row r="22282" hidden="1">
      <c r="E22282" s="96"/>
    </row>
    <row r="22283" hidden="1">
      <c r="E22283" s="96"/>
    </row>
    <row r="22284" hidden="1">
      <c r="E22284" s="96"/>
    </row>
    <row r="22285" hidden="1">
      <c r="E22285" s="96"/>
    </row>
    <row r="22286" hidden="1">
      <c r="E22286" s="96"/>
    </row>
    <row r="22287" hidden="1">
      <c r="E22287" s="96"/>
    </row>
    <row r="22288" hidden="1">
      <c r="E22288" s="96"/>
    </row>
    <row r="22289" hidden="1">
      <c r="E22289" s="96"/>
    </row>
    <row r="22290" hidden="1">
      <c r="E22290" s="96"/>
    </row>
    <row r="22291" hidden="1">
      <c r="E22291" s="96"/>
    </row>
    <row r="22292" hidden="1">
      <c r="E22292" s="96"/>
    </row>
    <row r="22293" hidden="1">
      <c r="E22293" s="96"/>
    </row>
    <row r="22294" hidden="1">
      <c r="E22294" s="96"/>
    </row>
    <row r="22295" hidden="1">
      <c r="E22295" s="96"/>
    </row>
    <row r="22296" hidden="1">
      <c r="E22296" s="96"/>
    </row>
    <row r="22297" hidden="1">
      <c r="E22297" s="96"/>
    </row>
    <row r="22298" hidden="1">
      <c r="E22298" s="96"/>
    </row>
    <row r="22299" hidden="1">
      <c r="E22299" s="96"/>
    </row>
    <row r="22300" hidden="1">
      <c r="E22300" s="96"/>
    </row>
    <row r="22301" hidden="1">
      <c r="E22301" s="96"/>
    </row>
    <row r="22302" hidden="1">
      <c r="E22302" s="96"/>
    </row>
    <row r="22303" hidden="1">
      <c r="E22303" s="96"/>
    </row>
    <row r="22304" hidden="1">
      <c r="E22304" s="96"/>
    </row>
    <row r="22305" hidden="1">
      <c r="E22305" s="96"/>
    </row>
    <row r="22306" hidden="1">
      <c r="E22306" s="96"/>
    </row>
    <row r="22307" hidden="1">
      <c r="E22307" s="96"/>
    </row>
    <row r="22308" hidden="1">
      <c r="E22308" s="96"/>
    </row>
    <row r="22309" hidden="1">
      <c r="E22309" s="96"/>
    </row>
    <row r="22310" hidden="1">
      <c r="E22310" s="96"/>
    </row>
    <row r="22311" hidden="1">
      <c r="E22311" s="96"/>
    </row>
    <row r="22312" hidden="1">
      <c r="E22312" s="96"/>
    </row>
    <row r="22313" hidden="1">
      <c r="E22313" s="96"/>
    </row>
    <row r="22314" hidden="1">
      <c r="E22314" s="96"/>
    </row>
    <row r="22315" hidden="1">
      <c r="E22315" s="96"/>
    </row>
    <row r="22316" hidden="1">
      <c r="E22316" s="96"/>
    </row>
    <row r="22317" hidden="1">
      <c r="E22317" s="96"/>
    </row>
    <row r="22318" hidden="1">
      <c r="E22318" s="96"/>
    </row>
    <row r="22319" hidden="1">
      <c r="E22319" s="96"/>
    </row>
    <row r="22320" hidden="1">
      <c r="E22320" s="96"/>
    </row>
    <row r="22321" hidden="1">
      <c r="E22321" s="96"/>
    </row>
    <row r="22322" hidden="1">
      <c r="E22322" s="96"/>
    </row>
    <row r="22323" hidden="1">
      <c r="E22323" s="96"/>
    </row>
    <row r="22324" hidden="1">
      <c r="E22324" s="96"/>
    </row>
    <row r="22325" hidden="1">
      <c r="E22325" s="96"/>
    </row>
    <row r="22326" hidden="1">
      <c r="E22326" s="96"/>
    </row>
    <row r="22327" hidden="1">
      <c r="E22327" s="96"/>
    </row>
    <row r="22328" hidden="1">
      <c r="E22328" s="96"/>
    </row>
    <row r="22329" hidden="1">
      <c r="E22329" s="96"/>
    </row>
    <row r="22330" hidden="1">
      <c r="E22330" s="96"/>
    </row>
    <row r="22331" hidden="1">
      <c r="E22331" s="96"/>
    </row>
    <row r="22332" hidden="1">
      <c r="E22332" s="96"/>
    </row>
    <row r="22333" hidden="1">
      <c r="E22333" s="96"/>
    </row>
    <row r="22334" hidden="1">
      <c r="E22334" s="96"/>
    </row>
    <row r="22335" hidden="1">
      <c r="E22335" s="96"/>
    </row>
    <row r="22336" hidden="1">
      <c r="E22336" s="96"/>
    </row>
    <row r="22337" hidden="1">
      <c r="E22337" s="96"/>
    </row>
    <row r="22338" hidden="1">
      <c r="E22338" s="96"/>
    </row>
    <row r="22339" hidden="1">
      <c r="E22339" s="96"/>
    </row>
    <row r="22340" hidden="1">
      <c r="E22340" s="96"/>
    </row>
    <row r="22341" hidden="1">
      <c r="E22341" s="96"/>
    </row>
    <row r="22342" hidden="1">
      <c r="E22342" s="96"/>
    </row>
    <row r="22343" hidden="1">
      <c r="E22343" s="96"/>
    </row>
    <row r="22344" hidden="1">
      <c r="E22344" s="96"/>
    </row>
    <row r="22345" hidden="1">
      <c r="E22345" s="96"/>
    </row>
    <row r="22346" hidden="1">
      <c r="E22346" s="96"/>
    </row>
    <row r="22347" hidden="1">
      <c r="E22347" s="96"/>
    </row>
    <row r="22348" hidden="1">
      <c r="E22348" s="96"/>
    </row>
    <row r="22349" hidden="1">
      <c r="E22349" s="96"/>
    </row>
    <row r="22350" hidden="1">
      <c r="E22350" s="96"/>
    </row>
    <row r="22351" hidden="1">
      <c r="E22351" s="96"/>
    </row>
    <row r="22352" hidden="1">
      <c r="E22352" s="96"/>
    </row>
    <row r="22353" hidden="1">
      <c r="E22353" s="96"/>
    </row>
    <row r="22354" hidden="1">
      <c r="E22354" s="96"/>
    </row>
    <row r="22355" hidden="1">
      <c r="E22355" s="96"/>
    </row>
    <row r="22356" hidden="1">
      <c r="E22356" s="96"/>
    </row>
    <row r="22357" hidden="1">
      <c r="E22357" s="96"/>
    </row>
    <row r="22358" hidden="1">
      <c r="E22358" s="96"/>
    </row>
    <row r="22359" hidden="1">
      <c r="E22359" s="96"/>
    </row>
    <row r="22360" hidden="1">
      <c r="E22360" s="96"/>
    </row>
    <row r="22361" hidden="1">
      <c r="E22361" s="96"/>
    </row>
    <row r="22362" hidden="1">
      <c r="E22362" s="96"/>
    </row>
    <row r="22363" hidden="1">
      <c r="E22363" s="96"/>
    </row>
    <row r="22364" hidden="1">
      <c r="E22364" s="96"/>
    </row>
    <row r="22365" hidden="1">
      <c r="E22365" s="96"/>
    </row>
    <row r="22366" hidden="1">
      <c r="E22366" s="96"/>
    </row>
    <row r="22367" hidden="1">
      <c r="E22367" s="96"/>
    </row>
    <row r="22368" hidden="1">
      <c r="E22368" s="96"/>
    </row>
    <row r="22369" hidden="1">
      <c r="E22369" s="96"/>
    </row>
    <row r="22370" hidden="1">
      <c r="E22370" s="96"/>
    </row>
    <row r="22371" hidden="1">
      <c r="E22371" s="96"/>
    </row>
    <row r="22372" hidden="1">
      <c r="E22372" s="96"/>
    </row>
    <row r="22373" hidden="1">
      <c r="E22373" s="96"/>
    </row>
    <row r="22374" hidden="1">
      <c r="E22374" s="96"/>
    </row>
    <row r="22375" hidden="1">
      <c r="E22375" s="96"/>
    </row>
    <row r="22376" hidden="1">
      <c r="E22376" s="96"/>
    </row>
    <row r="22377" hidden="1">
      <c r="E22377" s="96"/>
    </row>
    <row r="22378" hidden="1">
      <c r="E22378" s="96"/>
    </row>
    <row r="22379" hidden="1">
      <c r="E22379" s="96"/>
    </row>
    <row r="22380" hidden="1">
      <c r="E22380" s="96"/>
    </row>
    <row r="22381" hidden="1">
      <c r="E22381" s="96"/>
    </row>
    <row r="22382" hidden="1">
      <c r="E22382" s="96"/>
    </row>
    <row r="22383" hidden="1">
      <c r="E22383" s="96"/>
    </row>
    <row r="22384" hidden="1">
      <c r="E22384" s="96"/>
    </row>
    <row r="22385" hidden="1">
      <c r="E22385" s="96"/>
    </row>
    <row r="22386" hidden="1">
      <c r="E22386" s="96"/>
    </row>
    <row r="22387" hidden="1">
      <c r="E22387" s="96"/>
    </row>
    <row r="22388" hidden="1">
      <c r="E22388" s="96"/>
    </row>
    <row r="22389" hidden="1">
      <c r="E22389" s="96"/>
    </row>
    <row r="22390" hidden="1">
      <c r="E22390" s="96"/>
    </row>
    <row r="22391" hidden="1">
      <c r="E22391" s="96"/>
    </row>
    <row r="22392" hidden="1">
      <c r="E22392" s="96"/>
    </row>
    <row r="22393" hidden="1">
      <c r="E22393" s="96"/>
    </row>
    <row r="22394" hidden="1">
      <c r="E22394" s="96"/>
    </row>
    <row r="22395" hidden="1">
      <c r="E22395" s="96"/>
    </row>
    <row r="22396" hidden="1">
      <c r="E22396" s="96"/>
    </row>
    <row r="22397" hidden="1">
      <c r="E22397" s="96"/>
    </row>
    <row r="22398" hidden="1">
      <c r="E22398" s="96"/>
    </row>
    <row r="22399" hidden="1">
      <c r="E22399" s="96"/>
    </row>
    <row r="22400" hidden="1">
      <c r="E22400" s="96"/>
    </row>
    <row r="22401" hidden="1">
      <c r="E22401" s="96"/>
    </row>
    <row r="22402" hidden="1">
      <c r="E22402" s="96"/>
    </row>
    <row r="22403" hidden="1">
      <c r="E22403" s="96"/>
    </row>
    <row r="22404" hidden="1">
      <c r="E22404" s="96"/>
    </row>
    <row r="22405" hidden="1">
      <c r="E22405" s="96"/>
    </row>
    <row r="22406" hidden="1">
      <c r="E22406" s="96"/>
    </row>
    <row r="22407" hidden="1">
      <c r="E22407" s="96"/>
    </row>
    <row r="22408" hidden="1">
      <c r="E22408" s="96"/>
    </row>
    <row r="22409" hidden="1">
      <c r="E22409" s="96"/>
    </row>
    <row r="22410" hidden="1">
      <c r="E22410" s="96"/>
    </row>
    <row r="22411" hidden="1">
      <c r="E22411" s="96"/>
    </row>
    <row r="22412" hidden="1">
      <c r="E22412" s="96"/>
    </row>
    <row r="22413" hidden="1">
      <c r="E22413" s="96"/>
    </row>
    <row r="22414" hidden="1">
      <c r="E22414" s="96"/>
    </row>
    <row r="22415" hidden="1">
      <c r="E22415" s="96"/>
    </row>
    <row r="22416" hidden="1">
      <c r="E22416" s="96"/>
    </row>
    <row r="22417" hidden="1">
      <c r="E22417" s="96"/>
    </row>
    <row r="22418" hidden="1">
      <c r="E22418" s="96"/>
    </row>
    <row r="22419" hidden="1">
      <c r="E22419" s="96"/>
    </row>
    <row r="22420" hidden="1">
      <c r="E22420" s="96"/>
    </row>
    <row r="22421" hidden="1">
      <c r="E22421" s="96"/>
    </row>
    <row r="22422" hidden="1">
      <c r="E22422" s="96"/>
    </row>
    <row r="22423" hidden="1">
      <c r="E22423" s="96"/>
    </row>
    <row r="22424" hidden="1">
      <c r="E22424" s="96"/>
    </row>
    <row r="22425" hidden="1">
      <c r="E22425" s="96"/>
    </row>
    <row r="22426" hidden="1">
      <c r="E22426" s="96"/>
    </row>
    <row r="22427" hidden="1">
      <c r="E22427" s="96"/>
    </row>
    <row r="22428" hidden="1">
      <c r="E22428" s="96"/>
    </row>
    <row r="22429" hidden="1">
      <c r="E22429" s="96"/>
    </row>
    <row r="22430" hidden="1">
      <c r="E22430" s="96"/>
    </row>
    <row r="22431" hidden="1">
      <c r="E22431" s="96"/>
    </row>
    <row r="22432" hidden="1">
      <c r="E22432" s="96"/>
    </row>
    <row r="22433" hidden="1">
      <c r="E22433" s="96"/>
    </row>
    <row r="22434" hidden="1">
      <c r="E22434" s="96"/>
    </row>
    <row r="22435" hidden="1">
      <c r="E22435" s="96"/>
    </row>
    <row r="22436" hidden="1">
      <c r="E22436" s="96"/>
    </row>
    <row r="22437" hidden="1">
      <c r="E22437" s="96"/>
    </row>
    <row r="22438" hidden="1">
      <c r="E22438" s="96"/>
    </row>
    <row r="22439" hidden="1">
      <c r="E22439" s="96"/>
    </row>
    <row r="22440" hidden="1">
      <c r="E22440" s="96"/>
    </row>
    <row r="22441" hidden="1">
      <c r="E22441" s="96"/>
    </row>
    <row r="22442" hidden="1">
      <c r="E22442" s="96"/>
    </row>
    <row r="22443" hidden="1">
      <c r="E22443" s="96"/>
    </row>
    <row r="22444" hidden="1">
      <c r="E22444" s="96"/>
    </row>
    <row r="22445" hidden="1">
      <c r="E22445" s="96"/>
    </row>
    <row r="22446" hidden="1">
      <c r="E22446" s="96"/>
    </row>
    <row r="22447" hidden="1">
      <c r="E22447" s="96"/>
    </row>
    <row r="22448" hidden="1">
      <c r="E22448" s="96"/>
    </row>
    <row r="22449" hidden="1">
      <c r="E22449" s="96"/>
    </row>
    <row r="22450" hidden="1">
      <c r="E22450" s="96"/>
    </row>
    <row r="22451" hidden="1">
      <c r="E22451" s="96"/>
    </row>
    <row r="22452" hidden="1">
      <c r="E22452" s="96"/>
    </row>
    <row r="22453" hidden="1">
      <c r="E22453" s="96"/>
    </row>
    <row r="22454" hidden="1">
      <c r="E22454" s="96"/>
    </row>
    <row r="22455" hidden="1">
      <c r="E22455" s="96"/>
    </row>
    <row r="22456" hidden="1">
      <c r="E22456" s="96"/>
    </row>
    <row r="22457" hidden="1">
      <c r="E22457" s="96"/>
    </row>
    <row r="22458" hidden="1">
      <c r="E22458" s="96"/>
    </row>
    <row r="22459" hidden="1">
      <c r="E22459" s="96"/>
    </row>
    <row r="22460" hidden="1">
      <c r="E22460" s="96"/>
    </row>
    <row r="22461" hidden="1">
      <c r="E22461" s="96"/>
    </row>
    <row r="22462" hidden="1">
      <c r="E22462" s="96"/>
    </row>
    <row r="22463" hidden="1">
      <c r="E22463" s="96"/>
    </row>
    <row r="22464" hidden="1">
      <c r="E22464" s="96"/>
    </row>
    <row r="22465" hidden="1">
      <c r="E22465" s="96"/>
    </row>
    <row r="22466" hidden="1">
      <c r="E22466" s="96"/>
    </row>
    <row r="22467" hidden="1">
      <c r="E22467" s="96"/>
    </row>
    <row r="22468" hidden="1">
      <c r="E22468" s="96"/>
    </row>
    <row r="22469" hidden="1">
      <c r="E22469" s="96"/>
    </row>
    <row r="22470" hidden="1">
      <c r="E22470" s="96"/>
    </row>
    <row r="22471" hidden="1">
      <c r="E22471" s="96"/>
    </row>
    <row r="22472" hidden="1">
      <c r="E22472" s="96"/>
    </row>
    <row r="22473" hidden="1">
      <c r="E22473" s="96"/>
    </row>
    <row r="22474" hidden="1">
      <c r="E22474" s="96"/>
    </row>
    <row r="22475" hidden="1">
      <c r="E22475" s="96"/>
    </row>
    <row r="22476" hidden="1">
      <c r="E22476" s="96"/>
    </row>
    <row r="22477" hidden="1">
      <c r="E22477" s="96"/>
    </row>
    <row r="22478" hidden="1">
      <c r="E22478" s="96"/>
    </row>
    <row r="22479" hidden="1">
      <c r="E22479" s="96"/>
    </row>
    <row r="22480" hidden="1">
      <c r="E22480" s="96"/>
    </row>
    <row r="22481" hidden="1">
      <c r="E22481" s="96"/>
    </row>
    <row r="22482" hidden="1">
      <c r="E22482" s="96"/>
    </row>
    <row r="22483" hidden="1">
      <c r="E22483" s="96"/>
    </row>
    <row r="22484" hidden="1">
      <c r="E22484" s="96"/>
    </row>
    <row r="22485" hidden="1">
      <c r="E22485" s="96"/>
    </row>
    <row r="22486" hidden="1">
      <c r="E22486" s="96"/>
    </row>
    <row r="22487" hidden="1">
      <c r="E22487" s="96"/>
    </row>
    <row r="22488" hidden="1">
      <c r="E22488" s="96"/>
    </row>
    <row r="22489" hidden="1">
      <c r="E22489" s="96"/>
    </row>
    <row r="22490" hidden="1">
      <c r="E22490" s="96"/>
    </row>
    <row r="22491" hidden="1">
      <c r="E22491" s="96"/>
    </row>
    <row r="22492" hidden="1">
      <c r="E22492" s="96"/>
    </row>
    <row r="22493" hidden="1">
      <c r="E22493" s="96"/>
    </row>
    <row r="22494" hidden="1">
      <c r="E22494" s="96"/>
    </row>
    <row r="22495" hidden="1">
      <c r="E22495" s="96"/>
    </row>
    <row r="22496" hidden="1">
      <c r="E22496" s="96"/>
    </row>
    <row r="22497" hidden="1">
      <c r="E22497" s="96"/>
    </row>
    <row r="22498" hidden="1">
      <c r="E22498" s="96"/>
    </row>
    <row r="22499" hidden="1">
      <c r="E22499" s="96"/>
    </row>
    <row r="22500" hidden="1">
      <c r="E22500" s="96"/>
    </row>
    <row r="22501" hidden="1">
      <c r="E22501" s="96"/>
    </row>
    <row r="22502" hidden="1">
      <c r="E22502" s="96"/>
    </row>
    <row r="22503" hidden="1">
      <c r="E22503" s="96"/>
    </row>
    <row r="22504" hidden="1">
      <c r="E22504" s="96"/>
    </row>
    <row r="22505" hidden="1">
      <c r="E22505" s="96"/>
    </row>
    <row r="22506" hidden="1">
      <c r="E22506" s="96"/>
    </row>
    <row r="22507" hidden="1">
      <c r="E22507" s="96"/>
    </row>
    <row r="22508" hidden="1">
      <c r="E22508" s="96"/>
    </row>
    <row r="22509" hidden="1">
      <c r="E22509" s="96"/>
    </row>
    <row r="22510" hidden="1">
      <c r="E22510" s="96"/>
    </row>
    <row r="22511" hidden="1">
      <c r="E22511" s="96"/>
    </row>
    <row r="22512" hidden="1">
      <c r="E22512" s="96"/>
    </row>
    <row r="22513" hidden="1">
      <c r="E22513" s="96"/>
    </row>
    <row r="22514" hidden="1">
      <c r="E22514" s="96"/>
    </row>
    <row r="22515" hidden="1">
      <c r="E22515" s="96"/>
    </row>
    <row r="22516" hidden="1">
      <c r="E22516" s="96"/>
    </row>
    <row r="22517" hidden="1">
      <c r="E22517" s="96"/>
    </row>
    <row r="22518" hidden="1">
      <c r="E22518" s="96"/>
    </row>
    <row r="22519" hidden="1">
      <c r="E22519" s="96"/>
    </row>
    <row r="22520" hidden="1">
      <c r="E22520" s="96"/>
    </row>
    <row r="22521" hidden="1">
      <c r="E22521" s="96"/>
    </row>
    <row r="22522" hidden="1">
      <c r="E22522" s="96"/>
    </row>
    <row r="22523" hidden="1">
      <c r="E22523" s="96"/>
    </row>
    <row r="22524" hidden="1">
      <c r="E22524" s="96"/>
    </row>
    <row r="22525" hidden="1">
      <c r="E22525" s="96"/>
    </row>
    <row r="22526" hidden="1">
      <c r="E22526" s="96"/>
    </row>
    <row r="22527" hidden="1">
      <c r="E22527" s="96"/>
    </row>
    <row r="22528" hidden="1">
      <c r="E22528" s="96"/>
    </row>
    <row r="22529" hidden="1">
      <c r="E22529" s="96"/>
    </row>
    <row r="22530" hidden="1">
      <c r="E22530" s="96"/>
    </row>
    <row r="22531" hidden="1">
      <c r="E22531" s="96"/>
    </row>
    <row r="22532" hidden="1">
      <c r="E22532" s="96"/>
    </row>
    <row r="22533" hidden="1">
      <c r="E22533" s="96"/>
    </row>
    <row r="22534" hidden="1">
      <c r="E22534" s="96"/>
    </row>
    <row r="22535" hidden="1">
      <c r="E22535" s="96"/>
    </row>
    <row r="22536" hidden="1">
      <c r="E22536" s="96"/>
    </row>
    <row r="22537" hidden="1">
      <c r="E22537" s="96"/>
    </row>
    <row r="22538" hidden="1">
      <c r="E22538" s="96"/>
    </row>
    <row r="22539" hidden="1">
      <c r="E22539" s="96"/>
    </row>
    <row r="22540" hidden="1">
      <c r="E22540" s="96"/>
    </row>
    <row r="22541" hidden="1">
      <c r="E22541" s="96"/>
    </row>
    <row r="22542" hidden="1">
      <c r="E22542" s="96"/>
    </row>
    <row r="22543" hidden="1">
      <c r="E22543" s="96"/>
    </row>
    <row r="22544" hidden="1">
      <c r="E22544" s="96"/>
    </row>
    <row r="22545" hidden="1">
      <c r="E22545" s="96"/>
    </row>
    <row r="22546" hidden="1">
      <c r="E22546" s="96"/>
    </row>
    <row r="22547" hidden="1">
      <c r="E22547" s="96"/>
    </row>
    <row r="22548" hidden="1">
      <c r="E22548" s="96"/>
    </row>
    <row r="22549" hidden="1">
      <c r="E22549" s="96"/>
    </row>
    <row r="22550" hidden="1">
      <c r="E22550" s="96"/>
    </row>
    <row r="22551" hidden="1">
      <c r="E22551" s="96"/>
    </row>
    <row r="22552" hidden="1">
      <c r="E22552" s="96"/>
    </row>
    <row r="22553" hidden="1">
      <c r="E22553" s="96"/>
    </row>
    <row r="22554" hidden="1">
      <c r="E22554" s="96"/>
    </row>
    <row r="22555" hidden="1">
      <c r="E22555" s="96"/>
    </row>
    <row r="22556" hidden="1">
      <c r="E22556" s="96"/>
    </row>
    <row r="22557" hidden="1">
      <c r="E22557" s="96"/>
    </row>
    <row r="22558" hidden="1">
      <c r="E22558" s="96"/>
    </row>
    <row r="22559" hidden="1">
      <c r="E22559" s="96"/>
    </row>
    <row r="22560" hidden="1">
      <c r="E22560" s="96"/>
    </row>
    <row r="22561" hidden="1">
      <c r="E22561" s="96"/>
    </row>
    <row r="22562" hidden="1">
      <c r="E22562" s="96"/>
    </row>
    <row r="22563" hidden="1">
      <c r="E22563" s="96"/>
    </row>
    <row r="22564" hidden="1">
      <c r="E22564" s="96"/>
    </row>
    <row r="22565" hidden="1">
      <c r="E22565" s="96"/>
    </row>
    <row r="22566" hidden="1">
      <c r="E22566" s="96"/>
    </row>
    <row r="22567" hidden="1">
      <c r="E22567" s="96"/>
    </row>
    <row r="22568" hidden="1">
      <c r="E22568" s="96"/>
    </row>
    <row r="22569" hidden="1">
      <c r="E22569" s="96"/>
    </row>
    <row r="22570" hidden="1">
      <c r="E22570" s="96"/>
    </row>
    <row r="22571" hidden="1">
      <c r="E22571" s="96"/>
    </row>
    <row r="22572" hidden="1">
      <c r="E22572" s="96"/>
    </row>
    <row r="22573" hidden="1">
      <c r="E22573" s="96"/>
    </row>
    <row r="22574" hidden="1">
      <c r="E22574" s="96"/>
    </row>
    <row r="22575" hidden="1">
      <c r="E22575" s="96"/>
    </row>
    <row r="22576" hidden="1">
      <c r="E22576" s="96"/>
    </row>
    <row r="22577" hidden="1">
      <c r="E22577" s="96"/>
    </row>
    <row r="22578" hidden="1">
      <c r="E22578" s="96"/>
    </row>
    <row r="22579" hidden="1">
      <c r="E22579" s="96"/>
    </row>
    <row r="22580" hidden="1">
      <c r="E22580" s="96"/>
    </row>
    <row r="22581" hidden="1">
      <c r="E22581" s="96"/>
    </row>
    <row r="22582" hidden="1">
      <c r="E22582" s="96"/>
    </row>
    <row r="22583" hidden="1">
      <c r="E22583" s="96"/>
    </row>
    <row r="22584" hidden="1">
      <c r="E22584" s="96"/>
    </row>
    <row r="22585" hidden="1">
      <c r="E22585" s="96"/>
    </row>
    <row r="22586" hidden="1">
      <c r="E22586" s="96"/>
    </row>
    <row r="22587" hidden="1">
      <c r="E22587" s="96"/>
    </row>
    <row r="22588" hidden="1">
      <c r="E22588" s="96"/>
    </row>
    <row r="22589" hidden="1">
      <c r="E22589" s="96"/>
    </row>
    <row r="22590" hidden="1">
      <c r="E22590" s="96"/>
    </row>
    <row r="22591" hidden="1">
      <c r="E22591" s="96"/>
    </row>
    <row r="22592" hidden="1">
      <c r="E22592" s="96"/>
    </row>
    <row r="22593" hidden="1">
      <c r="E22593" s="96"/>
    </row>
    <row r="22594" hidden="1">
      <c r="E22594" s="96"/>
    </row>
    <row r="22595" hidden="1">
      <c r="E22595" s="96"/>
    </row>
    <row r="22596" hidden="1">
      <c r="E22596" s="96"/>
    </row>
    <row r="22597" hidden="1">
      <c r="E22597" s="96"/>
    </row>
    <row r="22598" hidden="1">
      <c r="E22598" s="96"/>
    </row>
    <row r="22599" hidden="1">
      <c r="E22599" s="96"/>
    </row>
    <row r="22600" hidden="1">
      <c r="E22600" s="96"/>
    </row>
    <row r="22601" hidden="1">
      <c r="E22601" s="96"/>
    </row>
    <row r="22602" hidden="1">
      <c r="E22602" s="96"/>
    </row>
    <row r="22603" hidden="1">
      <c r="E22603" s="96"/>
    </row>
    <row r="22604" hidden="1">
      <c r="E22604" s="96"/>
    </row>
    <row r="22605" hidden="1">
      <c r="E22605" s="96"/>
    </row>
    <row r="22606" hidden="1">
      <c r="E22606" s="96"/>
    </row>
    <row r="22607" hidden="1">
      <c r="E22607" s="96"/>
    </row>
    <row r="22608" hidden="1">
      <c r="E22608" s="96"/>
    </row>
    <row r="22609" hidden="1">
      <c r="E22609" s="96"/>
    </row>
    <row r="22610" hidden="1">
      <c r="E22610" s="96"/>
    </row>
    <row r="22611" hidden="1">
      <c r="E22611" s="96"/>
    </row>
    <row r="22612" hidden="1">
      <c r="E22612" s="96"/>
    </row>
    <row r="22613" hidden="1">
      <c r="E22613" s="96"/>
    </row>
    <row r="22614" hidden="1">
      <c r="E22614" s="96"/>
    </row>
    <row r="22615" hidden="1">
      <c r="E22615" s="96"/>
    </row>
    <row r="22616" hidden="1">
      <c r="E22616" s="96"/>
    </row>
    <row r="22617" hidden="1">
      <c r="E22617" s="96"/>
    </row>
    <row r="22618" hidden="1">
      <c r="E22618" s="96"/>
    </row>
    <row r="22619" hidden="1">
      <c r="E22619" s="96"/>
    </row>
    <row r="22620" hidden="1">
      <c r="E22620" s="96"/>
    </row>
    <row r="22621" hidden="1">
      <c r="E22621" s="96"/>
    </row>
    <row r="22622" hidden="1">
      <c r="E22622" s="96"/>
    </row>
    <row r="22623" hidden="1">
      <c r="E22623" s="96"/>
    </row>
    <row r="22624" hidden="1">
      <c r="E22624" s="96"/>
    </row>
    <row r="22625" hidden="1">
      <c r="E22625" s="96"/>
    </row>
    <row r="22626" hidden="1">
      <c r="E22626" s="96"/>
    </row>
    <row r="22627" hidden="1">
      <c r="E22627" s="96"/>
    </row>
    <row r="22628" hidden="1">
      <c r="E22628" s="96"/>
    </row>
    <row r="22629" hidden="1">
      <c r="E22629" s="96"/>
    </row>
    <row r="22630" hidden="1">
      <c r="E22630" s="96"/>
    </row>
    <row r="22631" hidden="1">
      <c r="E22631" s="96"/>
    </row>
    <row r="22632" hidden="1">
      <c r="E22632" s="96"/>
    </row>
    <row r="22633" hidden="1">
      <c r="E22633" s="96"/>
    </row>
    <row r="22634" hidden="1">
      <c r="E22634" s="96"/>
    </row>
    <row r="22635" hidden="1">
      <c r="E22635" s="96"/>
    </row>
    <row r="22636" hidden="1">
      <c r="E22636" s="96"/>
    </row>
    <row r="22637" hidden="1">
      <c r="E22637" s="96"/>
    </row>
    <row r="22638" hidden="1">
      <c r="E22638" s="96"/>
    </row>
    <row r="22639" hidden="1">
      <c r="E22639" s="96"/>
    </row>
    <row r="22640" hidden="1">
      <c r="E22640" s="96"/>
    </row>
    <row r="22641" hidden="1">
      <c r="E22641" s="96"/>
    </row>
    <row r="22642" hidden="1">
      <c r="E22642" s="96"/>
    </row>
    <row r="22643" hidden="1">
      <c r="E22643" s="96"/>
    </row>
    <row r="22644" hidden="1">
      <c r="E22644" s="96"/>
    </row>
    <row r="22645" hidden="1">
      <c r="E22645" s="96"/>
    </row>
    <row r="22646" hidden="1">
      <c r="E22646" s="96"/>
    </row>
    <row r="22647" hidden="1">
      <c r="E22647" s="96"/>
    </row>
    <row r="22648" hidden="1">
      <c r="E22648" s="96"/>
    </row>
    <row r="22649" hidden="1">
      <c r="E22649" s="96"/>
    </row>
    <row r="22650" hidden="1">
      <c r="E22650" s="96"/>
    </row>
    <row r="22651" hidden="1">
      <c r="E22651" s="96"/>
    </row>
    <row r="22652" hidden="1">
      <c r="E22652" s="96"/>
    </row>
    <row r="22653" hidden="1">
      <c r="E22653" s="96"/>
    </row>
    <row r="22654" hidden="1">
      <c r="E22654" s="96"/>
    </row>
    <row r="22655" hidden="1">
      <c r="E22655" s="96"/>
    </row>
    <row r="22656" hidden="1">
      <c r="E22656" s="96"/>
    </row>
    <row r="22657" hidden="1">
      <c r="E22657" s="96"/>
    </row>
    <row r="22658" hidden="1">
      <c r="E22658" s="96"/>
    </row>
    <row r="22659" hidden="1">
      <c r="E22659" s="96"/>
    </row>
    <row r="22660" hidden="1">
      <c r="E22660" s="96"/>
    </row>
    <row r="22661" hidden="1">
      <c r="E22661" s="96"/>
    </row>
    <row r="22662" hidden="1">
      <c r="E22662" s="96"/>
    </row>
    <row r="22663" hidden="1">
      <c r="E22663" s="96"/>
    </row>
    <row r="22664" hidden="1">
      <c r="E22664" s="96"/>
    </row>
    <row r="22665" hidden="1">
      <c r="E22665" s="96"/>
    </row>
    <row r="22666" hidden="1">
      <c r="E22666" s="96"/>
    </row>
    <row r="22667" hidden="1">
      <c r="E22667" s="96"/>
    </row>
    <row r="22668" hidden="1">
      <c r="E22668" s="96"/>
    </row>
    <row r="22669" hidden="1">
      <c r="E22669" s="96"/>
    </row>
    <row r="22670" hidden="1">
      <c r="E22670" s="96"/>
    </row>
    <row r="22671" hidden="1">
      <c r="E22671" s="96"/>
    </row>
    <row r="22672" hidden="1">
      <c r="E22672" s="96"/>
    </row>
    <row r="22673" hidden="1">
      <c r="E22673" s="96"/>
    </row>
    <row r="22674" hidden="1">
      <c r="E22674" s="96"/>
    </row>
    <row r="22675" hidden="1">
      <c r="E22675" s="96"/>
    </row>
    <row r="22676" hidden="1">
      <c r="E22676" s="96"/>
    </row>
    <row r="22677" hidden="1">
      <c r="E22677" s="96"/>
    </row>
    <row r="22678" hidden="1">
      <c r="E22678" s="96"/>
    </row>
    <row r="22679" hidden="1">
      <c r="E22679" s="96"/>
    </row>
    <row r="22680" hidden="1">
      <c r="E22680" s="96"/>
    </row>
    <row r="22681" hidden="1">
      <c r="E22681" s="96"/>
    </row>
    <row r="22682" hidden="1">
      <c r="E22682" s="96"/>
    </row>
    <row r="22683" hidden="1">
      <c r="E22683" s="96"/>
    </row>
    <row r="22684" hidden="1">
      <c r="E22684" s="96"/>
    </row>
    <row r="22685" hidden="1">
      <c r="E22685" s="96"/>
    </row>
    <row r="22686" hidden="1">
      <c r="E22686" s="96"/>
    </row>
    <row r="22687" hidden="1">
      <c r="E22687" s="96"/>
    </row>
    <row r="22688" hidden="1">
      <c r="E22688" s="96"/>
    </row>
    <row r="22689" hidden="1">
      <c r="E22689" s="96"/>
    </row>
    <row r="22690" hidden="1">
      <c r="E22690" s="96"/>
    </row>
    <row r="22691" hidden="1">
      <c r="E22691" s="96"/>
    </row>
    <row r="22692" hidden="1">
      <c r="E22692" s="96"/>
    </row>
    <row r="22693" hidden="1">
      <c r="E22693" s="96"/>
    </row>
    <row r="22694" hidden="1">
      <c r="E22694" s="96"/>
    </row>
    <row r="22695" hidden="1">
      <c r="E22695" s="96"/>
    </row>
    <row r="22696" hidden="1">
      <c r="E22696" s="96"/>
    </row>
    <row r="22697" hidden="1">
      <c r="E22697" s="96"/>
    </row>
    <row r="22698" hidden="1">
      <c r="E22698" s="96"/>
    </row>
    <row r="22699" hidden="1">
      <c r="E22699" s="96"/>
    </row>
    <row r="22700" hidden="1">
      <c r="E22700" s="96"/>
    </row>
    <row r="22701" hidden="1">
      <c r="E22701" s="96"/>
    </row>
    <row r="22702" hidden="1">
      <c r="E22702" s="96"/>
    </row>
    <row r="22703" hidden="1">
      <c r="E22703" s="96"/>
    </row>
    <row r="22704" hidden="1">
      <c r="E22704" s="96"/>
    </row>
    <row r="22705" hidden="1">
      <c r="E22705" s="96"/>
    </row>
    <row r="22706" hidden="1">
      <c r="E22706" s="96"/>
    </row>
    <row r="22707" hidden="1">
      <c r="E22707" s="96"/>
    </row>
    <row r="22708" hidden="1">
      <c r="E22708" s="96"/>
    </row>
    <row r="22709" hidden="1">
      <c r="E22709" s="96"/>
    </row>
    <row r="22710" hidden="1">
      <c r="E22710" s="96"/>
    </row>
    <row r="22711" hidden="1">
      <c r="E22711" s="96"/>
    </row>
    <row r="22712" hidden="1">
      <c r="E22712" s="96"/>
    </row>
    <row r="22713" hidden="1">
      <c r="E22713" s="96"/>
    </row>
    <row r="22714" hidden="1">
      <c r="E22714" s="96"/>
    </row>
    <row r="22715" hidden="1">
      <c r="E22715" s="96"/>
    </row>
    <row r="22716" hidden="1">
      <c r="E22716" s="96"/>
    </row>
    <row r="22717" hidden="1">
      <c r="E22717" s="96"/>
    </row>
    <row r="22718" hidden="1">
      <c r="E22718" s="96"/>
    </row>
    <row r="22719" hidden="1">
      <c r="E22719" s="96"/>
    </row>
    <row r="22720" hidden="1">
      <c r="E22720" s="96"/>
    </row>
    <row r="22721" hidden="1">
      <c r="E22721" s="96"/>
    </row>
    <row r="22722" hidden="1">
      <c r="E22722" s="96"/>
    </row>
    <row r="22723" hidden="1">
      <c r="E22723" s="96"/>
    </row>
    <row r="22724" hidden="1">
      <c r="E22724" s="96"/>
    </row>
    <row r="22725" hidden="1">
      <c r="E22725" s="96"/>
    </row>
    <row r="22726" hidden="1">
      <c r="E22726" s="96"/>
    </row>
    <row r="22727" hidden="1">
      <c r="E22727" s="96"/>
    </row>
    <row r="22728" hidden="1">
      <c r="E22728" s="96"/>
    </row>
    <row r="22729" hidden="1">
      <c r="E22729" s="96"/>
    </row>
    <row r="22730" hidden="1">
      <c r="E22730" s="96"/>
    </row>
    <row r="22731" hidden="1">
      <c r="E22731" s="96"/>
    </row>
    <row r="22732" hidden="1">
      <c r="E22732" s="96"/>
    </row>
    <row r="22733" hidden="1">
      <c r="E22733" s="96"/>
    </row>
    <row r="22734" hidden="1">
      <c r="E22734" s="96"/>
    </row>
    <row r="22735" hidden="1">
      <c r="E22735" s="96"/>
    </row>
    <row r="22736" hidden="1">
      <c r="E22736" s="96"/>
    </row>
    <row r="22737" hidden="1">
      <c r="E22737" s="96"/>
    </row>
    <row r="22738" hidden="1">
      <c r="E22738" s="96"/>
    </row>
    <row r="22739" hidden="1">
      <c r="E22739" s="96"/>
    </row>
    <row r="22740" hidden="1">
      <c r="E22740" s="96"/>
    </row>
    <row r="22741" hidden="1">
      <c r="E22741" s="96"/>
    </row>
    <row r="22742" hidden="1">
      <c r="E22742" s="96"/>
    </row>
    <row r="22743" hidden="1">
      <c r="E22743" s="96"/>
    </row>
    <row r="22744" hidden="1">
      <c r="E22744" s="96"/>
    </row>
    <row r="22745" hidden="1">
      <c r="E22745" s="96"/>
    </row>
    <row r="22746" hidden="1">
      <c r="E22746" s="96"/>
    </row>
    <row r="22747" hidden="1">
      <c r="E22747" s="96"/>
    </row>
    <row r="22748" hidden="1">
      <c r="E22748" s="96"/>
    </row>
    <row r="22749" hidden="1">
      <c r="E22749" s="96"/>
    </row>
    <row r="22750" hidden="1">
      <c r="E22750" s="96"/>
    </row>
    <row r="22751" hidden="1">
      <c r="E22751" s="96"/>
    </row>
    <row r="22752" hidden="1">
      <c r="E22752" s="96"/>
    </row>
    <row r="22753" hidden="1">
      <c r="E22753" s="96"/>
    </row>
    <row r="22754" hidden="1">
      <c r="E22754" s="96"/>
    </row>
    <row r="22755" hidden="1">
      <c r="E22755" s="96"/>
    </row>
    <row r="22756" hidden="1">
      <c r="E22756" s="96"/>
    </row>
    <row r="22757" hidden="1">
      <c r="E22757" s="96"/>
    </row>
    <row r="22758" hidden="1">
      <c r="E22758" s="96"/>
    </row>
    <row r="22759" hidden="1">
      <c r="E22759" s="96"/>
    </row>
    <row r="22760" hidden="1">
      <c r="E22760" s="96"/>
    </row>
    <row r="22761" hidden="1">
      <c r="E22761" s="96"/>
    </row>
    <row r="22762" hidden="1">
      <c r="E22762" s="96"/>
    </row>
    <row r="22763" hidden="1">
      <c r="E22763" s="96"/>
    </row>
    <row r="22764" hidden="1">
      <c r="E22764" s="96"/>
    </row>
    <row r="22765" hidden="1">
      <c r="E22765" s="96"/>
    </row>
    <row r="22766" hidden="1">
      <c r="E22766" s="96"/>
    </row>
    <row r="22767" hidden="1">
      <c r="E22767" s="96"/>
    </row>
    <row r="22768" hidden="1">
      <c r="E22768" s="96"/>
    </row>
    <row r="22769" hidden="1">
      <c r="E22769" s="96"/>
    </row>
    <row r="22770" hidden="1">
      <c r="E22770" s="96"/>
    </row>
    <row r="22771" hidden="1">
      <c r="E22771" s="96"/>
    </row>
    <row r="22772" hidden="1">
      <c r="E22772" s="96"/>
    </row>
    <row r="22773" hidden="1">
      <c r="E22773" s="96"/>
    </row>
    <row r="22774" hidden="1">
      <c r="E22774" s="96"/>
    </row>
    <row r="22775" hidden="1">
      <c r="E22775" s="96"/>
    </row>
    <row r="22776" hidden="1">
      <c r="E22776" s="96"/>
    </row>
    <row r="22777" hidden="1">
      <c r="E22777" s="96"/>
    </row>
    <row r="22778" hidden="1">
      <c r="E22778" s="96"/>
    </row>
    <row r="22779" hidden="1">
      <c r="E22779" s="96"/>
    </row>
    <row r="22780" hidden="1">
      <c r="E22780" s="96"/>
    </row>
    <row r="22781" hidden="1">
      <c r="E22781" s="96"/>
    </row>
    <row r="22782" hidden="1">
      <c r="E22782" s="96"/>
    </row>
    <row r="22783" hidden="1">
      <c r="E22783" s="96"/>
    </row>
    <row r="22784" hidden="1">
      <c r="E22784" s="96"/>
    </row>
    <row r="22785" hidden="1">
      <c r="E22785" s="96"/>
    </row>
    <row r="22786" hidden="1">
      <c r="E22786" s="96"/>
    </row>
    <row r="22787" hidden="1">
      <c r="E22787" s="96"/>
    </row>
    <row r="22788" hidden="1">
      <c r="E22788" s="96"/>
    </row>
    <row r="22789" hidden="1">
      <c r="E22789" s="96"/>
    </row>
    <row r="22790" hidden="1">
      <c r="E22790" s="96"/>
    </row>
    <row r="22791" hidden="1">
      <c r="E22791" s="96"/>
    </row>
    <row r="22792" hidden="1">
      <c r="E22792" s="96"/>
    </row>
    <row r="22793" hidden="1">
      <c r="E22793" s="96"/>
    </row>
    <row r="22794" hidden="1">
      <c r="E22794" s="96"/>
    </row>
    <row r="22795" hidden="1">
      <c r="E22795" s="96"/>
    </row>
    <row r="22796" hidden="1">
      <c r="E22796" s="96"/>
    </row>
    <row r="22797" hidden="1">
      <c r="E22797" s="96"/>
    </row>
    <row r="22798" hidden="1">
      <c r="E22798" s="96"/>
    </row>
    <row r="22799" hidden="1">
      <c r="E22799" s="96"/>
    </row>
    <row r="22800" hidden="1">
      <c r="E22800" s="96"/>
    </row>
    <row r="22801" hidden="1">
      <c r="E22801" s="96"/>
    </row>
    <row r="22802" hidden="1">
      <c r="E22802" s="96"/>
    </row>
    <row r="22803" hidden="1">
      <c r="E22803" s="96"/>
    </row>
    <row r="22804" hidden="1">
      <c r="E22804" s="96"/>
    </row>
    <row r="22805" hidden="1">
      <c r="E22805" s="96"/>
    </row>
    <row r="22806" hidden="1">
      <c r="E22806" s="96"/>
    </row>
    <row r="22807" hidden="1">
      <c r="E22807" s="96"/>
    </row>
    <row r="22808" hidden="1">
      <c r="E22808" s="96"/>
    </row>
    <row r="22809" hidden="1">
      <c r="E22809" s="96"/>
    </row>
    <row r="22810" hidden="1">
      <c r="E22810" s="96"/>
    </row>
    <row r="22811" hidden="1">
      <c r="E22811" s="96"/>
    </row>
    <row r="22812" hidden="1">
      <c r="E22812" s="96"/>
    </row>
    <row r="22813" hidden="1">
      <c r="E22813" s="96"/>
    </row>
    <row r="22814" hidden="1">
      <c r="E22814" s="96"/>
    </row>
    <row r="22815" hidden="1">
      <c r="E22815" s="96"/>
    </row>
    <row r="22816" hidden="1">
      <c r="E22816" s="96"/>
    </row>
    <row r="22817" hidden="1">
      <c r="E22817" s="96"/>
    </row>
    <row r="22818" hidden="1">
      <c r="E22818" s="96"/>
    </row>
    <row r="22819" hidden="1">
      <c r="E22819" s="96"/>
    </row>
    <row r="22820" hidden="1">
      <c r="E22820" s="96"/>
    </row>
    <row r="22821" hidden="1">
      <c r="E22821" s="96"/>
    </row>
    <row r="22822" hidden="1">
      <c r="E22822" s="96"/>
    </row>
    <row r="22823" hidden="1">
      <c r="E22823" s="96"/>
    </row>
    <row r="22824" hidden="1">
      <c r="E22824" s="96"/>
    </row>
    <row r="22825" hidden="1">
      <c r="E22825" s="96"/>
    </row>
    <row r="22826" hidden="1">
      <c r="E22826" s="96"/>
    </row>
    <row r="22827" hidden="1">
      <c r="E22827" s="96"/>
    </row>
    <row r="22828" hidden="1">
      <c r="E22828" s="96"/>
    </row>
    <row r="22829" hidden="1">
      <c r="E22829" s="96"/>
    </row>
    <row r="22830" hidden="1">
      <c r="E22830" s="96"/>
    </row>
    <row r="22831" hidden="1">
      <c r="E22831" s="96"/>
    </row>
    <row r="22832" hidden="1">
      <c r="E22832" s="96"/>
    </row>
    <row r="22833" hidden="1">
      <c r="E22833" s="96"/>
    </row>
    <row r="22834" hidden="1">
      <c r="E22834" s="96"/>
    </row>
    <row r="22835" hidden="1">
      <c r="E22835" s="96"/>
    </row>
    <row r="22836" hidden="1">
      <c r="E22836" s="96"/>
    </row>
    <row r="22837" hidden="1">
      <c r="E22837" s="96"/>
    </row>
    <row r="22838" hidden="1">
      <c r="E22838" s="96"/>
    </row>
    <row r="22839" hidden="1">
      <c r="E22839" s="96"/>
    </row>
    <row r="22840" hidden="1">
      <c r="E22840" s="96"/>
    </row>
    <row r="22841" hidden="1">
      <c r="E22841" s="96"/>
    </row>
    <row r="22842" hidden="1">
      <c r="E22842" s="96"/>
    </row>
    <row r="22843" hidden="1">
      <c r="E22843" s="96"/>
    </row>
    <row r="22844" hidden="1">
      <c r="E22844" s="96"/>
    </row>
    <row r="22845" hidden="1">
      <c r="E22845" s="96"/>
    </row>
    <row r="22846" hidden="1">
      <c r="E22846" s="96"/>
    </row>
    <row r="22847" hidden="1">
      <c r="E22847" s="96"/>
    </row>
    <row r="22848" hidden="1">
      <c r="E22848" s="96"/>
    </row>
    <row r="22849" hidden="1">
      <c r="E22849" s="96"/>
    </row>
    <row r="22850" hidden="1">
      <c r="E22850" s="96"/>
    </row>
    <row r="22851" hidden="1">
      <c r="E22851" s="96"/>
    </row>
    <row r="22852" hidden="1">
      <c r="E22852" s="96"/>
    </row>
    <row r="22853" hidden="1">
      <c r="E22853" s="96"/>
    </row>
    <row r="22854" hidden="1">
      <c r="E22854" s="96"/>
    </row>
    <row r="22855" hidden="1">
      <c r="E22855" s="96"/>
    </row>
    <row r="22856" hidden="1">
      <c r="E22856" s="96"/>
    </row>
    <row r="22857" hidden="1">
      <c r="E22857" s="96"/>
    </row>
    <row r="22858" hidden="1">
      <c r="E22858" s="96"/>
    </row>
    <row r="22859" hidden="1">
      <c r="E22859" s="96"/>
    </row>
    <row r="22860" hidden="1">
      <c r="E22860" s="96"/>
    </row>
    <row r="22861" hidden="1">
      <c r="E22861" s="96"/>
    </row>
    <row r="22862" hidden="1">
      <c r="E22862" s="96"/>
    </row>
    <row r="22863" hidden="1">
      <c r="E22863" s="96"/>
    </row>
    <row r="22864" hidden="1">
      <c r="E22864" s="96"/>
    </row>
    <row r="22865" hidden="1">
      <c r="E22865" s="96"/>
    </row>
    <row r="22866" hidden="1">
      <c r="E22866" s="96"/>
    </row>
    <row r="22867" hidden="1">
      <c r="E22867" s="96"/>
    </row>
    <row r="22868" hidden="1">
      <c r="E22868" s="96"/>
    </row>
    <row r="22869" hidden="1">
      <c r="E22869" s="96"/>
    </row>
    <row r="22870" hidden="1">
      <c r="E22870" s="96"/>
    </row>
    <row r="22871" hidden="1">
      <c r="E22871" s="96"/>
    </row>
    <row r="22872" hidden="1">
      <c r="E22872" s="96"/>
    </row>
    <row r="22873" hidden="1">
      <c r="E22873" s="96"/>
    </row>
    <row r="22874" hidden="1">
      <c r="E22874" s="96"/>
    </row>
    <row r="22875" hidden="1">
      <c r="E22875" s="96"/>
    </row>
    <row r="22876" hidden="1">
      <c r="E22876" s="96"/>
    </row>
    <row r="22877" hidden="1">
      <c r="E22877" s="96"/>
    </row>
    <row r="22878" hidden="1">
      <c r="E22878" s="96"/>
    </row>
    <row r="22879" hidden="1">
      <c r="E22879" s="96"/>
    </row>
    <row r="22880" hidden="1">
      <c r="E22880" s="96"/>
    </row>
    <row r="22881" hidden="1">
      <c r="E22881" s="96"/>
    </row>
    <row r="22882" hidden="1">
      <c r="E22882" s="96"/>
    </row>
    <row r="22883" hidden="1">
      <c r="E22883" s="96"/>
    </row>
    <row r="22884" hidden="1">
      <c r="E22884" s="96"/>
    </row>
    <row r="22885" hidden="1">
      <c r="E22885" s="96"/>
    </row>
    <row r="22886" hidden="1">
      <c r="E22886" s="96"/>
    </row>
    <row r="22887" hidden="1">
      <c r="E22887" s="96"/>
    </row>
    <row r="22888" hidden="1">
      <c r="E22888" s="96"/>
    </row>
    <row r="22889" hidden="1">
      <c r="E22889" s="96"/>
    </row>
    <row r="22890" hidden="1">
      <c r="E22890" s="96"/>
    </row>
    <row r="22891" hidden="1">
      <c r="E22891" s="96"/>
    </row>
    <row r="22892" hidden="1">
      <c r="E22892" s="96"/>
    </row>
    <row r="22893" hidden="1">
      <c r="E22893" s="96"/>
    </row>
    <row r="22894" hidden="1">
      <c r="E22894" s="96"/>
    </row>
    <row r="22895" hidden="1">
      <c r="E22895" s="96"/>
    </row>
    <row r="22896" hidden="1">
      <c r="E22896" s="96"/>
    </row>
    <row r="22897" hidden="1">
      <c r="E22897" s="96"/>
    </row>
    <row r="22898" hidden="1">
      <c r="E22898" s="96"/>
    </row>
    <row r="22899" hidden="1">
      <c r="E22899" s="96"/>
    </row>
    <row r="22900" hidden="1">
      <c r="E22900" s="96"/>
    </row>
    <row r="22901" hidden="1">
      <c r="E22901" s="96"/>
    </row>
    <row r="22902" hidden="1">
      <c r="E22902" s="96"/>
    </row>
    <row r="22903" hidden="1">
      <c r="E22903" s="96"/>
    </row>
    <row r="22904" hidden="1">
      <c r="E22904" s="96"/>
    </row>
    <row r="22905" hidden="1">
      <c r="E22905" s="96"/>
    </row>
    <row r="22906" hidden="1">
      <c r="E22906" s="96"/>
    </row>
    <row r="22907" hidden="1">
      <c r="E22907" s="96"/>
    </row>
    <row r="22908" hidden="1">
      <c r="E22908" s="96"/>
    </row>
    <row r="22909" hidden="1">
      <c r="E22909" s="96"/>
    </row>
    <row r="22910" hidden="1">
      <c r="E22910" s="96"/>
    </row>
    <row r="22911" hidden="1">
      <c r="E22911" s="96"/>
    </row>
    <row r="22912" hidden="1">
      <c r="E22912" s="96"/>
    </row>
    <row r="22913" hidden="1">
      <c r="E22913" s="96"/>
    </row>
    <row r="22914" hidden="1">
      <c r="E22914" s="96"/>
    </row>
    <row r="22915" hidden="1">
      <c r="E22915" s="96"/>
    </row>
    <row r="22916" hidden="1">
      <c r="E22916" s="96"/>
    </row>
    <row r="22917" hidden="1">
      <c r="E22917" s="96"/>
    </row>
    <row r="22918" hidden="1">
      <c r="E22918" s="96"/>
    </row>
    <row r="22919" hidden="1">
      <c r="E22919" s="96"/>
    </row>
    <row r="22920" hidden="1">
      <c r="E22920" s="96"/>
    </row>
    <row r="22921" hidden="1">
      <c r="E22921" s="96"/>
    </row>
    <row r="22922" hidden="1">
      <c r="E22922" s="96"/>
    </row>
    <row r="22923" hidden="1">
      <c r="E22923" s="96"/>
    </row>
    <row r="22924" hidden="1">
      <c r="E22924" s="96"/>
    </row>
    <row r="22925" hidden="1">
      <c r="E22925" s="96"/>
    </row>
    <row r="22926" hidden="1">
      <c r="E22926" s="96"/>
    </row>
    <row r="22927" hidden="1">
      <c r="E22927" s="96"/>
    </row>
    <row r="22928" hidden="1">
      <c r="E22928" s="96"/>
    </row>
    <row r="22929" hidden="1">
      <c r="E22929" s="96"/>
    </row>
    <row r="22930" hidden="1">
      <c r="E22930" s="96"/>
    </row>
    <row r="22931" hidden="1">
      <c r="E22931" s="96"/>
    </row>
    <row r="22932" hidden="1">
      <c r="E22932" s="96"/>
    </row>
    <row r="22933" hidden="1">
      <c r="E22933" s="96"/>
    </row>
    <row r="22934" hidden="1">
      <c r="E22934" s="96"/>
    </row>
    <row r="22935" hidden="1">
      <c r="E22935" s="96"/>
    </row>
    <row r="22936" hidden="1">
      <c r="E22936" s="96"/>
    </row>
    <row r="22937" hidden="1">
      <c r="E22937" s="96"/>
    </row>
    <row r="22938" hidden="1">
      <c r="E22938" s="96"/>
    </row>
    <row r="22939" hidden="1">
      <c r="E22939" s="96"/>
    </row>
    <row r="22940" hidden="1">
      <c r="E22940" s="96"/>
    </row>
    <row r="22941" hidden="1">
      <c r="E22941" s="96"/>
    </row>
    <row r="22942" hidden="1">
      <c r="E22942" s="96"/>
    </row>
    <row r="22943" hidden="1">
      <c r="E22943" s="96"/>
    </row>
    <row r="22944" hidden="1">
      <c r="E22944" s="96"/>
    </row>
    <row r="22945" hidden="1">
      <c r="E22945" s="96"/>
    </row>
    <row r="22946" hidden="1">
      <c r="E22946" s="96"/>
    </row>
    <row r="22947" hidden="1">
      <c r="E22947" s="96"/>
    </row>
    <row r="22948" hidden="1">
      <c r="E22948" s="96"/>
    </row>
    <row r="22949" hidden="1">
      <c r="E22949" s="96"/>
    </row>
    <row r="22950" hidden="1">
      <c r="E22950" s="96"/>
    </row>
    <row r="22951" hidden="1">
      <c r="E22951" s="96"/>
    </row>
    <row r="22952" hidden="1">
      <c r="E22952" s="96"/>
    </row>
    <row r="22953" hidden="1">
      <c r="E22953" s="96"/>
    </row>
    <row r="22954" hidden="1">
      <c r="E22954" s="96"/>
    </row>
    <row r="22955" hidden="1">
      <c r="E22955" s="96"/>
    </row>
    <row r="22956" hidden="1">
      <c r="E22956" s="96"/>
    </row>
    <row r="22957" hidden="1">
      <c r="E22957" s="96"/>
    </row>
    <row r="22958" hidden="1">
      <c r="E22958" s="96"/>
    </row>
    <row r="22959" hidden="1">
      <c r="E22959" s="96"/>
    </row>
    <row r="22960" hidden="1">
      <c r="E22960" s="96"/>
    </row>
    <row r="22961" hidden="1">
      <c r="E22961" s="96"/>
    </row>
    <row r="22962" hidden="1">
      <c r="E22962" s="96"/>
    </row>
    <row r="22963" hidden="1">
      <c r="E22963" s="96"/>
    </row>
    <row r="22964" hidden="1">
      <c r="E22964" s="96"/>
    </row>
    <row r="22965" hidden="1">
      <c r="E22965" s="96"/>
    </row>
    <row r="22966" hidden="1">
      <c r="E22966" s="96"/>
    </row>
    <row r="22967" hidden="1">
      <c r="E22967" s="96"/>
    </row>
    <row r="22968" hidden="1">
      <c r="E22968" s="96"/>
    </row>
    <row r="22969" hidden="1">
      <c r="E22969" s="96"/>
    </row>
    <row r="22970" hidden="1">
      <c r="E22970" s="96"/>
    </row>
    <row r="22971" hidden="1">
      <c r="E22971" s="96"/>
    </row>
    <row r="22972" hidden="1">
      <c r="E22972" s="96"/>
    </row>
    <row r="22973" hidden="1">
      <c r="E22973" s="96"/>
    </row>
    <row r="22974" hidden="1">
      <c r="E22974" s="96"/>
    </row>
    <row r="22975" hidden="1">
      <c r="E22975" s="96"/>
    </row>
    <row r="22976" hidden="1">
      <c r="E22976" s="96"/>
    </row>
    <row r="22977" hidden="1">
      <c r="E22977" s="96"/>
    </row>
    <row r="22978" hidden="1">
      <c r="E22978" s="96"/>
    </row>
    <row r="22979" hidden="1">
      <c r="E22979" s="96"/>
    </row>
    <row r="22980" hidden="1">
      <c r="E22980" s="96"/>
    </row>
    <row r="22981" hidden="1">
      <c r="E22981" s="96"/>
    </row>
    <row r="22982" hidden="1">
      <c r="E22982" s="96"/>
    </row>
    <row r="22983" hidden="1">
      <c r="E22983" s="96"/>
    </row>
    <row r="22984" hidden="1">
      <c r="E22984" s="96"/>
    </row>
    <row r="22985" hidden="1">
      <c r="E22985" s="96"/>
    </row>
    <row r="22986" hidden="1">
      <c r="E22986" s="96"/>
    </row>
    <row r="22987" hidden="1">
      <c r="E22987" s="96"/>
    </row>
    <row r="22988" hidden="1">
      <c r="E22988" s="96"/>
    </row>
    <row r="22989" hidden="1">
      <c r="E22989" s="96"/>
    </row>
    <row r="22990" hidden="1">
      <c r="E22990" s="96"/>
    </row>
    <row r="22991" hidden="1">
      <c r="E22991" s="96"/>
    </row>
    <row r="22992" hidden="1">
      <c r="E22992" s="96"/>
    </row>
    <row r="22993" hidden="1">
      <c r="E22993" s="96"/>
    </row>
    <row r="22994" hidden="1">
      <c r="E22994" s="96"/>
    </row>
    <row r="22995" hidden="1">
      <c r="E22995" s="96"/>
    </row>
    <row r="22996" hidden="1">
      <c r="E22996" s="96"/>
    </row>
    <row r="22997" hidden="1">
      <c r="E22997" s="96"/>
    </row>
    <row r="22998" hidden="1">
      <c r="E22998" s="96"/>
    </row>
    <row r="22999" hidden="1">
      <c r="E22999" s="96"/>
    </row>
    <row r="23000" hidden="1">
      <c r="E23000" s="96"/>
    </row>
    <row r="23001" hidden="1">
      <c r="E23001" s="96"/>
    </row>
    <row r="23002" hidden="1">
      <c r="E23002" s="96"/>
    </row>
    <row r="23003" hidden="1">
      <c r="E23003" s="96"/>
    </row>
    <row r="23004" hidden="1">
      <c r="E23004" s="96"/>
    </row>
    <row r="23005" hidden="1">
      <c r="E23005" s="96"/>
    </row>
    <row r="23006" hidden="1">
      <c r="E23006" s="96"/>
    </row>
    <row r="23007" hidden="1">
      <c r="E23007" s="96"/>
    </row>
    <row r="23008" hidden="1">
      <c r="E23008" s="96"/>
    </row>
    <row r="23009" hidden="1">
      <c r="E23009" s="96"/>
    </row>
    <row r="23010" hidden="1">
      <c r="E23010" s="96"/>
    </row>
    <row r="23011" hidden="1">
      <c r="E23011" s="96"/>
    </row>
    <row r="23012" hidden="1">
      <c r="E23012" s="96"/>
    </row>
    <row r="23013" hidden="1">
      <c r="E23013" s="96"/>
    </row>
    <row r="23014" hidden="1">
      <c r="E23014" s="96"/>
    </row>
    <row r="23015" hidden="1">
      <c r="E23015" s="96"/>
    </row>
    <row r="23016" hidden="1">
      <c r="E23016" s="96"/>
    </row>
    <row r="23017" hidden="1">
      <c r="E23017" s="96"/>
    </row>
    <row r="23018" hidden="1">
      <c r="E23018" s="96"/>
    </row>
    <row r="23019" hidden="1">
      <c r="E23019" s="96"/>
    </row>
    <row r="23020" hidden="1">
      <c r="E23020" s="96"/>
    </row>
    <row r="23021" hidden="1">
      <c r="E23021" s="96"/>
    </row>
    <row r="23022" hidden="1">
      <c r="E23022" s="96"/>
    </row>
    <row r="23023" hidden="1">
      <c r="E23023" s="96"/>
    </row>
    <row r="23024" hidden="1">
      <c r="E23024" s="96"/>
    </row>
    <row r="23025" hidden="1">
      <c r="E23025" s="96"/>
    </row>
    <row r="23026" hidden="1">
      <c r="E23026" s="96"/>
    </row>
    <row r="23027" hidden="1">
      <c r="E23027" s="96"/>
    </row>
    <row r="23028" hidden="1">
      <c r="E23028" s="96"/>
    </row>
    <row r="23029" hidden="1">
      <c r="E23029" s="96"/>
    </row>
    <row r="23030" hidden="1">
      <c r="E23030" s="96"/>
    </row>
    <row r="23031" hidden="1">
      <c r="E23031" s="96"/>
    </row>
    <row r="23032" hidden="1">
      <c r="E23032" s="96"/>
    </row>
    <row r="23033" hidden="1">
      <c r="E23033" s="96"/>
    </row>
    <row r="23034" hidden="1">
      <c r="E23034" s="96"/>
    </row>
    <row r="23035" hidden="1">
      <c r="E23035" s="96"/>
    </row>
    <row r="23036" hidden="1">
      <c r="E23036" s="96"/>
    </row>
    <row r="23037" hidden="1">
      <c r="E23037" s="96"/>
    </row>
    <row r="23038" hidden="1">
      <c r="E23038" s="96"/>
    </row>
    <row r="23039" hidden="1">
      <c r="E23039" s="96"/>
    </row>
    <row r="23040" hidden="1">
      <c r="E23040" s="96"/>
    </row>
    <row r="23041" hidden="1">
      <c r="E23041" s="96"/>
    </row>
    <row r="23042" hidden="1">
      <c r="E23042" s="96"/>
    </row>
    <row r="23043" hidden="1">
      <c r="E23043" s="96"/>
    </row>
    <row r="23044" hidden="1">
      <c r="E23044" s="96"/>
    </row>
    <row r="23045" hidden="1">
      <c r="E23045" s="96"/>
    </row>
    <row r="23046" hidden="1">
      <c r="E23046" s="96"/>
    </row>
    <row r="23047" hidden="1">
      <c r="E23047" s="96"/>
    </row>
    <row r="23048" hidden="1">
      <c r="E23048" s="96"/>
    </row>
    <row r="23049" hidden="1">
      <c r="E23049" s="96"/>
    </row>
    <row r="23050" hidden="1">
      <c r="E23050" s="96"/>
    </row>
    <row r="23051" hidden="1">
      <c r="E23051" s="96"/>
    </row>
    <row r="23052" hidden="1">
      <c r="E23052" s="96"/>
    </row>
    <row r="23053" hidden="1">
      <c r="E23053" s="96"/>
    </row>
    <row r="23054" hidden="1">
      <c r="E23054" s="96"/>
    </row>
    <row r="23055" hidden="1">
      <c r="E23055" s="96"/>
    </row>
    <row r="23056" hidden="1">
      <c r="E23056" s="96"/>
    </row>
    <row r="23057" hidden="1">
      <c r="E23057" s="96"/>
    </row>
    <row r="23058" hidden="1">
      <c r="E23058" s="96"/>
    </row>
    <row r="23059" hidden="1">
      <c r="E23059" s="96"/>
    </row>
    <row r="23060" hidden="1">
      <c r="E23060" s="96"/>
    </row>
    <row r="23061" hidden="1">
      <c r="E23061" s="96"/>
    </row>
    <row r="23062" hidden="1">
      <c r="E23062" s="96"/>
    </row>
    <row r="23063" hidden="1">
      <c r="E23063" s="96"/>
    </row>
    <row r="23064" hidden="1">
      <c r="E23064" s="96"/>
    </row>
    <row r="23065" hidden="1">
      <c r="E23065" s="96"/>
    </row>
    <row r="23066" hidden="1">
      <c r="E23066" s="96"/>
    </row>
    <row r="23067" hidden="1">
      <c r="E23067" s="96"/>
    </row>
    <row r="23068" hidden="1">
      <c r="E23068" s="96"/>
    </row>
    <row r="23069" hidden="1">
      <c r="E23069" s="96"/>
    </row>
    <row r="23070" hidden="1">
      <c r="E23070" s="96"/>
    </row>
    <row r="23071" hidden="1">
      <c r="E23071" s="96"/>
    </row>
    <row r="23072" hidden="1">
      <c r="E23072" s="96"/>
    </row>
    <row r="23073" hidden="1">
      <c r="E23073" s="96"/>
    </row>
    <row r="23074" hidden="1">
      <c r="E23074" s="96"/>
    </row>
    <row r="23075" hidden="1">
      <c r="E23075" s="96"/>
    </row>
    <row r="23076" hidden="1">
      <c r="E23076" s="96"/>
    </row>
    <row r="23077" hidden="1">
      <c r="E23077" s="96"/>
    </row>
    <row r="23078" hidden="1">
      <c r="E23078" s="96"/>
    </row>
    <row r="23079" hidden="1">
      <c r="E23079" s="96"/>
    </row>
    <row r="23080" hidden="1">
      <c r="E23080" s="96"/>
    </row>
    <row r="23081" hidden="1">
      <c r="E23081" s="96"/>
    </row>
    <row r="23082" hidden="1">
      <c r="E23082" s="96"/>
    </row>
    <row r="23083" hidden="1">
      <c r="E23083" s="96"/>
    </row>
    <row r="23084" hidden="1">
      <c r="E23084" s="96"/>
    </row>
    <row r="23085" hidden="1">
      <c r="E23085" s="96"/>
    </row>
    <row r="23086" hidden="1">
      <c r="E23086" s="96"/>
    </row>
    <row r="23087" hidden="1">
      <c r="E23087" s="96"/>
    </row>
    <row r="23088" hidden="1">
      <c r="E23088" s="96"/>
    </row>
    <row r="23089" hidden="1">
      <c r="E23089" s="96"/>
    </row>
    <row r="23090" hidden="1">
      <c r="E23090" s="96"/>
    </row>
    <row r="23091" hidden="1">
      <c r="E23091" s="96"/>
    </row>
    <row r="23092" hidden="1">
      <c r="E23092" s="96"/>
    </row>
    <row r="23093" hidden="1">
      <c r="E23093" s="96"/>
    </row>
    <row r="23094" hidden="1">
      <c r="E23094" s="96"/>
    </row>
    <row r="23095" hidden="1">
      <c r="E23095" s="96"/>
    </row>
    <row r="23096" hidden="1">
      <c r="E23096" s="96"/>
    </row>
    <row r="23097" hidden="1">
      <c r="E23097" s="96"/>
    </row>
    <row r="23098" hidden="1">
      <c r="E23098" s="96"/>
    </row>
    <row r="23099" hidden="1">
      <c r="E23099" s="96"/>
    </row>
    <row r="23100" hidden="1">
      <c r="E23100" s="96"/>
    </row>
    <row r="23101" hidden="1">
      <c r="E23101" s="96"/>
    </row>
    <row r="23102" hidden="1">
      <c r="E23102" s="96"/>
    </row>
    <row r="23103" hidden="1">
      <c r="E23103" s="96"/>
    </row>
    <row r="23104" hidden="1">
      <c r="E23104" s="96"/>
    </row>
    <row r="23105" hidden="1">
      <c r="E23105" s="96"/>
    </row>
    <row r="23106" hidden="1">
      <c r="E23106" s="96"/>
    </row>
    <row r="23107" hidden="1">
      <c r="E23107" s="96"/>
    </row>
    <row r="23108" hidden="1">
      <c r="E23108" s="96"/>
    </row>
    <row r="23109" hidden="1">
      <c r="E23109" s="96"/>
    </row>
    <row r="23110" hidden="1">
      <c r="E23110" s="96"/>
    </row>
    <row r="23111" hidden="1">
      <c r="E23111" s="96"/>
    </row>
    <row r="23112" hidden="1">
      <c r="E23112" s="96"/>
    </row>
    <row r="23113" hidden="1">
      <c r="E23113" s="96"/>
    </row>
    <row r="23114" hidden="1">
      <c r="E23114" s="96"/>
    </row>
    <row r="23115" hidden="1">
      <c r="E23115" s="96"/>
    </row>
    <row r="23116" hidden="1">
      <c r="E23116" s="96"/>
    </row>
    <row r="23117" hidden="1">
      <c r="E23117" s="96"/>
    </row>
    <row r="23118" hidden="1">
      <c r="E23118" s="96"/>
    </row>
    <row r="23119" hidden="1">
      <c r="E23119" s="96"/>
    </row>
    <row r="23120" hidden="1">
      <c r="E23120" s="96"/>
    </row>
    <row r="23121" hidden="1">
      <c r="E23121" s="96"/>
    </row>
    <row r="23122" hidden="1">
      <c r="E23122" s="96"/>
    </row>
    <row r="23123" hidden="1">
      <c r="E23123" s="96"/>
    </row>
    <row r="23124" hidden="1">
      <c r="E23124" s="96"/>
    </row>
    <row r="23125" hidden="1">
      <c r="E23125" s="96"/>
    </row>
    <row r="23126" hidden="1">
      <c r="E23126" s="96"/>
    </row>
    <row r="23127" hidden="1">
      <c r="E23127" s="96"/>
    </row>
    <row r="23128" hidden="1">
      <c r="E23128" s="96"/>
    </row>
    <row r="23129" hidden="1">
      <c r="E23129" s="96"/>
    </row>
    <row r="23130" hidden="1">
      <c r="E23130" s="96"/>
    </row>
    <row r="23131" hidden="1">
      <c r="E23131" s="96"/>
    </row>
    <row r="23132" hidden="1">
      <c r="E23132" s="96"/>
    </row>
    <row r="23133" hidden="1">
      <c r="E23133" s="96"/>
    </row>
    <row r="23134" hidden="1">
      <c r="E23134" s="96"/>
    </row>
    <row r="23135" hidden="1">
      <c r="E23135" s="96"/>
    </row>
    <row r="23136" hidden="1">
      <c r="E23136" s="96"/>
    </row>
    <row r="23137" hidden="1">
      <c r="E23137" s="96"/>
    </row>
    <row r="23138" hidden="1">
      <c r="E23138" s="96"/>
    </row>
    <row r="23139" hidden="1">
      <c r="E23139" s="96"/>
    </row>
    <row r="23140" hidden="1">
      <c r="E23140" s="96"/>
    </row>
    <row r="23141" hidden="1">
      <c r="E23141" s="96"/>
    </row>
    <row r="23142" hidden="1">
      <c r="E23142" s="96"/>
    </row>
    <row r="23143" hidden="1">
      <c r="E23143" s="96"/>
    </row>
    <row r="23144" hidden="1">
      <c r="E23144" s="96"/>
    </row>
    <row r="23145" hidden="1">
      <c r="E23145" s="96"/>
    </row>
    <row r="23146" hidden="1">
      <c r="E23146" s="96"/>
    </row>
    <row r="23147" hidden="1">
      <c r="E23147" s="96"/>
    </row>
    <row r="23148" hidden="1">
      <c r="E23148" s="96"/>
    </row>
    <row r="23149" hidden="1">
      <c r="E23149" s="96"/>
    </row>
    <row r="23150" hidden="1">
      <c r="E23150" s="96"/>
    </row>
    <row r="23151" hidden="1">
      <c r="E23151" s="96"/>
    </row>
    <row r="23152" hidden="1">
      <c r="E23152" s="96"/>
    </row>
    <row r="23153" hidden="1">
      <c r="E23153" s="96"/>
    </row>
    <row r="23154" hidden="1">
      <c r="E23154" s="96"/>
    </row>
    <row r="23155" hidden="1">
      <c r="E23155" s="96"/>
    </row>
    <row r="23156" hidden="1">
      <c r="E23156" s="96"/>
    </row>
    <row r="23157" hidden="1">
      <c r="E23157" s="96"/>
    </row>
    <row r="23158" hidden="1">
      <c r="E23158" s="96"/>
    </row>
    <row r="23159" hidden="1">
      <c r="E23159" s="96"/>
    </row>
    <row r="23160" hidden="1">
      <c r="E23160" s="96"/>
    </row>
    <row r="23161" hidden="1">
      <c r="E23161" s="96"/>
    </row>
    <row r="23162" hidden="1">
      <c r="E23162" s="96"/>
    </row>
    <row r="23163" hidden="1">
      <c r="E23163" s="96"/>
    </row>
    <row r="23164" hidden="1">
      <c r="E23164" s="96"/>
    </row>
    <row r="23165" hidden="1">
      <c r="E23165" s="96"/>
    </row>
    <row r="23166" hidden="1">
      <c r="E23166" s="96"/>
    </row>
    <row r="23167" hidden="1">
      <c r="E23167" s="96"/>
    </row>
    <row r="23168" hidden="1">
      <c r="E23168" s="96"/>
    </row>
    <row r="23169" hidden="1">
      <c r="E23169" s="96"/>
    </row>
    <row r="23170" hidden="1">
      <c r="E23170" s="96"/>
    </row>
    <row r="23171" hidden="1">
      <c r="E23171" s="96"/>
    </row>
    <row r="23172" hidden="1">
      <c r="E23172" s="96"/>
    </row>
    <row r="23173" hidden="1">
      <c r="E23173" s="96"/>
    </row>
    <row r="23174" hidden="1">
      <c r="E23174" s="96"/>
    </row>
    <row r="23175" hidden="1">
      <c r="E23175" s="96"/>
    </row>
    <row r="23176" hidden="1">
      <c r="E23176" s="96"/>
    </row>
    <row r="23177" hidden="1">
      <c r="E23177" s="96"/>
    </row>
    <row r="23178" hidden="1">
      <c r="E23178" s="96"/>
    </row>
    <row r="23179" hidden="1">
      <c r="E23179" s="96"/>
    </row>
    <row r="23180" hidden="1">
      <c r="E23180" s="96"/>
    </row>
    <row r="23181" hidden="1">
      <c r="E23181" s="96"/>
    </row>
    <row r="23182" hidden="1">
      <c r="E23182" s="96"/>
    </row>
    <row r="23183" hidden="1">
      <c r="E23183" s="96"/>
    </row>
    <row r="23184" hidden="1">
      <c r="E23184" s="96"/>
    </row>
    <row r="23185" hidden="1">
      <c r="E23185" s="96"/>
    </row>
    <row r="23186" hidden="1">
      <c r="E23186" s="96"/>
    </row>
    <row r="23187" hidden="1">
      <c r="E23187" s="96"/>
    </row>
    <row r="23188" hidden="1">
      <c r="E23188" s="96"/>
    </row>
    <row r="23189" hidden="1">
      <c r="E23189" s="96"/>
    </row>
    <row r="23190" hidden="1">
      <c r="E23190" s="96"/>
    </row>
    <row r="23191" hidden="1">
      <c r="E23191" s="96"/>
    </row>
    <row r="23192" hidden="1">
      <c r="E23192" s="96"/>
    </row>
    <row r="23193" hidden="1">
      <c r="E23193" s="96"/>
    </row>
    <row r="23194" hidden="1">
      <c r="E23194" s="96"/>
    </row>
    <row r="23195" hidden="1">
      <c r="E23195" s="96"/>
    </row>
    <row r="23196" hidden="1">
      <c r="E23196" s="96"/>
    </row>
    <row r="23197" hidden="1">
      <c r="E23197" s="96"/>
    </row>
    <row r="23198" hidden="1">
      <c r="E23198" s="96"/>
    </row>
    <row r="23199" hidden="1">
      <c r="E23199" s="96"/>
    </row>
    <row r="23200" hidden="1">
      <c r="E23200" s="96"/>
    </row>
    <row r="23201" hidden="1">
      <c r="E23201" s="96"/>
    </row>
    <row r="23202" hidden="1">
      <c r="E23202" s="96"/>
    </row>
    <row r="23203" hidden="1">
      <c r="E23203" s="96"/>
    </row>
    <row r="23204" hidden="1">
      <c r="E23204" s="96"/>
    </row>
    <row r="23205" hidden="1">
      <c r="E23205" s="96"/>
    </row>
    <row r="23206" hidden="1">
      <c r="E23206" s="96"/>
    </row>
    <row r="23207" hidden="1">
      <c r="E23207" s="96"/>
    </row>
    <row r="23208" hidden="1">
      <c r="E23208" s="96"/>
    </row>
    <row r="23209" hidden="1">
      <c r="E23209" s="96"/>
    </row>
    <row r="23210" hidden="1">
      <c r="E23210" s="96"/>
    </row>
    <row r="23211" hidden="1">
      <c r="E23211" s="96"/>
    </row>
    <row r="23212" hidden="1">
      <c r="E23212" s="96"/>
    </row>
    <row r="23213" hidden="1">
      <c r="E23213" s="96"/>
    </row>
    <row r="23214" hidden="1">
      <c r="E23214" s="96"/>
    </row>
    <row r="23215" hidden="1">
      <c r="E23215" s="96"/>
    </row>
    <row r="23216" hidden="1">
      <c r="E23216" s="96"/>
    </row>
    <row r="23217" hidden="1">
      <c r="E23217" s="96"/>
    </row>
    <row r="23218" hidden="1">
      <c r="E23218" s="96"/>
    </row>
    <row r="23219" hidden="1">
      <c r="E23219" s="96"/>
    </row>
    <row r="23220" hidden="1">
      <c r="E23220" s="96"/>
    </row>
    <row r="23221" hidden="1">
      <c r="E23221" s="96"/>
    </row>
    <row r="23222" hidden="1">
      <c r="E23222" s="96"/>
    </row>
    <row r="23223" hidden="1">
      <c r="E23223" s="96"/>
    </row>
    <row r="23224" hidden="1">
      <c r="E23224" s="96"/>
    </row>
    <row r="23225" hidden="1">
      <c r="E23225" s="96"/>
    </row>
    <row r="23226" hidden="1">
      <c r="E23226" s="96"/>
    </row>
    <row r="23227" hidden="1">
      <c r="E23227" s="96"/>
    </row>
    <row r="23228" hidden="1">
      <c r="E23228" s="96"/>
    </row>
    <row r="23229" hidden="1">
      <c r="E23229" s="96"/>
    </row>
    <row r="23230" hidden="1">
      <c r="E23230" s="96"/>
    </row>
    <row r="23231" hidden="1">
      <c r="E23231" s="96"/>
    </row>
    <row r="23232" hidden="1">
      <c r="E23232" s="96"/>
    </row>
    <row r="23233" hidden="1">
      <c r="E23233" s="96"/>
    </row>
    <row r="23234" hidden="1">
      <c r="E23234" s="96"/>
    </row>
    <row r="23235" hidden="1">
      <c r="E23235" s="96"/>
    </row>
    <row r="23236" hidden="1">
      <c r="E23236" s="96"/>
    </row>
    <row r="23237" hidden="1">
      <c r="E23237" s="96"/>
    </row>
    <row r="23238" hidden="1">
      <c r="E23238" s="96"/>
    </row>
    <row r="23239" hidden="1">
      <c r="E23239" s="96"/>
    </row>
    <row r="23240" hidden="1">
      <c r="E23240" s="96"/>
    </row>
    <row r="23241" hidden="1">
      <c r="E23241" s="96"/>
    </row>
    <row r="23242" hidden="1">
      <c r="E23242" s="96"/>
    </row>
    <row r="23243" hidden="1">
      <c r="E23243" s="96"/>
    </row>
    <row r="23244" hidden="1">
      <c r="E23244" s="96"/>
    </row>
    <row r="23245" hidden="1">
      <c r="E23245" s="96"/>
    </row>
    <row r="23246" hidden="1">
      <c r="E23246" s="96"/>
    </row>
    <row r="23247" hidden="1">
      <c r="E23247" s="96"/>
    </row>
    <row r="23248" hidden="1">
      <c r="E23248" s="96"/>
    </row>
    <row r="23249" hidden="1">
      <c r="E23249" s="96"/>
    </row>
    <row r="23250" hidden="1">
      <c r="E23250" s="96"/>
    </row>
    <row r="23251" hidden="1">
      <c r="E23251" s="96"/>
    </row>
    <row r="23252" hidden="1">
      <c r="E23252" s="96"/>
    </row>
    <row r="23253" hidden="1">
      <c r="E23253" s="96"/>
    </row>
    <row r="23254" hidden="1">
      <c r="E23254" s="96"/>
    </row>
    <row r="23255" hidden="1">
      <c r="E23255" s="96"/>
    </row>
    <row r="23256" hidden="1">
      <c r="E23256" s="96"/>
    </row>
    <row r="23257" hidden="1">
      <c r="E23257" s="96"/>
    </row>
    <row r="23258" hidden="1">
      <c r="E23258" s="96"/>
    </row>
    <row r="23259" hidden="1">
      <c r="E23259" s="96"/>
    </row>
    <row r="23260" hidden="1">
      <c r="E23260" s="96"/>
    </row>
    <row r="23261" hidden="1">
      <c r="E23261" s="96"/>
    </row>
    <row r="23262" hidden="1">
      <c r="E23262" s="96"/>
    </row>
    <row r="23263" hidden="1">
      <c r="E23263" s="96"/>
    </row>
    <row r="23264" hidden="1">
      <c r="E23264" s="96"/>
    </row>
    <row r="23265" hidden="1">
      <c r="E23265" s="96"/>
    </row>
    <row r="23266" hidden="1">
      <c r="E23266" s="96"/>
    </row>
    <row r="23267" hidden="1">
      <c r="E23267" s="96"/>
    </row>
    <row r="23268" hidden="1">
      <c r="E23268" s="96"/>
    </row>
    <row r="23269" hidden="1">
      <c r="E23269" s="96"/>
    </row>
    <row r="23270" hidden="1">
      <c r="E23270" s="96"/>
    </row>
    <row r="23271" hidden="1">
      <c r="E23271" s="96"/>
    </row>
    <row r="23272" hidden="1">
      <c r="E23272" s="96"/>
    </row>
    <row r="23273" hidden="1">
      <c r="E23273" s="96"/>
    </row>
    <row r="23274" hidden="1">
      <c r="E23274" s="96"/>
    </row>
    <row r="23275" hidden="1">
      <c r="E23275" s="96"/>
    </row>
    <row r="23276" hidden="1">
      <c r="E23276" s="96"/>
    </row>
    <row r="23277" hidden="1">
      <c r="E23277" s="96"/>
    </row>
    <row r="23278" hidden="1">
      <c r="E23278" s="96"/>
    </row>
    <row r="23279" hidden="1">
      <c r="E23279" s="96"/>
    </row>
    <row r="23280" hidden="1">
      <c r="E23280" s="96"/>
    </row>
    <row r="23281" hidden="1">
      <c r="E23281" s="96"/>
    </row>
    <row r="23282" hidden="1">
      <c r="E23282" s="96"/>
    </row>
    <row r="23283" hidden="1">
      <c r="E23283" s="96"/>
    </row>
    <row r="23284" hidden="1">
      <c r="E23284" s="96"/>
    </row>
    <row r="23285" hidden="1">
      <c r="E23285" s="96"/>
    </row>
    <row r="23286" hidden="1">
      <c r="E23286" s="96"/>
    </row>
    <row r="23287" hidden="1">
      <c r="E23287" s="96"/>
    </row>
    <row r="23288" hidden="1">
      <c r="E23288" s="96"/>
    </row>
    <row r="23289" hidden="1">
      <c r="E23289" s="96"/>
    </row>
    <row r="23290" hidden="1">
      <c r="E23290" s="96"/>
    </row>
    <row r="23291" hidden="1">
      <c r="E23291" s="96"/>
    </row>
    <row r="23292" hidden="1">
      <c r="E23292" s="96"/>
    </row>
    <row r="23293" hidden="1">
      <c r="E23293" s="96"/>
    </row>
    <row r="23294" hidden="1">
      <c r="E23294" s="96"/>
    </row>
    <row r="23295" hidden="1">
      <c r="E23295" s="96"/>
    </row>
    <row r="23296" hidden="1">
      <c r="E23296" s="96"/>
    </row>
    <row r="23297" hidden="1">
      <c r="E23297" s="96"/>
    </row>
    <row r="23298" hidden="1">
      <c r="E23298" s="96"/>
    </row>
    <row r="23299" hidden="1">
      <c r="E23299" s="96"/>
    </row>
    <row r="23300" hidden="1">
      <c r="E23300" s="96"/>
    </row>
    <row r="23301" hidden="1">
      <c r="E23301" s="96"/>
    </row>
    <row r="23302" hidden="1">
      <c r="E23302" s="96"/>
    </row>
    <row r="23303" hidden="1">
      <c r="E23303" s="96"/>
    </row>
    <row r="23304" hidden="1">
      <c r="E23304" s="96"/>
    </row>
    <row r="23305" hidden="1">
      <c r="E23305" s="96"/>
    </row>
    <row r="23306" hidden="1">
      <c r="E23306" s="96"/>
    </row>
    <row r="23307" hidden="1">
      <c r="E23307" s="96"/>
    </row>
    <row r="23308" hidden="1">
      <c r="E23308" s="96"/>
    </row>
    <row r="23309" hidden="1">
      <c r="E23309" s="96"/>
    </row>
    <row r="23310" hidden="1">
      <c r="E23310" s="96"/>
    </row>
    <row r="23311" hidden="1">
      <c r="E23311" s="96"/>
    </row>
    <row r="23312" hidden="1">
      <c r="E23312" s="96"/>
    </row>
    <row r="23313" hidden="1">
      <c r="E23313" s="96"/>
    </row>
    <row r="23314" hidden="1">
      <c r="E23314" s="96"/>
    </row>
    <row r="23315" hidden="1">
      <c r="E23315" s="96"/>
    </row>
    <row r="23316" hidden="1">
      <c r="E23316" s="96"/>
    </row>
    <row r="23317" hidden="1">
      <c r="E23317" s="96"/>
    </row>
    <row r="23318" hidden="1">
      <c r="E23318" s="96"/>
    </row>
    <row r="23319" hidden="1">
      <c r="E23319" s="96"/>
    </row>
    <row r="23320" hidden="1">
      <c r="E23320" s="96"/>
    </row>
    <row r="23321" hidden="1">
      <c r="E23321" s="96"/>
    </row>
    <row r="23322" hidden="1">
      <c r="E23322" s="96"/>
    </row>
    <row r="23323" hidden="1">
      <c r="E23323" s="96"/>
    </row>
    <row r="23324" hidden="1">
      <c r="E23324" s="96"/>
    </row>
    <row r="23325" hidden="1">
      <c r="E23325" s="96"/>
    </row>
    <row r="23326" hidden="1">
      <c r="E23326" s="96"/>
    </row>
    <row r="23327" hidden="1">
      <c r="E23327" s="96"/>
    </row>
    <row r="23328" hidden="1">
      <c r="E23328" s="96"/>
    </row>
    <row r="23329" hidden="1">
      <c r="E23329" s="96"/>
    </row>
    <row r="23330" hidden="1">
      <c r="E23330" s="96"/>
    </row>
    <row r="23331" hidden="1">
      <c r="E23331" s="96"/>
    </row>
    <row r="23332" hidden="1">
      <c r="E23332" s="96"/>
    </row>
    <row r="23333" hidden="1">
      <c r="E23333" s="96"/>
    </row>
    <row r="23334" hidden="1">
      <c r="E23334" s="96"/>
    </row>
    <row r="23335" hidden="1">
      <c r="E23335" s="96"/>
    </row>
    <row r="23336" hidden="1">
      <c r="E23336" s="96"/>
    </row>
    <row r="23337" hidden="1">
      <c r="E23337" s="96"/>
    </row>
    <row r="23338" hidden="1">
      <c r="E23338" s="96"/>
    </row>
    <row r="23339" hidden="1">
      <c r="E23339" s="96"/>
    </row>
    <row r="23340" hidden="1">
      <c r="E23340" s="96"/>
    </row>
    <row r="23341" hidden="1">
      <c r="E23341" s="96"/>
    </row>
    <row r="23342" hidden="1">
      <c r="E23342" s="96"/>
    </row>
    <row r="23343" hidden="1">
      <c r="E23343" s="96"/>
    </row>
    <row r="23344" hidden="1">
      <c r="E23344" s="96"/>
    </row>
    <row r="23345" hidden="1">
      <c r="E23345" s="96"/>
    </row>
    <row r="23346" hidden="1">
      <c r="E23346" s="96"/>
    </row>
    <row r="23347" hidden="1">
      <c r="E23347" s="96"/>
    </row>
    <row r="23348" hidden="1">
      <c r="E23348" s="96"/>
    </row>
    <row r="23349" hidden="1">
      <c r="E23349" s="96"/>
    </row>
    <row r="23350" hidden="1">
      <c r="E23350" s="96"/>
    </row>
    <row r="23351" hidden="1">
      <c r="E23351" s="96"/>
    </row>
    <row r="23352" hidden="1">
      <c r="E23352" s="96"/>
    </row>
    <row r="23353" hidden="1">
      <c r="E23353" s="96"/>
    </row>
    <row r="23354" hidden="1">
      <c r="E23354" s="96"/>
    </row>
    <row r="23355" hidden="1">
      <c r="E23355" s="96"/>
    </row>
    <row r="23356" hidden="1">
      <c r="E23356" s="96"/>
    </row>
    <row r="23357" hidden="1">
      <c r="E23357" s="96"/>
    </row>
    <row r="23358" hidden="1">
      <c r="E23358" s="96"/>
    </row>
    <row r="23359" hidden="1">
      <c r="E23359" s="96"/>
    </row>
    <row r="23360" hidden="1">
      <c r="E23360" s="96"/>
    </row>
    <row r="23361" hidden="1">
      <c r="E23361" s="96"/>
    </row>
    <row r="23362" hidden="1">
      <c r="E23362" s="96"/>
    </row>
    <row r="23363" hidden="1">
      <c r="E23363" s="96"/>
    </row>
    <row r="23364" hidden="1">
      <c r="E23364" s="96"/>
    </row>
    <row r="23365" hidden="1">
      <c r="E23365" s="96"/>
    </row>
    <row r="23366" hidden="1">
      <c r="E23366" s="96"/>
    </row>
    <row r="23367" hidden="1">
      <c r="E23367" s="96"/>
    </row>
    <row r="23368" hidden="1">
      <c r="E23368" s="96"/>
    </row>
    <row r="23369" hidden="1">
      <c r="E23369" s="96"/>
    </row>
    <row r="23370" hidden="1">
      <c r="E23370" s="96"/>
    </row>
    <row r="23371" hidden="1">
      <c r="E23371" s="96"/>
    </row>
    <row r="23372" hidden="1">
      <c r="E23372" s="96"/>
    </row>
    <row r="23373" hidden="1">
      <c r="E23373" s="96"/>
    </row>
    <row r="23374" hidden="1">
      <c r="E23374" s="96"/>
    </row>
    <row r="23375" hidden="1">
      <c r="E23375" s="96"/>
    </row>
    <row r="23376" hidden="1">
      <c r="E23376" s="96"/>
    </row>
    <row r="23377" hidden="1">
      <c r="E23377" s="96"/>
    </row>
    <row r="23378" hidden="1">
      <c r="E23378" s="96"/>
    </row>
    <row r="23379" hidden="1">
      <c r="E23379" s="96"/>
    </row>
    <row r="23380" hidden="1">
      <c r="E23380" s="96"/>
    </row>
    <row r="23381" hidden="1">
      <c r="E23381" s="96"/>
    </row>
    <row r="23382" hidden="1">
      <c r="E23382" s="96"/>
    </row>
    <row r="23383" hidden="1">
      <c r="E23383" s="96"/>
    </row>
    <row r="23384" hidden="1">
      <c r="E23384" s="96"/>
    </row>
    <row r="23385" hidden="1">
      <c r="E23385" s="96"/>
    </row>
    <row r="23386" hidden="1">
      <c r="E23386" s="96"/>
    </row>
    <row r="23387" hidden="1">
      <c r="E23387" s="96"/>
    </row>
    <row r="23388" hidden="1">
      <c r="E23388" s="96"/>
    </row>
    <row r="23389" hidden="1">
      <c r="E23389" s="96"/>
    </row>
    <row r="23390" hidden="1">
      <c r="E23390" s="96"/>
    </row>
    <row r="23391" hidden="1">
      <c r="E23391" s="96"/>
    </row>
    <row r="23392" hidden="1">
      <c r="E23392" s="96"/>
    </row>
    <row r="23393" hidden="1">
      <c r="E23393" s="96"/>
    </row>
    <row r="23394" hidden="1">
      <c r="E23394" s="96"/>
    </row>
    <row r="23395" hidden="1">
      <c r="E23395" s="96"/>
    </row>
    <row r="23396" hidden="1">
      <c r="E23396" s="96"/>
    </row>
    <row r="23397" hidden="1">
      <c r="E23397" s="96"/>
    </row>
    <row r="23398" hidden="1">
      <c r="E23398" s="96"/>
    </row>
    <row r="23399" hidden="1">
      <c r="E23399" s="96"/>
    </row>
    <row r="23400" hidden="1">
      <c r="E23400" s="96"/>
    </row>
    <row r="23401" hidden="1">
      <c r="E23401" s="96"/>
    </row>
    <row r="23402" hidden="1">
      <c r="E23402" s="96"/>
    </row>
    <row r="23403" hidden="1">
      <c r="E23403" s="96"/>
    </row>
    <row r="23404" hidden="1">
      <c r="E23404" s="96"/>
    </row>
    <row r="23405" hidden="1">
      <c r="E23405" s="96"/>
    </row>
    <row r="23406" hidden="1">
      <c r="E23406" s="96"/>
    </row>
    <row r="23407" hidden="1">
      <c r="E23407" s="96"/>
    </row>
    <row r="23408" hidden="1">
      <c r="E23408" s="96"/>
    </row>
    <row r="23409" hidden="1">
      <c r="E23409" s="96"/>
    </row>
    <row r="23410" hidden="1">
      <c r="E23410" s="96"/>
    </row>
    <row r="23411" hidden="1">
      <c r="E23411" s="96"/>
    </row>
    <row r="23412" hidden="1">
      <c r="E23412" s="96"/>
    </row>
    <row r="23413" hidden="1">
      <c r="E23413" s="96"/>
    </row>
    <row r="23414" hidden="1">
      <c r="E23414" s="96"/>
    </row>
    <row r="23415" hidden="1">
      <c r="E23415" s="96"/>
    </row>
    <row r="23416" hidden="1">
      <c r="E23416" s="96"/>
    </row>
    <row r="23417" hidden="1">
      <c r="E23417" s="96"/>
    </row>
    <row r="23418" hidden="1">
      <c r="E23418" s="96"/>
    </row>
    <row r="23419" hidden="1">
      <c r="E23419" s="96"/>
    </row>
    <row r="23420" hidden="1">
      <c r="E23420" s="96"/>
    </row>
    <row r="23421" hidden="1">
      <c r="E23421" s="96"/>
    </row>
    <row r="23422" hidden="1">
      <c r="E23422" s="96"/>
    </row>
    <row r="23423" hidden="1">
      <c r="E23423" s="96"/>
    </row>
    <row r="23424" hidden="1">
      <c r="E23424" s="96"/>
    </row>
    <row r="23425" hidden="1">
      <c r="E23425" s="96"/>
    </row>
    <row r="23426" hidden="1">
      <c r="E23426" s="96"/>
    </row>
    <row r="23427" hidden="1">
      <c r="E23427" s="96"/>
    </row>
    <row r="23428" hidden="1">
      <c r="E23428" s="96"/>
    </row>
    <row r="23429" hidden="1">
      <c r="E23429" s="96"/>
    </row>
    <row r="23430" hidden="1">
      <c r="E23430" s="96"/>
    </row>
    <row r="23431" hidden="1">
      <c r="E23431" s="96"/>
    </row>
    <row r="23432" hidden="1">
      <c r="E23432" s="96"/>
    </row>
    <row r="23433" hidden="1">
      <c r="E23433" s="96"/>
    </row>
    <row r="23434" hidden="1">
      <c r="E23434" s="96"/>
    </row>
    <row r="23435" hidden="1">
      <c r="E23435" s="96"/>
    </row>
    <row r="23436" hidden="1">
      <c r="E23436" s="96"/>
    </row>
    <row r="23437" hidden="1">
      <c r="E23437" s="96"/>
    </row>
    <row r="23438" hidden="1">
      <c r="E23438" s="96"/>
    </row>
    <row r="23439" hidden="1">
      <c r="E23439" s="96"/>
    </row>
    <row r="23440" hidden="1">
      <c r="E23440" s="96"/>
    </row>
    <row r="23441" hidden="1">
      <c r="E23441" s="96"/>
    </row>
    <row r="23442" hidden="1">
      <c r="E23442" s="96"/>
    </row>
    <row r="23443" hidden="1">
      <c r="E23443" s="96"/>
    </row>
    <row r="23444" hidden="1">
      <c r="E23444" s="96"/>
    </row>
    <row r="23445" hidden="1">
      <c r="E23445" s="96"/>
    </row>
    <row r="23446" hidden="1">
      <c r="E23446" s="96"/>
    </row>
    <row r="23447" hidden="1">
      <c r="E23447" s="96"/>
    </row>
    <row r="23448" hidden="1">
      <c r="E23448" s="96"/>
    </row>
    <row r="23449" hidden="1">
      <c r="E23449" s="96"/>
    </row>
    <row r="23450" hidden="1">
      <c r="E23450" s="96"/>
    </row>
    <row r="23451" hidden="1">
      <c r="E23451" s="96"/>
    </row>
    <row r="23452" hidden="1">
      <c r="E23452" s="96"/>
    </row>
    <row r="23453" hidden="1">
      <c r="E23453" s="96"/>
    </row>
    <row r="23454" hidden="1">
      <c r="E23454" s="96"/>
    </row>
    <row r="23455" hidden="1">
      <c r="E23455" s="96"/>
    </row>
    <row r="23456" hidden="1">
      <c r="E23456" s="96"/>
    </row>
    <row r="23457" hidden="1">
      <c r="E23457" s="96"/>
    </row>
    <row r="23458" hidden="1">
      <c r="E23458" s="96"/>
    </row>
    <row r="23459" hidden="1">
      <c r="E23459" s="96"/>
    </row>
    <row r="23460" hidden="1">
      <c r="E23460" s="96"/>
    </row>
    <row r="23461" hidden="1">
      <c r="E23461" s="96"/>
    </row>
    <row r="23462" hidden="1">
      <c r="E23462" s="96"/>
    </row>
    <row r="23463" hidden="1">
      <c r="E23463" s="96"/>
    </row>
    <row r="23464" hidden="1">
      <c r="E23464" s="96"/>
    </row>
    <row r="23465" hidden="1">
      <c r="E23465" s="96"/>
    </row>
    <row r="23466" hidden="1">
      <c r="E23466" s="96"/>
    </row>
    <row r="23467" hidden="1">
      <c r="E23467" s="96"/>
    </row>
    <row r="23468" hidden="1">
      <c r="E23468" s="96"/>
    </row>
    <row r="23469" hidden="1">
      <c r="E23469" s="96"/>
    </row>
    <row r="23470" hidden="1">
      <c r="E23470" s="96"/>
    </row>
    <row r="23471" hidden="1">
      <c r="E23471" s="96"/>
    </row>
    <row r="23472" hidden="1">
      <c r="E23472" s="96"/>
    </row>
    <row r="23473" hidden="1">
      <c r="E23473" s="96"/>
    </row>
    <row r="23474" hidden="1">
      <c r="E23474" s="96"/>
    </row>
    <row r="23475" hidden="1">
      <c r="E23475" s="96"/>
    </row>
    <row r="23476" hidden="1">
      <c r="E23476" s="96"/>
    </row>
    <row r="23477" hidden="1">
      <c r="E23477" s="96"/>
    </row>
    <row r="23478" hidden="1">
      <c r="E23478" s="96"/>
    </row>
    <row r="23479" hidden="1">
      <c r="E23479" s="96"/>
    </row>
    <row r="23480" hidden="1">
      <c r="E23480" s="96"/>
    </row>
    <row r="23481" hidden="1">
      <c r="E23481" s="96"/>
    </row>
    <row r="23482" hidden="1">
      <c r="E23482" s="96"/>
    </row>
    <row r="23483" hidden="1">
      <c r="E23483" s="96"/>
    </row>
    <row r="23484" hidden="1">
      <c r="E23484" s="96"/>
    </row>
    <row r="23485" hidden="1">
      <c r="E23485" s="96"/>
    </row>
    <row r="23486" hidden="1">
      <c r="E23486" s="96"/>
    </row>
    <row r="23487" hidden="1">
      <c r="E23487" s="96"/>
    </row>
    <row r="23488" hidden="1">
      <c r="E23488" s="96"/>
    </row>
    <row r="23489" hidden="1">
      <c r="E23489" s="96"/>
    </row>
    <row r="23490" hidden="1">
      <c r="E23490" s="96"/>
    </row>
    <row r="23491" hidden="1">
      <c r="E23491" s="96"/>
    </row>
    <row r="23492" hidden="1">
      <c r="E23492" s="96"/>
    </row>
    <row r="23493" hidden="1">
      <c r="E23493" s="96"/>
    </row>
    <row r="23494" hidden="1">
      <c r="E23494" s="96"/>
    </row>
    <row r="23495" hidden="1">
      <c r="E23495" s="96"/>
    </row>
    <row r="23496" hidden="1">
      <c r="E23496" s="96"/>
    </row>
    <row r="23497" hidden="1">
      <c r="E23497" s="96"/>
    </row>
    <row r="23498" hidden="1">
      <c r="E23498" s="96"/>
    </row>
    <row r="23499" hidden="1">
      <c r="E23499" s="96"/>
    </row>
    <row r="23500" hidden="1">
      <c r="E23500" s="96"/>
    </row>
    <row r="23501" hidden="1">
      <c r="E23501" s="96"/>
    </row>
    <row r="23502" hidden="1">
      <c r="E23502" s="96"/>
    </row>
    <row r="23503" hidden="1">
      <c r="E23503" s="96"/>
    </row>
    <row r="23504" hidden="1">
      <c r="E23504" s="96"/>
    </row>
    <row r="23505" hidden="1">
      <c r="E23505" s="96"/>
    </row>
    <row r="23506" hidden="1">
      <c r="E23506" s="96"/>
    </row>
    <row r="23507" hidden="1">
      <c r="E23507" s="96"/>
    </row>
    <row r="23508" hidden="1">
      <c r="E23508" s="96"/>
    </row>
    <row r="23509" hidden="1">
      <c r="E23509" s="96"/>
    </row>
    <row r="23510" hidden="1">
      <c r="E23510" s="96"/>
    </row>
    <row r="23511" hidden="1">
      <c r="E23511" s="96"/>
    </row>
    <row r="23512" hidden="1">
      <c r="E23512" s="96"/>
    </row>
    <row r="23513" hidden="1">
      <c r="E23513" s="96"/>
    </row>
    <row r="23514" hidden="1">
      <c r="E23514" s="96"/>
    </row>
    <row r="23515" hidden="1">
      <c r="E23515" s="96"/>
    </row>
    <row r="23516" hidden="1">
      <c r="E23516" s="96"/>
    </row>
    <row r="23517" hidden="1">
      <c r="E23517" s="96"/>
    </row>
    <row r="23518" hidden="1">
      <c r="E23518" s="96"/>
    </row>
    <row r="23519" hidden="1">
      <c r="E23519" s="96"/>
    </row>
    <row r="23520" hidden="1">
      <c r="E23520" s="96"/>
    </row>
    <row r="23521" hidden="1">
      <c r="E23521" s="96"/>
    </row>
    <row r="23522" hidden="1">
      <c r="E23522" s="96"/>
    </row>
    <row r="23523" hidden="1">
      <c r="E23523" s="96"/>
    </row>
    <row r="23524" hidden="1">
      <c r="E23524" s="96"/>
    </row>
    <row r="23525" hidden="1">
      <c r="E23525" s="96"/>
    </row>
    <row r="23526" hidden="1">
      <c r="E23526" s="96"/>
    </row>
    <row r="23527" hidden="1">
      <c r="E23527" s="96"/>
    </row>
    <row r="23528" hidden="1">
      <c r="E23528" s="96"/>
    </row>
    <row r="23529" hidden="1">
      <c r="E23529" s="96"/>
    </row>
    <row r="23530" hidden="1">
      <c r="E23530" s="96"/>
    </row>
    <row r="23531" hidden="1">
      <c r="E23531" s="96"/>
    </row>
    <row r="23532" hidden="1">
      <c r="E23532" s="96"/>
    </row>
    <row r="23533" hidden="1">
      <c r="E23533" s="96"/>
    </row>
    <row r="23534" hidden="1">
      <c r="E23534" s="96"/>
    </row>
    <row r="23535" hidden="1">
      <c r="E23535" s="96"/>
    </row>
    <row r="23536" hidden="1">
      <c r="E23536" s="96"/>
    </row>
    <row r="23537" hidden="1">
      <c r="E23537" s="96"/>
    </row>
    <row r="23538" hidden="1">
      <c r="E23538" s="96"/>
    </row>
    <row r="23539" hidden="1">
      <c r="E23539" s="96"/>
    </row>
    <row r="23540" hidden="1">
      <c r="E23540" s="96"/>
    </row>
    <row r="23541" hidden="1">
      <c r="E23541" s="96"/>
    </row>
    <row r="23542" hidden="1">
      <c r="E23542" s="96"/>
    </row>
    <row r="23543" hidden="1">
      <c r="E23543" s="96"/>
    </row>
    <row r="23544" hidden="1">
      <c r="E23544" s="96"/>
    </row>
    <row r="23545" hidden="1">
      <c r="E23545" s="96"/>
    </row>
    <row r="23546" hidden="1">
      <c r="E23546" s="96"/>
    </row>
    <row r="23547" hidden="1">
      <c r="E23547" s="96"/>
    </row>
    <row r="23548" hidden="1">
      <c r="E23548" s="96"/>
    </row>
    <row r="23549" hidden="1">
      <c r="E23549" s="96"/>
    </row>
    <row r="23550" hidden="1">
      <c r="E23550" s="96"/>
    </row>
    <row r="23551" hidden="1">
      <c r="E23551" s="96"/>
    </row>
    <row r="23552" hidden="1">
      <c r="E23552" s="96"/>
    </row>
    <row r="23553" hidden="1">
      <c r="E23553" s="96"/>
    </row>
    <row r="23554" hidden="1">
      <c r="E23554" s="96"/>
    </row>
    <row r="23555" hidden="1">
      <c r="E23555" s="96"/>
    </row>
    <row r="23556" hidden="1">
      <c r="E23556" s="96"/>
    </row>
    <row r="23557" hidden="1">
      <c r="E23557" s="96"/>
    </row>
    <row r="23558" hidden="1">
      <c r="E23558" s="96"/>
    </row>
    <row r="23559" hidden="1">
      <c r="E23559" s="96"/>
    </row>
    <row r="23560" hidden="1">
      <c r="E23560" s="96"/>
    </row>
    <row r="23561" hidden="1">
      <c r="E23561" s="96"/>
    </row>
    <row r="23562" hidden="1">
      <c r="E23562" s="96"/>
    </row>
    <row r="23563" hidden="1">
      <c r="E23563" s="96"/>
    </row>
    <row r="23564" hidden="1">
      <c r="E23564" s="96"/>
    </row>
    <row r="23565" hidden="1">
      <c r="E23565" s="96"/>
    </row>
    <row r="23566" hidden="1">
      <c r="E23566" s="96"/>
    </row>
    <row r="23567" hidden="1">
      <c r="E23567" s="96"/>
    </row>
    <row r="23568" hidden="1">
      <c r="E23568" s="96"/>
    </row>
    <row r="23569" hidden="1">
      <c r="E23569" s="96"/>
    </row>
    <row r="23570" hidden="1">
      <c r="E23570" s="96"/>
    </row>
    <row r="23571" hidden="1">
      <c r="E23571" s="96"/>
    </row>
    <row r="23572" hidden="1">
      <c r="E23572" s="96"/>
    </row>
    <row r="23573" hidden="1">
      <c r="E23573" s="96"/>
    </row>
    <row r="23574" hidden="1">
      <c r="E23574" s="96"/>
    </row>
    <row r="23575" hidden="1">
      <c r="E23575" s="96"/>
    </row>
    <row r="23576" hidden="1">
      <c r="E23576" s="96"/>
    </row>
    <row r="23577" hidden="1">
      <c r="E23577" s="96"/>
    </row>
    <row r="23578" hidden="1">
      <c r="E23578" s="96"/>
    </row>
    <row r="23579" hidden="1">
      <c r="E23579" s="96"/>
    </row>
    <row r="23580" hidden="1">
      <c r="E23580" s="96"/>
    </row>
    <row r="23581" hidden="1">
      <c r="E23581" s="96"/>
    </row>
    <row r="23582" hidden="1">
      <c r="E23582" s="96"/>
    </row>
    <row r="23583" hidden="1">
      <c r="E23583" s="96"/>
    </row>
    <row r="23584" hidden="1">
      <c r="E23584" s="96"/>
    </row>
    <row r="23585" hidden="1">
      <c r="E23585" s="96"/>
    </row>
    <row r="23586" hidden="1">
      <c r="E23586" s="96"/>
    </row>
    <row r="23587" hidden="1">
      <c r="E23587" s="96"/>
    </row>
    <row r="23588" hidden="1">
      <c r="E23588" s="96"/>
    </row>
    <row r="23589" hidden="1">
      <c r="E23589" s="96"/>
    </row>
    <row r="23590" hidden="1">
      <c r="E23590" s="96"/>
    </row>
    <row r="23591" hidden="1">
      <c r="E23591" s="96"/>
    </row>
    <row r="23592" hidden="1">
      <c r="E23592" s="96"/>
    </row>
    <row r="23593" hidden="1">
      <c r="E23593" s="96"/>
    </row>
    <row r="23594" hidden="1">
      <c r="E23594" s="96"/>
    </row>
    <row r="23595" hidden="1">
      <c r="E23595" s="96"/>
    </row>
    <row r="23596" hidden="1">
      <c r="E23596" s="96"/>
    </row>
    <row r="23597" hidden="1">
      <c r="E23597" s="96"/>
    </row>
    <row r="23598" hidden="1">
      <c r="E23598" s="96"/>
    </row>
    <row r="23599" hidden="1">
      <c r="E23599" s="96"/>
    </row>
    <row r="23600" hidden="1">
      <c r="E23600" s="96"/>
    </row>
    <row r="23601" hidden="1">
      <c r="E23601" s="96"/>
    </row>
    <row r="23602" hidden="1">
      <c r="E23602" s="96"/>
    </row>
    <row r="23603" hidden="1">
      <c r="E23603" s="96"/>
    </row>
    <row r="23604" hidden="1">
      <c r="E23604" s="96"/>
    </row>
    <row r="23605" hidden="1">
      <c r="E23605" s="96"/>
    </row>
    <row r="23606" hidden="1">
      <c r="E23606" s="96"/>
    </row>
    <row r="23607" hidden="1">
      <c r="E23607" s="96"/>
    </row>
    <row r="23608" hidden="1">
      <c r="E23608" s="96"/>
    </row>
    <row r="23609" hidden="1">
      <c r="E23609" s="96"/>
    </row>
    <row r="23610" hidden="1">
      <c r="E23610" s="96"/>
    </row>
    <row r="23611" hidden="1">
      <c r="E23611" s="96"/>
    </row>
    <row r="23612" hidden="1">
      <c r="E23612" s="96"/>
    </row>
    <row r="23613" hidden="1">
      <c r="E23613" s="96"/>
    </row>
    <row r="23614" hidden="1">
      <c r="E23614" s="96"/>
    </row>
    <row r="23615" hidden="1">
      <c r="E23615" s="96"/>
    </row>
    <row r="23616" hidden="1">
      <c r="E23616" s="96"/>
    </row>
    <row r="23617" hidden="1">
      <c r="E23617" s="96"/>
    </row>
    <row r="23618" hidden="1">
      <c r="E23618" s="96"/>
    </row>
    <row r="23619" hidden="1">
      <c r="E23619" s="96"/>
    </row>
    <row r="23620" hidden="1">
      <c r="E23620" s="96"/>
    </row>
    <row r="23621" hidden="1">
      <c r="E23621" s="96"/>
    </row>
    <row r="23622" hidden="1">
      <c r="E23622" s="96"/>
    </row>
    <row r="23623" hidden="1">
      <c r="E23623" s="96"/>
    </row>
    <row r="23624" hidden="1">
      <c r="E23624" s="96"/>
    </row>
    <row r="23625" hidden="1">
      <c r="E23625" s="96"/>
    </row>
    <row r="23626" hidden="1">
      <c r="E23626" s="96"/>
    </row>
    <row r="23627" hidden="1">
      <c r="E23627" s="96"/>
    </row>
    <row r="23628" hidden="1">
      <c r="E23628" s="96"/>
    </row>
    <row r="23629" hidden="1">
      <c r="E23629" s="96"/>
    </row>
    <row r="23630" hidden="1">
      <c r="E23630" s="96"/>
    </row>
    <row r="23631" hidden="1">
      <c r="E23631" s="96"/>
    </row>
    <row r="23632" hidden="1">
      <c r="E23632" s="96"/>
    </row>
    <row r="23633" hidden="1">
      <c r="E23633" s="96"/>
    </row>
    <row r="23634" hidden="1">
      <c r="E23634" s="96"/>
    </row>
    <row r="23635" hidden="1">
      <c r="E23635" s="96"/>
    </row>
    <row r="23636" hidden="1">
      <c r="E23636" s="96"/>
    </row>
    <row r="23637" hidden="1">
      <c r="E23637" s="96"/>
    </row>
    <row r="23638" hidden="1">
      <c r="E23638" s="96"/>
    </row>
    <row r="23639" hidden="1">
      <c r="E23639" s="96"/>
    </row>
    <row r="23640" hidden="1">
      <c r="E23640" s="96"/>
    </row>
    <row r="23641" hidden="1">
      <c r="E23641" s="96"/>
    </row>
    <row r="23642" hidden="1">
      <c r="E23642" s="96"/>
    </row>
    <row r="23643" hidden="1">
      <c r="E23643" s="96"/>
    </row>
    <row r="23644" hidden="1">
      <c r="E23644" s="96"/>
    </row>
    <row r="23645" hidden="1">
      <c r="E23645" s="96"/>
    </row>
    <row r="23646" hidden="1">
      <c r="E23646" s="96"/>
    </row>
    <row r="23647" hidden="1">
      <c r="E23647" s="96"/>
    </row>
    <row r="23648" hidden="1">
      <c r="E23648" s="96"/>
    </row>
    <row r="23649" hidden="1">
      <c r="E23649" s="96"/>
    </row>
    <row r="23650" hidden="1">
      <c r="E23650" s="96"/>
    </row>
    <row r="23651" hidden="1">
      <c r="E23651" s="96"/>
    </row>
    <row r="23652" hidden="1">
      <c r="E23652" s="96"/>
    </row>
    <row r="23653" hidden="1">
      <c r="E23653" s="96"/>
    </row>
    <row r="23654" hidden="1">
      <c r="E23654" s="96"/>
    </row>
    <row r="23655" hidden="1">
      <c r="E23655" s="96"/>
    </row>
    <row r="23656" hidden="1">
      <c r="E23656" s="96"/>
    </row>
    <row r="23657" hidden="1">
      <c r="E23657" s="96"/>
    </row>
    <row r="23658" hidden="1">
      <c r="E23658" s="96"/>
    </row>
    <row r="23659" hidden="1">
      <c r="E23659" s="96"/>
    </row>
    <row r="23660" hidden="1">
      <c r="E23660" s="96"/>
    </row>
    <row r="23661" hidden="1">
      <c r="E23661" s="96"/>
    </row>
    <row r="23662" hidden="1">
      <c r="E23662" s="96"/>
    </row>
    <row r="23663" hidden="1">
      <c r="E23663" s="96"/>
    </row>
    <row r="23664" hidden="1">
      <c r="E23664" s="96"/>
    </row>
    <row r="23665" hidden="1">
      <c r="E23665" s="96"/>
    </row>
    <row r="23666" hidden="1">
      <c r="E23666" s="96"/>
    </row>
    <row r="23667" hidden="1">
      <c r="E23667" s="96"/>
    </row>
    <row r="23668" hidden="1">
      <c r="E23668" s="96"/>
    </row>
    <row r="23669" hidden="1">
      <c r="E23669" s="96"/>
    </row>
    <row r="23670" hidden="1">
      <c r="E23670" s="96"/>
    </row>
    <row r="23671" hidden="1">
      <c r="E23671" s="96"/>
    </row>
    <row r="23672" hidden="1">
      <c r="E23672" s="96"/>
    </row>
    <row r="23673" hidden="1">
      <c r="E23673" s="96"/>
    </row>
    <row r="23674" hidden="1">
      <c r="E23674" s="96"/>
    </row>
    <row r="23675" hidden="1">
      <c r="E23675" s="96"/>
    </row>
    <row r="23676" hidden="1">
      <c r="E23676" s="96"/>
    </row>
    <row r="23677" hidden="1">
      <c r="E23677" s="96"/>
    </row>
    <row r="23678" hidden="1">
      <c r="E23678" s="96"/>
    </row>
    <row r="23679" hidden="1">
      <c r="E23679" s="96"/>
    </row>
    <row r="23680" hidden="1">
      <c r="E23680" s="96"/>
    </row>
    <row r="23681" hidden="1">
      <c r="E23681" s="96"/>
    </row>
    <row r="23682" hidden="1">
      <c r="E23682" s="96"/>
    </row>
    <row r="23683" hidden="1">
      <c r="E23683" s="96"/>
    </row>
    <row r="23684" hidden="1">
      <c r="E23684" s="96"/>
    </row>
    <row r="23685" hidden="1">
      <c r="E23685" s="96"/>
    </row>
    <row r="23686" hidden="1">
      <c r="E23686" s="96"/>
    </row>
    <row r="23687" hidden="1">
      <c r="E23687" s="96"/>
    </row>
    <row r="23688" hidden="1">
      <c r="E23688" s="96"/>
    </row>
    <row r="23689" hidden="1">
      <c r="E23689" s="96"/>
    </row>
    <row r="23690" hidden="1">
      <c r="E23690" s="96"/>
    </row>
    <row r="23691" hidden="1">
      <c r="E23691" s="96"/>
    </row>
    <row r="23692" hidden="1">
      <c r="E23692" s="96"/>
    </row>
    <row r="23693" hidden="1">
      <c r="E23693" s="96"/>
    </row>
    <row r="23694" hidden="1">
      <c r="E23694" s="96"/>
    </row>
    <row r="23695" hidden="1">
      <c r="E23695" s="96"/>
    </row>
    <row r="23696" hidden="1">
      <c r="E23696" s="96"/>
    </row>
    <row r="23697" hidden="1">
      <c r="E23697" s="96"/>
    </row>
    <row r="23698" hidden="1">
      <c r="E23698" s="96"/>
    </row>
    <row r="23699" hidden="1">
      <c r="E23699" s="96"/>
    </row>
    <row r="23700" hidden="1">
      <c r="E23700" s="96"/>
    </row>
    <row r="23701" hidden="1">
      <c r="E23701" s="96"/>
    </row>
    <row r="23702" hidden="1">
      <c r="E23702" s="96"/>
    </row>
    <row r="23703" hidden="1">
      <c r="E23703" s="96"/>
    </row>
    <row r="23704" hidden="1">
      <c r="E23704" s="96"/>
    </row>
    <row r="23705" hidden="1">
      <c r="E23705" s="96"/>
    </row>
    <row r="23706" hidden="1">
      <c r="E23706" s="96"/>
    </row>
    <row r="23707" hidden="1">
      <c r="E23707" s="96"/>
    </row>
    <row r="23708" hidden="1">
      <c r="E23708" s="96"/>
    </row>
    <row r="23709" hidden="1">
      <c r="E23709" s="96"/>
    </row>
    <row r="23710" hidden="1">
      <c r="E23710" s="96"/>
    </row>
    <row r="23711" hidden="1">
      <c r="E23711" s="96"/>
    </row>
    <row r="23712" hidden="1">
      <c r="E23712" s="96"/>
    </row>
    <row r="23713" hidden="1">
      <c r="E23713" s="96"/>
    </row>
    <row r="23714" hidden="1">
      <c r="E23714" s="96"/>
    </row>
    <row r="23715" hidden="1">
      <c r="E23715" s="96"/>
    </row>
    <row r="23716" hidden="1">
      <c r="E23716" s="96"/>
    </row>
    <row r="23717" hidden="1">
      <c r="E23717" s="96"/>
    </row>
    <row r="23718" hidden="1">
      <c r="E23718" s="96"/>
    </row>
    <row r="23719" hidden="1">
      <c r="E23719" s="96"/>
    </row>
    <row r="23720" hidden="1">
      <c r="E23720" s="96"/>
    </row>
    <row r="23721" hidden="1">
      <c r="E23721" s="96"/>
    </row>
    <row r="23722" hidden="1">
      <c r="E23722" s="96"/>
    </row>
    <row r="23723" hidden="1">
      <c r="E23723" s="96"/>
    </row>
    <row r="23724" hidden="1">
      <c r="E23724" s="96"/>
    </row>
    <row r="23725" hidden="1">
      <c r="E23725" s="96"/>
    </row>
    <row r="23726" hidden="1">
      <c r="E23726" s="96"/>
    </row>
    <row r="23727" hidden="1">
      <c r="E23727" s="96"/>
    </row>
    <row r="23728" hidden="1">
      <c r="E23728" s="96"/>
    </row>
    <row r="23729" hidden="1">
      <c r="E23729" s="96"/>
    </row>
    <row r="23730" hidden="1">
      <c r="E23730" s="96"/>
    </row>
    <row r="23731" hidden="1">
      <c r="E23731" s="96"/>
    </row>
    <row r="23732" hidden="1">
      <c r="E23732" s="96"/>
    </row>
    <row r="23733" hidden="1">
      <c r="E23733" s="96"/>
    </row>
    <row r="23734" hidden="1">
      <c r="E23734" s="96"/>
    </row>
    <row r="23735" hidden="1">
      <c r="E23735" s="96"/>
    </row>
    <row r="23736" hidden="1">
      <c r="E23736" s="96"/>
    </row>
    <row r="23737" hidden="1">
      <c r="E23737" s="96"/>
    </row>
    <row r="23738" hidden="1">
      <c r="E23738" s="96"/>
    </row>
    <row r="23739" hidden="1">
      <c r="E23739" s="96"/>
    </row>
    <row r="23740" hidden="1">
      <c r="E23740" s="96"/>
    </row>
    <row r="23741" hidden="1">
      <c r="E23741" s="96"/>
    </row>
    <row r="23742" hidden="1">
      <c r="E23742" s="96"/>
    </row>
    <row r="23743" hidden="1">
      <c r="E23743" s="96"/>
    </row>
    <row r="23744" hidden="1">
      <c r="E23744" s="96"/>
    </row>
    <row r="23745" hidden="1">
      <c r="E23745" s="96"/>
    </row>
    <row r="23746" hidden="1">
      <c r="E23746" s="96"/>
    </row>
    <row r="23747" hidden="1">
      <c r="E23747" s="96"/>
    </row>
    <row r="23748" hidden="1">
      <c r="E23748" s="96"/>
    </row>
    <row r="23749" hidden="1">
      <c r="E23749" s="96"/>
    </row>
    <row r="23750" hidden="1">
      <c r="E23750" s="96"/>
    </row>
    <row r="23751" hidden="1">
      <c r="E23751" s="96"/>
    </row>
    <row r="23752" hidden="1">
      <c r="E23752" s="96"/>
    </row>
    <row r="23753" hidden="1">
      <c r="E23753" s="96"/>
    </row>
    <row r="23754" hidden="1">
      <c r="E23754" s="96"/>
    </row>
    <row r="23755" hidden="1">
      <c r="E23755" s="96"/>
    </row>
    <row r="23756" hidden="1">
      <c r="E23756" s="96"/>
    </row>
    <row r="23757" hidden="1">
      <c r="E23757" s="96"/>
    </row>
    <row r="23758" hidden="1">
      <c r="E23758" s="96"/>
    </row>
    <row r="23759" hidden="1">
      <c r="E23759" s="96"/>
    </row>
    <row r="23760" hidden="1">
      <c r="E23760" s="96"/>
    </row>
    <row r="23761" hidden="1">
      <c r="E23761" s="96"/>
    </row>
    <row r="23762" hidden="1">
      <c r="E23762" s="96"/>
    </row>
    <row r="23763" hidden="1">
      <c r="E23763" s="96"/>
    </row>
    <row r="23764" hidden="1">
      <c r="E23764" s="96"/>
    </row>
    <row r="23765" hidden="1">
      <c r="E23765" s="96"/>
    </row>
    <row r="23766" hidden="1">
      <c r="E23766" s="96"/>
    </row>
    <row r="23767" hidden="1">
      <c r="E23767" s="96"/>
    </row>
    <row r="23768" hidden="1">
      <c r="E23768" s="96"/>
    </row>
    <row r="23769" hidden="1">
      <c r="E23769" s="96"/>
    </row>
    <row r="23770" hidden="1">
      <c r="E23770" s="96"/>
    </row>
    <row r="23771" hidden="1">
      <c r="E23771" s="96"/>
    </row>
    <row r="23772" hidden="1">
      <c r="E23772" s="96"/>
    </row>
    <row r="23773" hidden="1">
      <c r="E23773" s="96"/>
    </row>
    <row r="23774" hidden="1">
      <c r="E23774" s="96"/>
    </row>
    <row r="23775" hidden="1">
      <c r="E23775" s="96"/>
    </row>
    <row r="23776" hidden="1">
      <c r="E23776" s="96"/>
    </row>
    <row r="23777" hidden="1">
      <c r="E23777" s="96"/>
    </row>
    <row r="23778" hidden="1">
      <c r="E23778" s="96"/>
    </row>
    <row r="23779" hidden="1">
      <c r="E23779" s="96"/>
    </row>
    <row r="23780" hidden="1">
      <c r="E23780" s="96"/>
    </row>
    <row r="23781" hidden="1">
      <c r="E23781" s="96"/>
    </row>
    <row r="23782" hidden="1">
      <c r="E23782" s="96"/>
    </row>
    <row r="23783" hidden="1">
      <c r="E23783" s="96"/>
    </row>
    <row r="23784" hidden="1">
      <c r="E23784" s="96"/>
    </row>
    <row r="23785" hidden="1">
      <c r="E23785" s="96"/>
    </row>
    <row r="23786" hidden="1">
      <c r="E23786" s="96"/>
    </row>
    <row r="23787" hidden="1">
      <c r="E23787" s="96"/>
    </row>
    <row r="23788" hidden="1">
      <c r="E23788" s="96"/>
    </row>
    <row r="23789" hidden="1">
      <c r="E23789" s="96"/>
    </row>
    <row r="23790" hidden="1">
      <c r="E23790" s="96"/>
    </row>
    <row r="23791" hidden="1">
      <c r="E23791" s="96"/>
    </row>
    <row r="23792" hidden="1">
      <c r="E23792" s="96"/>
    </row>
    <row r="23793" hidden="1">
      <c r="E23793" s="96"/>
    </row>
    <row r="23794" hidden="1">
      <c r="E23794" s="96"/>
    </row>
    <row r="23795" hidden="1">
      <c r="E23795" s="96"/>
    </row>
    <row r="23796" hidden="1">
      <c r="E23796" s="96"/>
    </row>
    <row r="23797" hidden="1">
      <c r="E23797" s="96"/>
    </row>
    <row r="23798" hidden="1">
      <c r="E23798" s="96"/>
    </row>
    <row r="23799" hidden="1">
      <c r="E23799" s="96"/>
    </row>
    <row r="23800" hidden="1">
      <c r="E23800" s="96"/>
    </row>
    <row r="23801" hidden="1">
      <c r="E23801" s="96"/>
    </row>
    <row r="23802" hidden="1">
      <c r="E23802" s="96"/>
    </row>
    <row r="23803" hidden="1">
      <c r="E23803" s="96"/>
    </row>
    <row r="23804" hidden="1">
      <c r="E23804" s="96"/>
    </row>
    <row r="23805" hidden="1">
      <c r="E23805" s="96"/>
    </row>
    <row r="23806" hidden="1">
      <c r="E23806" s="96"/>
    </row>
    <row r="23807" hidden="1">
      <c r="E23807" s="96"/>
    </row>
    <row r="23808" hidden="1">
      <c r="E23808" s="96"/>
    </row>
    <row r="23809" hidden="1">
      <c r="E23809" s="96"/>
    </row>
    <row r="23810" hidden="1">
      <c r="E23810" s="96"/>
    </row>
    <row r="23811" hidden="1">
      <c r="E23811" s="96"/>
    </row>
    <row r="23812" hidden="1">
      <c r="E23812" s="96"/>
    </row>
    <row r="23813" hidden="1">
      <c r="E23813" s="96"/>
    </row>
    <row r="23814" hidden="1">
      <c r="E23814" s="96"/>
    </row>
    <row r="23815" hidden="1">
      <c r="E23815" s="96"/>
    </row>
    <row r="23816" hidden="1">
      <c r="E23816" s="96"/>
    </row>
    <row r="23817" hidden="1">
      <c r="E23817" s="96"/>
    </row>
    <row r="23818" hidden="1">
      <c r="E23818" s="96"/>
    </row>
    <row r="23819" hidden="1">
      <c r="E23819" s="96"/>
    </row>
    <row r="23820" hidden="1">
      <c r="E23820" s="96"/>
    </row>
    <row r="23821" hidden="1">
      <c r="E23821" s="96"/>
    </row>
    <row r="23822" hidden="1">
      <c r="E23822" s="96"/>
    </row>
    <row r="23823" hidden="1">
      <c r="E23823" s="96"/>
    </row>
    <row r="23824" hidden="1">
      <c r="E23824" s="96"/>
    </row>
    <row r="23825" hidden="1">
      <c r="E23825" s="96"/>
    </row>
    <row r="23826" hidden="1">
      <c r="E23826" s="96"/>
    </row>
    <row r="23827" hidden="1">
      <c r="E23827" s="96"/>
    </row>
    <row r="23828" hidden="1">
      <c r="E23828" s="96"/>
    </row>
    <row r="23829" hidden="1">
      <c r="E23829" s="96"/>
    </row>
    <row r="23830" hidden="1">
      <c r="E23830" s="96"/>
    </row>
    <row r="23831" hidden="1">
      <c r="E23831" s="96"/>
    </row>
    <row r="23832" hidden="1">
      <c r="E23832" s="96"/>
    </row>
    <row r="23833" hidden="1">
      <c r="E23833" s="96"/>
    </row>
    <row r="23834" hidden="1">
      <c r="E23834" s="96"/>
    </row>
    <row r="23835" hidden="1">
      <c r="E23835" s="96"/>
    </row>
    <row r="23836" hidden="1">
      <c r="E23836" s="96"/>
    </row>
    <row r="23837" hidden="1">
      <c r="E23837" s="96"/>
    </row>
    <row r="23838" hidden="1">
      <c r="E23838" s="96"/>
    </row>
    <row r="23839" hidden="1">
      <c r="E23839" s="96"/>
    </row>
    <row r="23840" hidden="1">
      <c r="E23840" s="96"/>
    </row>
    <row r="23841" hidden="1">
      <c r="E23841" s="96"/>
    </row>
    <row r="23842" hidden="1">
      <c r="E23842" s="96"/>
    </row>
    <row r="23843" hidden="1">
      <c r="E23843" s="96"/>
    </row>
    <row r="23844" hidden="1">
      <c r="E23844" s="96"/>
    </row>
    <row r="23845" hidden="1">
      <c r="E23845" s="96"/>
    </row>
    <row r="23846" hidden="1">
      <c r="E23846" s="96"/>
    </row>
    <row r="23847" hidden="1">
      <c r="E23847" s="96"/>
    </row>
    <row r="23848" hidden="1">
      <c r="E23848" s="96"/>
    </row>
    <row r="23849" hidden="1">
      <c r="E23849" s="96"/>
    </row>
    <row r="23850" hidden="1">
      <c r="E23850" s="96"/>
    </row>
    <row r="23851" hidden="1">
      <c r="E23851" s="96"/>
    </row>
    <row r="23852" hidden="1">
      <c r="E23852" s="96"/>
    </row>
    <row r="23853" hidden="1">
      <c r="E23853" s="96"/>
    </row>
    <row r="23854" hidden="1">
      <c r="E23854" s="96"/>
    </row>
    <row r="23855" hidden="1">
      <c r="E23855" s="96"/>
    </row>
    <row r="23856" hidden="1">
      <c r="E23856" s="96"/>
    </row>
    <row r="23857" hidden="1">
      <c r="E23857" s="96"/>
    </row>
    <row r="23858" hidden="1">
      <c r="E23858" s="96"/>
    </row>
    <row r="23859" hidden="1">
      <c r="E23859" s="96"/>
    </row>
    <row r="23860" hidden="1">
      <c r="E23860" s="96"/>
    </row>
    <row r="23861" hidden="1">
      <c r="E23861" s="96"/>
    </row>
    <row r="23862" hidden="1">
      <c r="E23862" s="96"/>
    </row>
    <row r="23863" hidden="1">
      <c r="E23863" s="96"/>
    </row>
    <row r="23864" hidden="1">
      <c r="E23864" s="96"/>
    </row>
    <row r="23865" hidden="1">
      <c r="E23865" s="96"/>
    </row>
    <row r="23866" hidden="1">
      <c r="E23866" s="96"/>
    </row>
    <row r="23867" hidden="1">
      <c r="E23867" s="96"/>
    </row>
    <row r="23868" hidden="1">
      <c r="E23868" s="96"/>
    </row>
    <row r="23869" hidden="1">
      <c r="E23869" s="96"/>
    </row>
    <row r="23870" hidden="1">
      <c r="E23870" s="96"/>
    </row>
    <row r="23871" hidden="1">
      <c r="E23871" s="96"/>
    </row>
    <row r="23872" hidden="1">
      <c r="E23872" s="96"/>
    </row>
    <row r="23873" hidden="1">
      <c r="E23873" s="96"/>
    </row>
    <row r="23874" hidden="1">
      <c r="E23874" s="96"/>
    </row>
    <row r="23875" hidden="1">
      <c r="E23875" s="96"/>
    </row>
    <row r="23876" hidden="1">
      <c r="E23876" s="96"/>
    </row>
    <row r="23877" hidden="1">
      <c r="E23877" s="96"/>
    </row>
    <row r="23878" hidden="1">
      <c r="E23878" s="96"/>
    </row>
    <row r="23879" hidden="1">
      <c r="E23879" s="96"/>
    </row>
    <row r="23880" hidden="1">
      <c r="E23880" s="96"/>
    </row>
    <row r="23881" hidden="1">
      <c r="E23881" s="96"/>
    </row>
    <row r="23882" hidden="1">
      <c r="E23882" s="96"/>
    </row>
    <row r="23883" hidden="1">
      <c r="E23883" s="96"/>
    </row>
    <row r="23884" hidden="1">
      <c r="E23884" s="96"/>
    </row>
    <row r="23885" hidden="1">
      <c r="E23885" s="96"/>
    </row>
    <row r="23886" hidden="1">
      <c r="E23886" s="96"/>
    </row>
    <row r="23887" hidden="1">
      <c r="E23887" s="96"/>
    </row>
    <row r="23888" hidden="1">
      <c r="E23888" s="96"/>
    </row>
    <row r="23889" hidden="1">
      <c r="E23889" s="96"/>
    </row>
    <row r="23890" hidden="1">
      <c r="E23890" s="96"/>
    </row>
    <row r="23891" hidden="1">
      <c r="E23891" s="96"/>
    </row>
    <row r="23892" hidden="1">
      <c r="E23892" s="96"/>
    </row>
    <row r="23893" hidden="1">
      <c r="E23893" s="96"/>
    </row>
    <row r="23894" hidden="1">
      <c r="E23894" s="96"/>
    </row>
    <row r="23895" hidden="1">
      <c r="E23895" s="96"/>
    </row>
    <row r="23896" hidden="1">
      <c r="E23896" s="96"/>
    </row>
    <row r="23897" hidden="1">
      <c r="E23897" s="96"/>
    </row>
    <row r="23898" hidden="1">
      <c r="E23898" s="96"/>
    </row>
    <row r="23899" hidden="1">
      <c r="E23899" s="96"/>
    </row>
    <row r="23900" hidden="1">
      <c r="E23900" s="96"/>
    </row>
    <row r="23901" hidden="1">
      <c r="E23901" s="96"/>
    </row>
    <row r="23902" hidden="1">
      <c r="E23902" s="96"/>
    </row>
    <row r="23903" hidden="1">
      <c r="E23903" s="96"/>
    </row>
    <row r="23904" hidden="1">
      <c r="E23904" s="96"/>
    </row>
    <row r="23905" hidden="1">
      <c r="E23905" s="96"/>
    </row>
    <row r="23906" hidden="1">
      <c r="E23906" s="96"/>
    </row>
    <row r="23907" hidden="1">
      <c r="E23907" s="96"/>
    </row>
    <row r="23908" hidden="1">
      <c r="E23908" s="96"/>
    </row>
    <row r="23909" hidden="1">
      <c r="E23909" s="96"/>
    </row>
    <row r="23910" hidden="1">
      <c r="E23910" s="96"/>
    </row>
    <row r="23911" hidden="1">
      <c r="E23911" s="96"/>
    </row>
    <row r="23912" hidden="1">
      <c r="E23912" s="96"/>
    </row>
    <row r="23913" hidden="1">
      <c r="E23913" s="96"/>
    </row>
    <row r="23914" hidden="1">
      <c r="E23914" s="96"/>
    </row>
    <row r="23915" hidden="1">
      <c r="E23915" s="96"/>
    </row>
    <row r="23916" hidden="1">
      <c r="E23916" s="96"/>
    </row>
    <row r="23917" hidden="1">
      <c r="E23917" s="96"/>
    </row>
    <row r="23918" hidden="1">
      <c r="E23918" s="96"/>
    </row>
    <row r="23919" hidden="1">
      <c r="E23919" s="96"/>
    </row>
    <row r="23920" hidden="1">
      <c r="E23920" s="96"/>
    </row>
    <row r="23921" hidden="1">
      <c r="E23921" s="96"/>
    </row>
    <row r="23922" hidden="1">
      <c r="E23922" s="96"/>
    </row>
    <row r="23923" hidden="1">
      <c r="E23923" s="96"/>
    </row>
    <row r="23924" hidden="1">
      <c r="E23924" s="96"/>
    </row>
    <row r="23925" hidden="1">
      <c r="E23925" s="96"/>
    </row>
    <row r="23926" hidden="1">
      <c r="E23926" s="96"/>
    </row>
    <row r="23927" hidden="1">
      <c r="E23927" s="96"/>
    </row>
    <row r="23928" hidden="1">
      <c r="E23928" s="96"/>
    </row>
    <row r="23929" hidden="1">
      <c r="E23929" s="96"/>
    </row>
    <row r="23930" hidden="1">
      <c r="E23930" s="96"/>
    </row>
    <row r="23931" hidden="1">
      <c r="E23931" s="96"/>
    </row>
    <row r="23932" hidden="1">
      <c r="E23932" s="96"/>
    </row>
    <row r="23933" hidden="1">
      <c r="E23933" s="96"/>
    </row>
    <row r="23934" hidden="1">
      <c r="E23934" s="96"/>
    </row>
    <row r="23935" hidden="1">
      <c r="E23935" s="96"/>
    </row>
    <row r="23936" hidden="1">
      <c r="E23936" s="96"/>
    </row>
    <row r="23937" hidden="1">
      <c r="E23937" s="96"/>
    </row>
    <row r="23938" hidden="1">
      <c r="E23938" s="96"/>
    </row>
    <row r="23939" hidden="1">
      <c r="E23939" s="96"/>
    </row>
    <row r="23940" hidden="1">
      <c r="E23940" s="96"/>
    </row>
    <row r="23941" hidden="1">
      <c r="E23941" s="96"/>
    </row>
    <row r="23942" hidden="1">
      <c r="E23942" s="96"/>
    </row>
    <row r="23943" hidden="1">
      <c r="E23943" s="96"/>
    </row>
    <row r="23944" hidden="1">
      <c r="E23944" s="96"/>
    </row>
    <row r="23945" hidden="1">
      <c r="E23945" s="96"/>
    </row>
    <row r="23946" hidden="1">
      <c r="E23946" s="96"/>
    </row>
    <row r="23947" hidden="1">
      <c r="E23947" s="96"/>
    </row>
    <row r="23948" hidden="1">
      <c r="E23948" s="96"/>
    </row>
    <row r="23949" hidden="1">
      <c r="E23949" s="96"/>
    </row>
    <row r="23950" hidden="1">
      <c r="E23950" s="96"/>
    </row>
    <row r="23951" hidden="1">
      <c r="E23951" s="96"/>
    </row>
    <row r="23952" hidden="1">
      <c r="E23952" s="96"/>
    </row>
    <row r="23953" hidden="1">
      <c r="E23953" s="96"/>
    </row>
    <row r="23954" hidden="1">
      <c r="E23954" s="96"/>
    </row>
    <row r="23955" hidden="1">
      <c r="E23955" s="96"/>
    </row>
    <row r="23956" hidden="1">
      <c r="E23956" s="96"/>
    </row>
    <row r="23957" hidden="1">
      <c r="E23957" s="96"/>
    </row>
    <row r="23958" hidden="1">
      <c r="E23958" s="96"/>
    </row>
    <row r="23959" hidden="1">
      <c r="E23959" s="96"/>
    </row>
    <row r="23960" hidden="1">
      <c r="E23960" s="96"/>
    </row>
    <row r="23961" hidden="1">
      <c r="E23961" s="96"/>
    </row>
    <row r="23962" hidden="1">
      <c r="E23962" s="96"/>
    </row>
    <row r="23963" hidden="1">
      <c r="E23963" s="96"/>
    </row>
    <row r="23964" hidden="1">
      <c r="E23964" s="96"/>
    </row>
    <row r="23965" hidden="1">
      <c r="E23965" s="96"/>
    </row>
    <row r="23966" hidden="1">
      <c r="E23966" s="96"/>
    </row>
    <row r="23967" hidden="1">
      <c r="E23967" s="96"/>
    </row>
    <row r="23968" hidden="1">
      <c r="E23968" s="96"/>
    </row>
    <row r="23969" hidden="1">
      <c r="E23969" s="96"/>
    </row>
    <row r="23970" hidden="1">
      <c r="E23970" s="96"/>
    </row>
    <row r="23971" hidden="1">
      <c r="E23971" s="96"/>
    </row>
    <row r="23972" hidden="1">
      <c r="E23972" s="96"/>
    </row>
    <row r="23973" hidden="1">
      <c r="E23973" s="96"/>
    </row>
    <row r="23974" hidden="1">
      <c r="E23974" s="96"/>
    </row>
    <row r="23975" hidden="1">
      <c r="E23975" s="96"/>
    </row>
    <row r="23976" hidden="1">
      <c r="E23976" s="96"/>
    </row>
    <row r="23977" hidden="1">
      <c r="E23977" s="96"/>
    </row>
    <row r="23978" hidden="1">
      <c r="E23978" s="96"/>
    </row>
    <row r="23979" hidden="1">
      <c r="E23979" s="96"/>
    </row>
    <row r="23980" hidden="1">
      <c r="E23980" s="96"/>
    </row>
    <row r="23981" hidden="1">
      <c r="E23981" s="96"/>
    </row>
    <row r="23982" hidden="1">
      <c r="E23982" s="96"/>
    </row>
    <row r="23983" hidden="1">
      <c r="E23983" s="96"/>
    </row>
    <row r="23984" hidden="1">
      <c r="E23984" s="96"/>
    </row>
    <row r="23985" hidden="1">
      <c r="E23985" s="96"/>
    </row>
    <row r="23986" hidden="1">
      <c r="E23986" s="96"/>
    </row>
    <row r="23987" hidden="1">
      <c r="E23987" s="96"/>
    </row>
    <row r="23988" hidden="1">
      <c r="E23988" s="96"/>
    </row>
    <row r="23989" hidden="1">
      <c r="E23989" s="96"/>
    </row>
    <row r="23990" hidden="1">
      <c r="E23990" s="96"/>
    </row>
    <row r="23991" hidden="1">
      <c r="E23991" s="96"/>
    </row>
    <row r="23992" hidden="1">
      <c r="E23992" s="96"/>
    </row>
    <row r="23993" hidden="1">
      <c r="E23993" s="96"/>
    </row>
    <row r="23994" hidden="1">
      <c r="E23994" s="96"/>
    </row>
    <row r="23995" hidden="1">
      <c r="E23995" s="96"/>
    </row>
    <row r="23996" hidden="1">
      <c r="E23996" s="96"/>
    </row>
    <row r="23997" hidden="1">
      <c r="E23997" s="96"/>
    </row>
    <row r="23998" hidden="1">
      <c r="E23998" s="96"/>
    </row>
    <row r="23999" hidden="1">
      <c r="E23999" s="96"/>
    </row>
    <row r="24000" hidden="1">
      <c r="E24000" s="96"/>
    </row>
    <row r="24001" hidden="1">
      <c r="E24001" s="96"/>
    </row>
    <row r="24002" hidden="1">
      <c r="E24002" s="96"/>
    </row>
    <row r="24003" hidden="1">
      <c r="E24003" s="96"/>
    </row>
    <row r="24004" hidden="1">
      <c r="E24004" s="96"/>
    </row>
    <row r="24005" hidden="1">
      <c r="E24005" s="96"/>
    </row>
    <row r="24006" hidden="1">
      <c r="E24006" s="96"/>
    </row>
    <row r="24007" hidden="1">
      <c r="E24007" s="96"/>
    </row>
    <row r="24008" hidden="1">
      <c r="E24008" s="96"/>
    </row>
    <row r="24009" hidden="1">
      <c r="E24009" s="96"/>
    </row>
    <row r="24010" hidden="1">
      <c r="E24010" s="96"/>
    </row>
    <row r="24011" hidden="1">
      <c r="E24011" s="96"/>
    </row>
    <row r="24012" hidden="1">
      <c r="E24012" s="96"/>
    </row>
    <row r="24013" hidden="1">
      <c r="E24013" s="96"/>
    </row>
    <row r="24014" hidden="1">
      <c r="E24014" s="96"/>
    </row>
    <row r="24015" hidden="1">
      <c r="E24015" s="96"/>
    </row>
    <row r="24016" hidden="1">
      <c r="E24016" s="96"/>
    </row>
    <row r="24017" hidden="1">
      <c r="E24017" s="96"/>
    </row>
    <row r="24018" hidden="1">
      <c r="E24018" s="96"/>
    </row>
    <row r="24019" hidden="1">
      <c r="E24019" s="96"/>
    </row>
    <row r="24020" hidden="1">
      <c r="E24020" s="96"/>
    </row>
    <row r="24021" hidden="1">
      <c r="E24021" s="96"/>
    </row>
    <row r="24022" hidden="1">
      <c r="E24022" s="96"/>
    </row>
    <row r="24023" hidden="1">
      <c r="E24023" s="96"/>
    </row>
    <row r="24024" hidden="1">
      <c r="E24024" s="96"/>
    </row>
    <row r="24025" hidden="1">
      <c r="E24025" s="96"/>
    </row>
    <row r="24026" hidden="1">
      <c r="E24026" s="96"/>
    </row>
    <row r="24027" hidden="1">
      <c r="E24027" s="96"/>
    </row>
    <row r="24028" hidden="1">
      <c r="E24028" s="96"/>
    </row>
    <row r="24029" hidden="1">
      <c r="E24029" s="96"/>
    </row>
    <row r="24030" hidden="1">
      <c r="E24030" s="96"/>
    </row>
    <row r="24031" hidden="1">
      <c r="E24031" s="96"/>
    </row>
    <row r="24032" hidden="1">
      <c r="E24032" s="96"/>
    </row>
    <row r="24033" hidden="1">
      <c r="E24033" s="96"/>
    </row>
    <row r="24034" hidden="1">
      <c r="E24034" s="96"/>
    </row>
    <row r="24035" hidden="1">
      <c r="E24035" s="96"/>
    </row>
    <row r="24036" hidden="1">
      <c r="E24036" s="96"/>
    </row>
    <row r="24037" hidden="1">
      <c r="E24037" s="96"/>
    </row>
    <row r="24038" hidden="1">
      <c r="E24038" s="96"/>
    </row>
    <row r="24039" hidden="1">
      <c r="E24039" s="96"/>
    </row>
    <row r="24040" hidden="1">
      <c r="E24040" s="96"/>
    </row>
    <row r="24041" hidden="1">
      <c r="E24041" s="96"/>
    </row>
    <row r="24042" hidden="1">
      <c r="E24042" s="96"/>
    </row>
    <row r="24043" hidden="1">
      <c r="E24043" s="96"/>
    </row>
    <row r="24044" hidden="1">
      <c r="E24044" s="96"/>
    </row>
    <row r="24045" hidden="1">
      <c r="E24045" s="96"/>
    </row>
    <row r="24046" hidden="1">
      <c r="E24046" s="96"/>
    </row>
    <row r="24047" hidden="1">
      <c r="E24047" s="96"/>
    </row>
    <row r="24048" hidden="1">
      <c r="E24048" s="96"/>
    </row>
    <row r="24049" hidden="1">
      <c r="E24049" s="96"/>
    </row>
    <row r="24050" hidden="1">
      <c r="E24050" s="96"/>
    </row>
    <row r="24051" hidden="1">
      <c r="E24051" s="96"/>
    </row>
    <row r="24052" hidden="1">
      <c r="E24052" s="96"/>
    </row>
    <row r="24053" hidden="1">
      <c r="E24053" s="96"/>
    </row>
    <row r="24054" hidden="1">
      <c r="E24054" s="96"/>
    </row>
    <row r="24055" hidden="1">
      <c r="E24055" s="96"/>
    </row>
    <row r="24056" hidden="1">
      <c r="E24056" s="96"/>
    </row>
    <row r="24057" hidden="1">
      <c r="E24057" s="96"/>
    </row>
    <row r="24058" hidden="1">
      <c r="E24058" s="96"/>
    </row>
    <row r="24059" hidden="1">
      <c r="E24059" s="96"/>
    </row>
    <row r="24060" hidden="1">
      <c r="E24060" s="96"/>
    </row>
    <row r="24061" hidden="1">
      <c r="E24061" s="96"/>
    </row>
    <row r="24062" hidden="1">
      <c r="E24062" s="96"/>
    </row>
    <row r="24063" hidden="1">
      <c r="E24063" s="96"/>
    </row>
    <row r="24064" hidden="1">
      <c r="E24064" s="96"/>
    </row>
    <row r="24065" hidden="1">
      <c r="E24065" s="96"/>
    </row>
    <row r="24066" hidden="1">
      <c r="E24066" s="96"/>
    </row>
    <row r="24067" hidden="1">
      <c r="E24067" s="96"/>
    </row>
    <row r="24068" hidden="1">
      <c r="E24068" s="96"/>
    </row>
    <row r="24069" hidden="1">
      <c r="E24069" s="96"/>
    </row>
    <row r="24070" hidden="1">
      <c r="E24070" s="96"/>
    </row>
    <row r="24071" hidden="1">
      <c r="E24071" s="96"/>
    </row>
    <row r="24072" hidden="1">
      <c r="E24072" s="96"/>
    </row>
    <row r="24073" hidden="1">
      <c r="E24073" s="96"/>
    </row>
    <row r="24074" hidden="1">
      <c r="E24074" s="96"/>
    </row>
    <row r="24075" hidden="1">
      <c r="E24075" s="96"/>
    </row>
    <row r="24076" hidden="1">
      <c r="E24076" s="96"/>
    </row>
    <row r="24077" hidden="1">
      <c r="E24077" s="96"/>
    </row>
    <row r="24078" hidden="1">
      <c r="E24078" s="96"/>
    </row>
    <row r="24079" hidden="1">
      <c r="E24079" s="96"/>
    </row>
    <row r="24080" hidden="1">
      <c r="E24080" s="96"/>
    </row>
    <row r="24081" hidden="1">
      <c r="E24081" s="96"/>
    </row>
    <row r="24082" hidden="1">
      <c r="E24082" s="96"/>
    </row>
    <row r="24083" hidden="1">
      <c r="E24083" s="96"/>
    </row>
    <row r="24084" hidden="1">
      <c r="E24084" s="96"/>
    </row>
    <row r="24085" hidden="1">
      <c r="E24085" s="96"/>
    </row>
    <row r="24086" hidden="1">
      <c r="E24086" s="96"/>
    </row>
    <row r="24087" hidden="1">
      <c r="E24087" s="96"/>
    </row>
    <row r="24088" hidden="1">
      <c r="E24088" s="96"/>
    </row>
    <row r="24089" hidden="1">
      <c r="E24089" s="96"/>
    </row>
    <row r="24090" hidden="1">
      <c r="E24090" s="96"/>
    </row>
    <row r="24091" hidden="1">
      <c r="E24091" s="96"/>
    </row>
    <row r="24092" hidden="1">
      <c r="E24092" s="96"/>
    </row>
    <row r="24093" hidden="1">
      <c r="E24093" s="96"/>
    </row>
    <row r="24094" hidden="1">
      <c r="E24094" s="96"/>
    </row>
    <row r="24095" hidden="1">
      <c r="E24095" s="96"/>
    </row>
    <row r="24096" hidden="1">
      <c r="E24096" s="96"/>
    </row>
    <row r="24097" hidden="1">
      <c r="E24097" s="96"/>
    </row>
    <row r="24098" hidden="1">
      <c r="E24098" s="96"/>
    </row>
    <row r="24099" hidden="1">
      <c r="E24099" s="96"/>
    </row>
    <row r="24100" hidden="1">
      <c r="E24100" s="96"/>
    </row>
    <row r="24101" hidden="1">
      <c r="E24101" s="96"/>
    </row>
    <row r="24102" hidden="1">
      <c r="E24102" s="96"/>
    </row>
    <row r="24103" hidden="1">
      <c r="E24103" s="96"/>
    </row>
    <row r="24104" hidden="1">
      <c r="E24104" s="96"/>
    </row>
    <row r="24105" hidden="1">
      <c r="E24105" s="96"/>
    </row>
    <row r="24106" hidden="1">
      <c r="E24106" s="96"/>
    </row>
    <row r="24107" hidden="1">
      <c r="E24107" s="96"/>
    </row>
    <row r="24108" hidden="1">
      <c r="E24108" s="96"/>
    </row>
    <row r="24109" hidden="1">
      <c r="E24109" s="96"/>
    </row>
    <row r="24110" hidden="1">
      <c r="E24110" s="96"/>
    </row>
    <row r="24111" hidden="1">
      <c r="E24111" s="96"/>
    </row>
    <row r="24112" hidden="1">
      <c r="E24112" s="96"/>
    </row>
    <row r="24113" hidden="1">
      <c r="E24113" s="96"/>
    </row>
    <row r="24114" hidden="1">
      <c r="E24114" s="96"/>
    </row>
    <row r="24115" hidden="1">
      <c r="E24115" s="96"/>
    </row>
    <row r="24116" hidden="1">
      <c r="E24116" s="96"/>
    </row>
    <row r="24117" hidden="1">
      <c r="E24117" s="96"/>
    </row>
    <row r="24118" hidden="1">
      <c r="E24118" s="96"/>
    </row>
    <row r="24119" hidden="1">
      <c r="E24119" s="96"/>
    </row>
    <row r="24120" hidden="1">
      <c r="E24120" s="96"/>
    </row>
    <row r="24121" hidden="1">
      <c r="E24121" s="96"/>
    </row>
    <row r="24122" hidden="1">
      <c r="E24122" s="96"/>
    </row>
    <row r="24123" hidden="1">
      <c r="E24123" s="96"/>
    </row>
    <row r="24124" hidden="1">
      <c r="E24124" s="96"/>
    </row>
    <row r="24125" hidden="1">
      <c r="E24125" s="96"/>
    </row>
    <row r="24126" hidden="1">
      <c r="E24126" s="96"/>
    </row>
    <row r="24127" hidden="1">
      <c r="E24127" s="96"/>
    </row>
    <row r="24128" hidden="1">
      <c r="E24128" s="96"/>
    </row>
    <row r="24129" hidden="1">
      <c r="E24129" s="96"/>
    </row>
    <row r="24130" hidden="1">
      <c r="E24130" s="96"/>
    </row>
    <row r="24131" hidden="1">
      <c r="E24131" s="96"/>
    </row>
    <row r="24132" hidden="1">
      <c r="E24132" s="96"/>
    </row>
    <row r="24133" hidden="1">
      <c r="E24133" s="96"/>
    </row>
    <row r="24134" hidden="1">
      <c r="E24134" s="96"/>
    </row>
    <row r="24135" hidden="1">
      <c r="E24135" s="96"/>
    </row>
    <row r="24136" hidden="1">
      <c r="E24136" s="96"/>
    </row>
    <row r="24137" hidden="1">
      <c r="E24137" s="96"/>
    </row>
    <row r="24138" hidden="1">
      <c r="E24138" s="96"/>
    </row>
    <row r="24139" hidden="1">
      <c r="E24139" s="96"/>
    </row>
    <row r="24140" hidden="1">
      <c r="E24140" s="96"/>
    </row>
    <row r="24141" hidden="1">
      <c r="E24141" s="96"/>
    </row>
    <row r="24142" hidden="1">
      <c r="E24142" s="96"/>
    </row>
    <row r="24143" hidden="1">
      <c r="E24143" s="96"/>
    </row>
    <row r="24144" hidden="1">
      <c r="E24144" s="96"/>
    </row>
    <row r="24145" hidden="1">
      <c r="E24145" s="96"/>
    </row>
    <row r="24146" hidden="1">
      <c r="E24146" s="96"/>
    </row>
    <row r="24147" hidden="1">
      <c r="E24147" s="96"/>
    </row>
    <row r="24148" hidden="1">
      <c r="E24148" s="96"/>
    </row>
    <row r="24149" hidden="1">
      <c r="E24149" s="96"/>
    </row>
    <row r="24150" hidden="1">
      <c r="E24150" s="96"/>
    </row>
    <row r="24151" hidden="1">
      <c r="E24151" s="96"/>
    </row>
    <row r="24152" hidden="1">
      <c r="E24152" s="96"/>
    </row>
    <row r="24153" hidden="1">
      <c r="E24153" s="96"/>
    </row>
    <row r="24154" hidden="1">
      <c r="E24154" s="96"/>
    </row>
    <row r="24155" hidden="1">
      <c r="E24155" s="96"/>
    </row>
    <row r="24156" hidden="1">
      <c r="E24156" s="96"/>
    </row>
    <row r="24157" hidden="1">
      <c r="E24157" s="96"/>
    </row>
    <row r="24158" hidden="1">
      <c r="E24158" s="96"/>
    </row>
    <row r="24159" hidden="1">
      <c r="E24159" s="96"/>
    </row>
    <row r="24160" hidden="1">
      <c r="E24160" s="96"/>
    </row>
    <row r="24161" hidden="1">
      <c r="E24161" s="96"/>
    </row>
    <row r="24162" hidden="1">
      <c r="E24162" s="96"/>
    </row>
    <row r="24163" hidden="1">
      <c r="E24163" s="96"/>
    </row>
    <row r="24164" hidden="1">
      <c r="E24164" s="96"/>
    </row>
    <row r="24165" hidden="1">
      <c r="E24165" s="96"/>
    </row>
    <row r="24166" hidden="1">
      <c r="E24166" s="96"/>
    </row>
    <row r="24167" hidden="1">
      <c r="E24167" s="96"/>
    </row>
    <row r="24168" hidden="1">
      <c r="E24168" s="96"/>
    </row>
    <row r="24169" hidden="1">
      <c r="E24169" s="96"/>
    </row>
    <row r="24170" hidden="1">
      <c r="E24170" s="96"/>
    </row>
    <row r="24171" hidden="1">
      <c r="E24171" s="96"/>
    </row>
    <row r="24172" hidden="1">
      <c r="E24172" s="96"/>
    </row>
    <row r="24173" hidden="1">
      <c r="E24173" s="96"/>
    </row>
    <row r="24174" hidden="1">
      <c r="E24174" s="96"/>
    </row>
    <row r="24175" hidden="1">
      <c r="E24175" s="96"/>
    </row>
    <row r="24176" hidden="1">
      <c r="E24176" s="96"/>
    </row>
    <row r="24177" hidden="1">
      <c r="E24177" s="96"/>
    </row>
    <row r="24178" hidden="1">
      <c r="E24178" s="96"/>
    </row>
    <row r="24179" hidden="1">
      <c r="E24179" s="96"/>
    </row>
    <row r="24180" hidden="1">
      <c r="E24180" s="96"/>
    </row>
    <row r="24181" hidden="1">
      <c r="E24181" s="96"/>
    </row>
    <row r="24182" hidden="1">
      <c r="E24182" s="96"/>
    </row>
    <row r="24183" hidden="1">
      <c r="E24183" s="96"/>
    </row>
    <row r="24184" hidden="1">
      <c r="E24184" s="96"/>
    </row>
    <row r="24185" hidden="1">
      <c r="E24185" s="96"/>
    </row>
    <row r="24186" hidden="1">
      <c r="E24186" s="96"/>
    </row>
    <row r="24187" hidden="1">
      <c r="E24187" s="96"/>
    </row>
    <row r="24188" hidden="1">
      <c r="E24188" s="96"/>
    </row>
    <row r="24189" hidden="1">
      <c r="E24189" s="96"/>
    </row>
    <row r="24190" hidden="1">
      <c r="E24190" s="96"/>
    </row>
    <row r="24191" hidden="1">
      <c r="E24191" s="96"/>
    </row>
    <row r="24192" hidden="1">
      <c r="E24192" s="96"/>
    </row>
    <row r="24193" hidden="1">
      <c r="E24193" s="96"/>
    </row>
    <row r="24194" hidden="1">
      <c r="E24194" s="96"/>
    </row>
    <row r="24195" hidden="1">
      <c r="E24195" s="96"/>
    </row>
    <row r="24196" hidden="1">
      <c r="E24196" s="96"/>
    </row>
    <row r="24197" hidden="1">
      <c r="E24197" s="96"/>
    </row>
    <row r="24198" hidden="1">
      <c r="E24198" s="96"/>
    </row>
    <row r="24199" hidden="1">
      <c r="E24199" s="96"/>
    </row>
    <row r="24200" hidden="1">
      <c r="E24200" s="96"/>
    </row>
    <row r="24201" hidden="1">
      <c r="E24201" s="96"/>
    </row>
    <row r="24202" hidden="1">
      <c r="E24202" s="96"/>
    </row>
    <row r="24203" hidden="1">
      <c r="E24203" s="96"/>
    </row>
    <row r="24204" hidden="1">
      <c r="E24204" s="96"/>
    </row>
    <row r="24205" hidden="1">
      <c r="E24205" s="96"/>
    </row>
    <row r="24206" hidden="1">
      <c r="E24206" s="96"/>
    </row>
    <row r="24207" hidden="1">
      <c r="E24207" s="96"/>
    </row>
    <row r="24208" hidden="1">
      <c r="E24208" s="96"/>
    </row>
    <row r="24209" hidden="1">
      <c r="E24209" s="96"/>
    </row>
    <row r="24210" hidden="1">
      <c r="E24210" s="96"/>
    </row>
    <row r="24211" hidden="1">
      <c r="E24211" s="96"/>
    </row>
    <row r="24212" hidden="1">
      <c r="E24212" s="96"/>
    </row>
    <row r="24213" hidden="1">
      <c r="E24213" s="96"/>
    </row>
    <row r="24214" hidden="1">
      <c r="E24214" s="96"/>
    </row>
    <row r="24215" hidden="1">
      <c r="E24215" s="96"/>
    </row>
    <row r="24216" hidden="1">
      <c r="E24216" s="96"/>
    </row>
    <row r="24217" hidden="1">
      <c r="E24217" s="96"/>
    </row>
    <row r="24218" hidden="1">
      <c r="E24218" s="96"/>
    </row>
    <row r="24219" hidden="1">
      <c r="E24219" s="96"/>
    </row>
    <row r="24220" hidden="1">
      <c r="E24220" s="96"/>
    </row>
    <row r="24221" hidden="1">
      <c r="E24221" s="96"/>
    </row>
    <row r="24222" hidden="1">
      <c r="E24222" s="96"/>
    </row>
    <row r="24223" hidden="1">
      <c r="E24223" s="96"/>
    </row>
    <row r="24224" hidden="1">
      <c r="E24224" s="96"/>
    </row>
    <row r="24225" hidden="1">
      <c r="E24225" s="96"/>
    </row>
    <row r="24226" hidden="1">
      <c r="E24226" s="96"/>
    </row>
    <row r="24227" hidden="1">
      <c r="E24227" s="96"/>
    </row>
    <row r="24228" hidden="1">
      <c r="E24228" s="96"/>
    </row>
    <row r="24229" hidden="1">
      <c r="E24229" s="96"/>
    </row>
    <row r="24230" hidden="1">
      <c r="E24230" s="96"/>
    </row>
    <row r="24231" hidden="1">
      <c r="E24231" s="96"/>
    </row>
    <row r="24232" hidden="1">
      <c r="E24232" s="96"/>
    </row>
    <row r="24233" hidden="1">
      <c r="E24233" s="96"/>
    </row>
    <row r="24234" hidden="1">
      <c r="E24234" s="96"/>
    </row>
    <row r="24235" hidden="1">
      <c r="E24235" s="96"/>
    </row>
    <row r="24236" hidden="1">
      <c r="E24236" s="96"/>
    </row>
    <row r="24237" hidden="1">
      <c r="E24237" s="96"/>
    </row>
    <row r="24238" hidden="1">
      <c r="E24238" s="96"/>
    </row>
    <row r="24239" hidden="1">
      <c r="E24239" s="96"/>
    </row>
    <row r="24240" hidden="1">
      <c r="E24240" s="96"/>
    </row>
    <row r="24241" hidden="1">
      <c r="E24241" s="96"/>
    </row>
    <row r="24242" hidden="1">
      <c r="E24242" s="96"/>
    </row>
    <row r="24243" hidden="1">
      <c r="E24243" s="96"/>
    </row>
    <row r="24244" hidden="1">
      <c r="E24244" s="96"/>
    </row>
    <row r="24245" hidden="1">
      <c r="E24245" s="96"/>
    </row>
    <row r="24246" hidden="1">
      <c r="E24246" s="96"/>
    </row>
    <row r="24247" hidden="1">
      <c r="E24247" s="96"/>
    </row>
    <row r="24248" hidden="1">
      <c r="E24248" s="96"/>
    </row>
    <row r="24249" hidden="1">
      <c r="E24249" s="96"/>
    </row>
    <row r="24250" hidden="1">
      <c r="E24250" s="96"/>
    </row>
    <row r="24251" hidden="1">
      <c r="E24251" s="96"/>
    </row>
    <row r="24252" hidden="1">
      <c r="E24252" s="96"/>
    </row>
    <row r="24253" hidden="1">
      <c r="E24253" s="96"/>
    </row>
    <row r="24254" hidden="1">
      <c r="E24254" s="96"/>
    </row>
    <row r="24255" hidden="1">
      <c r="E24255" s="96"/>
    </row>
    <row r="24256" hidden="1">
      <c r="E24256" s="96"/>
    </row>
    <row r="24257" hidden="1">
      <c r="E24257" s="96"/>
    </row>
    <row r="24258" hidden="1">
      <c r="E24258" s="96"/>
    </row>
    <row r="24259" hidden="1">
      <c r="E24259" s="96"/>
    </row>
    <row r="24260" hidden="1">
      <c r="E24260" s="96"/>
    </row>
    <row r="24261" hidden="1">
      <c r="E24261" s="96"/>
    </row>
    <row r="24262" hidden="1">
      <c r="E24262" s="96"/>
    </row>
    <row r="24263" hidden="1">
      <c r="E24263" s="96"/>
    </row>
    <row r="24264" hidden="1">
      <c r="E24264" s="96"/>
    </row>
    <row r="24265" hidden="1">
      <c r="E24265" s="96"/>
    </row>
    <row r="24266" hidden="1">
      <c r="E24266" s="96"/>
    </row>
    <row r="24267" hidden="1">
      <c r="E24267" s="96"/>
    </row>
    <row r="24268" hidden="1">
      <c r="E24268" s="96"/>
    </row>
    <row r="24269" hidden="1">
      <c r="E24269" s="96"/>
    </row>
    <row r="24270" hidden="1">
      <c r="E24270" s="96"/>
    </row>
    <row r="24271" hidden="1">
      <c r="E24271" s="96"/>
    </row>
    <row r="24272" hidden="1">
      <c r="E24272" s="96"/>
    </row>
    <row r="24273" hidden="1">
      <c r="E24273" s="96"/>
    </row>
    <row r="24274" hidden="1">
      <c r="E24274" s="96"/>
    </row>
    <row r="24275" hidden="1">
      <c r="E24275" s="96"/>
    </row>
    <row r="24276" hidden="1">
      <c r="E24276" s="96"/>
    </row>
    <row r="24277" hidden="1">
      <c r="E24277" s="96"/>
    </row>
    <row r="24278" hidden="1">
      <c r="E24278" s="96"/>
    </row>
    <row r="24279" hidden="1">
      <c r="E24279" s="96"/>
    </row>
    <row r="24280" hidden="1">
      <c r="E24280" s="96"/>
    </row>
    <row r="24281" hidden="1">
      <c r="E24281" s="96"/>
    </row>
    <row r="24282" hidden="1">
      <c r="E24282" s="96"/>
    </row>
    <row r="24283" hidden="1">
      <c r="E24283" s="96"/>
    </row>
    <row r="24284" hidden="1">
      <c r="E24284" s="96"/>
    </row>
    <row r="24285" hidden="1">
      <c r="E24285" s="96"/>
    </row>
    <row r="24286" hidden="1">
      <c r="E24286" s="96"/>
    </row>
    <row r="24287" hidden="1">
      <c r="E24287" s="96"/>
    </row>
    <row r="24288" hidden="1">
      <c r="E24288" s="96"/>
    </row>
    <row r="24289" hidden="1">
      <c r="E24289" s="96"/>
    </row>
    <row r="24290" hidden="1">
      <c r="E24290" s="96"/>
    </row>
    <row r="24291" hidden="1">
      <c r="E24291" s="96"/>
    </row>
    <row r="24292" hidden="1">
      <c r="E24292" s="96"/>
    </row>
    <row r="24293" hidden="1">
      <c r="E24293" s="96"/>
    </row>
    <row r="24294" hidden="1">
      <c r="E24294" s="96"/>
    </row>
    <row r="24295" hidden="1">
      <c r="E24295" s="96"/>
    </row>
    <row r="24296" hidden="1">
      <c r="E24296" s="96"/>
    </row>
    <row r="24297" hidden="1">
      <c r="E24297" s="96"/>
    </row>
    <row r="24298" hidden="1">
      <c r="E24298" s="96"/>
    </row>
    <row r="24299" hidden="1">
      <c r="E24299" s="96"/>
    </row>
    <row r="24300" hidden="1">
      <c r="E24300" s="96"/>
    </row>
    <row r="24301" hidden="1">
      <c r="E24301" s="96"/>
    </row>
    <row r="24302" hidden="1">
      <c r="E24302" s="96"/>
    </row>
    <row r="24303" hidden="1">
      <c r="E24303" s="96"/>
    </row>
    <row r="24304" hidden="1">
      <c r="E24304" s="96"/>
    </row>
    <row r="24305" hidden="1">
      <c r="E24305" s="96"/>
    </row>
    <row r="24306" hidden="1">
      <c r="E24306" s="96"/>
    </row>
    <row r="24307" hidden="1">
      <c r="E24307" s="96"/>
    </row>
    <row r="24308" hidden="1">
      <c r="E24308" s="96"/>
    </row>
    <row r="24309" hidden="1">
      <c r="E24309" s="96"/>
    </row>
    <row r="24310" hidden="1">
      <c r="E24310" s="96"/>
    </row>
    <row r="24311" hidden="1">
      <c r="E24311" s="96"/>
    </row>
    <row r="24312" hidden="1">
      <c r="E24312" s="96"/>
    </row>
    <row r="24313" hidden="1">
      <c r="E24313" s="96"/>
    </row>
    <row r="24314" hidden="1">
      <c r="E24314" s="96"/>
    </row>
    <row r="24315" hidden="1">
      <c r="E24315" s="96"/>
    </row>
    <row r="24316" hidden="1">
      <c r="E24316" s="96"/>
    </row>
    <row r="24317" hidden="1">
      <c r="E24317" s="96"/>
    </row>
    <row r="24318" hidden="1">
      <c r="E24318" s="96"/>
    </row>
    <row r="24319" hidden="1">
      <c r="E24319" s="96"/>
    </row>
    <row r="24320" hidden="1">
      <c r="E24320" s="96"/>
    </row>
    <row r="24321" hidden="1">
      <c r="E24321" s="96"/>
    </row>
    <row r="24322" hidden="1">
      <c r="E24322" s="96"/>
    </row>
    <row r="24323" hidden="1">
      <c r="E24323" s="96"/>
    </row>
    <row r="24324" hidden="1">
      <c r="E24324" s="96"/>
    </row>
    <row r="24325" hidden="1">
      <c r="E24325" s="96"/>
    </row>
    <row r="24326" hidden="1">
      <c r="E24326" s="96"/>
    </row>
    <row r="24327" hidden="1">
      <c r="E24327" s="96"/>
    </row>
    <row r="24328" hidden="1">
      <c r="E24328" s="96"/>
    </row>
    <row r="24329" hidden="1">
      <c r="E24329" s="96"/>
    </row>
    <row r="24330" hidden="1">
      <c r="E24330" s="96"/>
    </row>
    <row r="24331" hidden="1">
      <c r="E24331" s="96"/>
    </row>
    <row r="24332" hidden="1">
      <c r="E24332" s="96"/>
    </row>
    <row r="24333" hidden="1">
      <c r="E24333" s="96"/>
    </row>
    <row r="24334" hidden="1">
      <c r="E24334" s="96"/>
    </row>
    <row r="24335" hidden="1">
      <c r="E24335" s="96"/>
    </row>
    <row r="24336" hidden="1">
      <c r="E24336" s="96"/>
    </row>
    <row r="24337" hidden="1">
      <c r="E24337" s="96"/>
    </row>
    <row r="24338" hidden="1">
      <c r="E24338" s="96"/>
    </row>
    <row r="24339" hidden="1">
      <c r="E24339" s="96"/>
    </row>
    <row r="24340" hidden="1">
      <c r="E24340" s="96"/>
    </row>
    <row r="24341" hidden="1">
      <c r="E24341" s="96"/>
    </row>
    <row r="24342" hidden="1">
      <c r="E24342" s="96"/>
    </row>
    <row r="24343" hidden="1">
      <c r="E24343" s="96"/>
    </row>
    <row r="24344" hidden="1">
      <c r="E24344" s="96"/>
    </row>
    <row r="24345" hidden="1">
      <c r="E24345" s="96"/>
    </row>
    <row r="24346" hidden="1">
      <c r="E24346" s="96"/>
    </row>
    <row r="24347" hidden="1">
      <c r="E24347" s="96"/>
    </row>
    <row r="24348" hidden="1">
      <c r="E24348" s="96"/>
    </row>
    <row r="24349" hidden="1">
      <c r="E24349" s="96"/>
    </row>
    <row r="24350" hidden="1">
      <c r="E24350" s="96"/>
    </row>
    <row r="24351" hidden="1">
      <c r="E24351" s="96"/>
    </row>
    <row r="24352" hidden="1">
      <c r="E24352" s="96"/>
    </row>
    <row r="24353" hidden="1">
      <c r="E24353" s="96"/>
    </row>
    <row r="24354" hidden="1">
      <c r="E24354" s="96"/>
    </row>
    <row r="24355" hidden="1">
      <c r="E24355" s="96"/>
    </row>
    <row r="24356" hidden="1">
      <c r="E24356" s="96"/>
    </row>
    <row r="24357" hidden="1">
      <c r="E24357" s="96"/>
    </row>
    <row r="24358" hidden="1">
      <c r="E24358" s="96"/>
    </row>
    <row r="24359" hidden="1">
      <c r="E24359" s="96"/>
    </row>
    <row r="24360" hidden="1">
      <c r="E24360" s="96"/>
    </row>
    <row r="24361" hidden="1">
      <c r="E24361" s="96"/>
    </row>
    <row r="24362" hidden="1">
      <c r="E24362" s="96"/>
    </row>
    <row r="24363" hidden="1">
      <c r="E24363" s="96"/>
    </row>
    <row r="24364" hidden="1">
      <c r="E24364" s="96"/>
    </row>
    <row r="24365" hidden="1">
      <c r="E24365" s="96"/>
    </row>
    <row r="24366" hidden="1">
      <c r="E24366" s="96"/>
    </row>
    <row r="24367" hidden="1">
      <c r="E24367" s="96"/>
    </row>
    <row r="24368" hidden="1">
      <c r="E24368" s="96"/>
    </row>
    <row r="24369" hidden="1">
      <c r="E24369" s="96"/>
    </row>
    <row r="24370" hidden="1">
      <c r="E24370" s="96"/>
    </row>
    <row r="24371" hidden="1">
      <c r="E24371" s="96"/>
    </row>
    <row r="24372" hidden="1">
      <c r="E24372" s="96"/>
    </row>
    <row r="24373" hidden="1">
      <c r="E24373" s="96"/>
    </row>
    <row r="24374" hidden="1">
      <c r="E24374" s="96"/>
    </row>
    <row r="24375" hidden="1">
      <c r="E24375" s="96"/>
    </row>
    <row r="24376" hidden="1">
      <c r="E24376" s="96"/>
    </row>
    <row r="24377" hidden="1">
      <c r="E24377" s="96"/>
    </row>
    <row r="24378" hidden="1">
      <c r="E24378" s="96"/>
    </row>
    <row r="24379" hidden="1">
      <c r="E24379" s="96"/>
    </row>
    <row r="24380" hidden="1">
      <c r="E24380" s="96"/>
    </row>
    <row r="24381" hidden="1">
      <c r="E24381" s="96"/>
    </row>
    <row r="24382" hidden="1">
      <c r="E24382" s="96"/>
    </row>
    <row r="24383" hidden="1">
      <c r="E24383" s="96"/>
    </row>
    <row r="24384" hidden="1">
      <c r="E24384" s="96"/>
    </row>
    <row r="24385" hidden="1">
      <c r="E24385" s="96"/>
    </row>
    <row r="24386" hidden="1">
      <c r="E24386" s="96"/>
    </row>
    <row r="24387" hidden="1">
      <c r="E24387" s="96"/>
    </row>
    <row r="24388" hidden="1">
      <c r="E24388" s="96"/>
    </row>
    <row r="24389" hidden="1">
      <c r="E24389" s="96"/>
    </row>
    <row r="24390" hidden="1">
      <c r="E24390" s="96"/>
    </row>
    <row r="24391" hidden="1">
      <c r="E24391" s="96"/>
    </row>
    <row r="24392" hidden="1">
      <c r="E24392" s="96"/>
    </row>
    <row r="24393" hidden="1">
      <c r="E24393" s="96"/>
    </row>
    <row r="24394" hidden="1">
      <c r="E24394" s="96"/>
    </row>
    <row r="24395" hidden="1">
      <c r="E24395" s="96"/>
    </row>
    <row r="24396" hidden="1">
      <c r="E24396" s="96"/>
    </row>
    <row r="24397" hidden="1">
      <c r="E24397" s="96"/>
    </row>
    <row r="24398" hidden="1">
      <c r="E24398" s="96"/>
    </row>
    <row r="24399" hidden="1">
      <c r="E24399" s="96"/>
    </row>
    <row r="24400" hidden="1">
      <c r="E24400" s="96"/>
    </row>
    <row r="24401" hidden="1">
      <c r="E24401" s="96"/>
    </row>
    <row r="24402" hidden="1">
      <c r="E24402" s="96"/>
    </row>
    <row r="24403" hidden="1">
      <c r="E24403" s="96"/>
    </row>
    <row r="24404" hidden="1">
      <c r="E24404" s="96"/>
    </row>
    <row r="24405" hidden="1">
      <c r="E24405" s="96"/>
    </row>
    <row r="24406" hidden="1">
      <c r="E24406" s="96"/>
    </row>
    <row r="24407" hidden="1">
      <c r="E24407" s="96"/>
    </row>
    <row r="24408" hidden="1">
      <c r="E24408" s="96"/>
    </row>
    <row r="24409" hidden="1">
      <c r="E24409" s="96"/>
    </row>
    <row r="24410" hidden="1">
      <c r="E24410" s="96"/>
    </row>
    <row r="24411" hidden="1">
      <c r="E24411" s="96"/>
    </row>
    <row r="24412" hidden="1">
      <c r="E24412" s="96"/>
    </row>
    <row r="24413" hidden="1">
      <c r="E24413" s="96"/>
    </row>
    <row r="24414" hidden="1">
      <c r="E24414" s="96"/>
    </row>
    <row r="24415" hidden="1">
      <c r="E24415" s="96"/>
    </row>
    <row r="24416" hidden="1">
      <c r="E24416" s="96"/>
    </row>
    <row r="24417" hidden="1">
      <c r="E24417" s="96"/>
    </row>
    <row r="24418" hidden="1">
      <c r="E24418" s="96"/>
    </row>
    <row r="24419" hidden="1">
      <c r="E24419" s="96"/>
    </row>
    <row r="24420" hidden="1">
      <c r="E24420" s="96"/>
    </row>
    <row r="24421" hidden="1">
      <c r="E24421" s="96"/>
    </row>
    <row r="24422" hidden="1">
      <c r="E24422" s="96"/>
    </row>
    <row r="24423" hidden="1">
      <c r="E24423" s="96"/>
    </row>
    <row r="24424" hidden="1">
      <c r="E24424" s="96"/>
    </row>
    <row r="24425" hidden="1">
      <c r="E24425" s="96"/>
    </row>
    <row r="24426" hidden="1">
      <c r="E24426" s="96"/>
    </row>
    <row r="24427" hidden="1">
      <c r="E24427" s="96"/>
    </row>
    <row r="24428" hidden="1">
      <c r="E24428" s="96"/>
    </row>
    <row r="24429" hidden="1">
      <c r="E24429" s="96"/>
    </row>
    <row r="24430" hidden="1">
      <c r="E24430" s="96"/>
    </row>
    <row r="24431" hidden="1">
      <c r="E24431" s="96"/>
    </row>
    <row r="24432" hidden="1">
      <c r="E24432" s="96"/>
    </row>
    <row r="24433" hidden="1">
      <c r="E24433" s="96"/>
    </row>
    <row r="24434" hidden="1">
      <c r="E24434" s="96"/>
    </row>
    <row r="24435" hidden="1">
      <c r="E24435" s="96"/>
    </row>
    <row r="24436" hidden="1">
      <c r="E24436" s="96"/>
    </row>
    <row r="24437" hidden="1">
      <c r="E24437" s="96"/>
    </row>
    <row r="24438" hidden="1">
      <c r="E24438" s="96"/>
    </row>
    <row r="24439" hidden="1">
      <c r="E24439" s="96"/>
    </row>
    <row r="24440" hidden="1">
      <c r="E24440" s="96"/>
    </row>
    <row r="24441" hidden="1">
      <c r="E24441" s="96"/>
    </row>
    <row r="24442" hidden="1">
      <c r="E24442" s="96"/>
    </row>
    <row r="24443" hidden="1">
      <c r="E24443" s="96"/>
    </row>
    <row r="24444" hidden="1">
      <c r="E24444" s="96"/>
    </row>
    <row r="24445" hidden="1">
      <c r="E24445" s="96"/>
    </row>
    <row r="24446" hidden="1">
      <c r="E24446" s="96"/>
    </row>
    <row r="24447" hidden="1">
      <c r="E24447" s="96"/>
    </row>
    <row r="24448" hidden="1">
      <c r="E24448" s="96"/>
    </row>
    <row r="24449" hidden="1">
      <c r="E24449" s="96"/>
    </row>
    <row r="24450" hidden="1">
      <c r="E24450" s="96"/>
    </row>
    <row r="24451" hidden="1">
      <c r="E24451" s="96"/>
    </row>
    <row r="24452" hidden="1">
      <c r="E24452" s="96"/>
    </row>
    <row r="24453" hidden="1">
      <c r="E24453" s="96"/>
    </row>
    <row r="24454" hidden="1">
      <c r="E24454" s="96"/>
    </row>
    <row r="24455" hidden="1">
      <c r="E24455" s="96"/>
    </row>
    <row r="24456" hidden="1">
      <c r="E24456" s="96"/>
    </row>
    <row r="24457" hidden="1">
      <c r="E24457" s="96"/>
    </row>
    <row r="24458" hidden="1">
      <c r="E24458" s="96"/>
    </row>
    <row r="24459" hidden="1">
      <c r="E24459" s="96"/>
    </row>
    <row r="24460" hidden="1">
      <c r="E24460" s="96"/>
    </row>
    <row r="24461" hidden="1">
      <c r="E24461" s="96"/>
    </row>
    <row r="24462" hidden="1">
      <c r="E24462" s="96"/>
    </row>
    <row r="24463" hidden="1">
      <c r="E24463" s="96"/>
    </row>
    <row r="24464" hidden="1">
      <c r="E24464" s="96"/>
    </row>
    <row r="24465" hidden="1">
      <c r="E24465" s="96"/>
    </row>
    <row r="24466" hidden="1">
      <c r="E24466" s="96"/>
    </row>
    <row r="24467" hidden="1">
      <c r="E24467" s="96"/>
    </row>
    <row r="24468" hidden="1">
      <c r="E24468" s="96"/>
    </row>
    <row r="24469" hidden="1">
      <c r="E24469" s="96"/>
    </row>
    <row r="24470" hidden="1">
      <c r="E24470" s="96"/>
    </row>
    <row r="24471" hidden="1">
      <c r="E24471" s="96"/>
    </row>
    <row r="24472" hidden="1">
      <c r="E24472" s="96"/>
    </row>
    <row r="24473" hidden="1">
      <c r="E24473" s="96"/>
    </row>
    <row r="24474" hidden="1">
      <c r="E24474" s="96"/>
    </row>
    <row r="24475" hidden="1">
      <c r="E24475" s="96"/>
    </row>
    <row r="24476" hidden="1">
      <c r="E24476" s="96"/>
    </row>
    <row r="24477" hidden="1">
      <c r="E24477" s="96"/>
    </row>
    <row r="24478" hidden="1">
      <c r="E24478" s="96"/>
    </row>
    <row r="24479" hidden="1">
      <c r="E24479" s="96"/>
    </row>
    <row r="24480" hidden="1">
      <c r="E24480" s="96"/>
    </row>
    <row r="24481" hidden="1">
      <c r="E24481" s="96"/>
    </row>
    <row r="24482" hidden="1">
      <c r="E24482" s="96"/>
    </row>
    <row r="24483" hidden="1">
      <c r="E24483" s="96"/>
    </row>
    <row r="24484" hidden="1">
      <c r="E24484" s="96"/>
    </row>
    <row r="24485" hidden="1">
      <c r="E24485" s="96"/>
    </row>
    <row r="24486" hidden="1">
      <c r="E24486" s="96"/>
    </row>
    <row r="24487" hidden="1">
      <c r="E24487" s="96"/>
    </row>
    <row r="24488" hidden="1">
      <c r="E24488" s="96"/>
    </row>
    <row r="24489" hidden="1">
      <c r="E24489" s="96"/>
    </row>
    <row r="24490" hidden="1">
      <c r="E24490" s="96"/>
    </row>
    <row r="24491" hidden="1">
      <c r="E24491" s="96"/>
    </row>
    <row r="24492" hidden="1">
      <c r="E24492" s="96"/>
    </row>
    <row r="24493" hidden="1">
      <c r="E24493" s="96"/>
    </row>
    <row r="24494" hidden="1">
      <c r="E24494" s="96"/>
    </row>
    <row r="24495" hidden="1">
      <c r="E24495" s="96"/>
    </row>
    <row r="24496" hidden="1">
      <c r="E24496" s="96"/>
    </row>
    <row r="24497" hidden="1">
      <c r="E24497" s="96"/>
    </row>
    <row r="24498" hidden="1">
      <c r="E24498" s="96"/>
    </row>
    <row r="24499" hidden="1">
      <c r="E24499" s="96"/>
    </row>
    <row r="24500" hidden="1">
      <c r="E24500" s="96"/>
    </row>
    <row r="24501" hidden="1">
      <c r="E24501" s="96"/>
    </row>
    <row r="24502" hidden="1">
      <c r="E24502" s="96"/>
    </row>
    <row r="24503" hidden="1">
      <c r="E24503" s="96"/>
    </row>
    <row r="24504" hidden="1">
      <c r="E24504" s="96"/>
    </row>
    <row r="24505" hidden="1">
      <c r="E24505" s="96"/>
    </row>
    <row r="24506" hidden="1">
      <c r="E24506" s="96"/>
    </row>
    <row r="24507" hidden="1">
      <c r="E24507" s="96"/>
    </row>
    <row r="24508" hidden="1">
      <c r="E24508" s="96"/>
    </row>
    <row r="24509" hidden="1">
      <c r="E24509" s="96"/>
    </row>
    <row r="24510" hidden="1">
      <c r="E24510" s="96"/>
    </row>
    <row r="24511" hidden="1">
      <c r="E24511" s="96"/>
    </row>
    <row r="24512" hidden="1">
      <c r="E24512" s="96"/>
    </row>
    <row r="24513" hidden="1">
      <c r="E24513" s="96"/>
    </row>
    <row r="24514" hidden="1">
      <c r="E24514" s="96"/>
    </row>
    <row r="24515" hidden="1">
      <c r="E24515" s="96"/>
    </row>
    <row r="24516" hidden="1">
      <c r="E24516" s="96"/>
    </row>
    <row r="24517" hidden="1">
      <c r="E24517" s="96"/>
    </row>
    <row r="24518" hidden="1">
      <c r="E24518" s="96"/>
    </row>
    <row r="24519" hidden="1">
      <c r="E24519" s="96"/>
    </row>
    <row r="24520" hidden="1">
      <c r="E24520" s="96"/>
    </row>
    <row r="24521" hidden="1">
      <c r="E24521" s="96"/>
    </row>
    <row r="24522" hidden="1">
      <c r="E24522" s="96"/>
    </row>
    <row r="24523" hidden="1">
      <c r="E24523" s="96"/>
    </row>
    <row r="24524" hidden="1">
      <c r="E24524" s="96"/>
    </row>
    <row r="24525" hidden="1">
      <c r="E24525" s="96"/>
    </row>
    <row r="24526" hidden="1">
      <c r="E24526" s="96"/>
    </row>
    <row r="24527" hidden="1">
      <c r="E24527" s="96"/>
    </row>
    <row r="24528" hidden="1">
      <c r="E24528" s="96"/>
    </row>
    <row r="24529" hidden="1">
      <c r="E24529" s="96"/>
    </row>
    <row r="24530" hidden="1">
      <c r="E24530" s="96"/>
    </row>
    <row r="24531" hidden="1">
      <c r="E24531" s="96"/>
    </row>
    <row r="24532" hidden="1">
      <c r="E24532" s="96"/>
    </row>
    <row r="24533" hidden="1">
      <c r="E24533" s="96"/>
    </row>
    <row r="24534" hidden="1">
      <c r="E24534" s="96"/>
    </row>
    <row r="24535" hidden="1">
      <c r="E24535" s="96"/>
    </row>
    <row r="24536" hidden="1">
      <c r="E24536" s="96"/>
    </row>
    <row r="24537" hidden="1">
      <c r="E24537" s="96"/>
    </row>
    <row r="24538" hidden="1">
      <c r="E24538" s="96"/>
    </row>
    <row r="24539" hidden="1">
      <c r="E24539" s="96"/>
    </row>
    <row r="24540" hidden="1">
      <c r="E24540" s="96"/>
    </row>
    <row r="24541" hidden="1">
      <c r="E24541" s="96"/>
    </row>
    <row r="24542" hidden="1">
      <c r="E24542" s="96"/>
    </row>
    <row r="24543" hidden="1">
      <c r="E24543" s="96"/>
    </row>
    <row r="24544" hidden="1">
      <c r="E24544" s="96"/>
    </row>
    <row r="24545" hidden="1">
      <c r="E24545" s="96"/>
    </row>
    <row r="24546" hidden="1">
      <c r="E24546" s="96"/>
    </row>
    <row r="24547" hidden="1">
      <c r="E24547" s="96"/>
    </row>
    <row r="24548" hidden="1">
      <c r="E24548" s="96"/>
    </row>
    <row r="24549" hidden="1">
      <c r="E24549" s="96"/>
    </row>
    <row r="24550" hidden="1">
      <c r="E24550" s="96"/>
    </row>
    <row r="24551" hidden="1">
      <c r="E24551" s="96"/>
    </row>
    <row r="24552" hidden="1">
      <c r="E24552" s="96"/>
    </row>
    <row r="24553" hidden="1">
      <c r="E24553" s="96"/>
    </row>
    <row r="24554" hidden="1">
      <c r="E24554" s="96"/>
    </row>
    <row r="24555" hidden="1">
      <c r="E24555" s="96"/>
    </row>
    <row r="24556" hidden="1">
      <c r="E24556" s="96"/>
    </row>
    <row r="24557" hidden="1">
      <c r="E24557" s="96"/>
    </row>
    <row r="24558" hidden="1">
      <c r="E24558" s="96"/>
    </row>
    <row r="24559" hidden="1">
      <c r="E24559" s="96"/>
    </row>
    <row r="24560" hidden="1">
      <c r="E24560" s="96"/>
    </row>
    <row r="24561" hidden="1">
      <c r="E24561" s="96"/>
    </row>
    <row r="24562" hidden="1">
      <c r="E24562" s="96"/>
    </row>
    <row r="24563" hidden="1">
      <c r="E24563" s="96"/>
    </row>
    <row r="24564" hidden="1">
      <c r="E24564" s="96"/>
    </row>
    <row r="24565" hidden="1">
      <c r="E24565" s="96"/>
    </row>
    <row r="24566" hidden="1">
      <c r="E24566" s="96"/>
    </row>
    <row r="24567" hidden="1">
      <c r="E24567" s="96"/>
    </row>
    <row r="24568" hidden="1">
      <c r="E24568" s="96"/>
    </row>
    <row r="24569" hidden="1">
      <c r="E24569" s="96"/>
    </row>
    <row r="24570" hidden="1">
      <c r="E24570" s="96"/>
    </row>
    <row r="24571" hidden="1">
      <c r="E24571" s="96"/>
    </row>
    <row r="24572" hidden="1">
      <c r="E24572" s="96"/>
    </row>
    <row r="24573" hidden="1">
      <c r="E24573" s="96"/>
    </row>
    <row r="24574" hidden="1">
      <c r="E24574" s="96"/>
    </row>
    <row r="24575" hidden="1">
      <c r="E24575" s="96"/>
    </row>
    <row r="24576" hidden="1">
      <c r="E24576" s="96"/>
    </row>
    <row r="24577" hidden="1">
      <c r="E24577" s="96"/>
    </row>
    <row r="24578" hidden="1">
      <c r="E24578" s="96"/>
    </row>
    <row r="24579" hidden="1">
      <c r="E24579" s="96"/>
    </row>
    <row r="24580" hidden="1">
      <c r="E24580" s="96"/>
    </row>
    <row r="24581" hidden="1">
      <c r="E24581" s="96"/>
    </row>
    <row r="24582" hidden="1">
      <c r="E24582" s="96"/>
    </row>
    <row r="24583" hidden="1">
      <c r="E24583" s="96"/>
    </row>
    <row r="24584" hidden="1">
      <c r="E24584" s="96"/>
    </row>
    <row r="24585" hidden="1">
      <c r="E24585" s="96"/>
    </row>
    <row r="24586" hidden="1">
      <c r="E24586" s="96"/>
    </row>
    <row r="24587" hidden="1">
      <c r="E24587" s="96"/>
    </row>
    <row r="24588" hidden="1">
      <c r="E24588" s="96"/>
    </row>
    <row r="24589" hidden="1">
      <c r="E24589" s="96"/>
    </row>
    <row r="24590" hidden="1">
      <c r="E24590" s="96"/>
    </row>
    <row r="24591" hidden="1">
      <c r="E24591" s="96"/>
    </row>
    <row r="24592" hidden="1">
      <c r="E24592" s="96"/>
    </row>
    <row r="24593" hidden="1">
      <c r="E24593" s="96"/>
    </row>
    <row r="24594" hidden="1">
      <c r="E24594" s="96"/>
    </row>
    <row r="24595" hidden="1">
      <c r="E24595" s="96"/>
    </row>
    <row r="24596" hidden="1">
      <c r="E24596" s="96"/>
    </row>
    <row r="24597" hidden="1">
      <c r="E24597" s="96"/>
    </row>
    <row r="24598" hidden="1">
      <c r="E24598" s="96"/>
    </row>
    <row r="24599" hidden="1">
      <c r="E24599" s="96"/>
    </row>
    <row r="24600" hidden="1">
      <c r="E24600" s="96"/>
    </row>
    <row r="24601" hidden="1">
      <c r="E24601" s="96"/>
    </row>
    <row r="24602" hidden="1">
      <c r="E24602" s="96"/>
    </row>
    <row r="24603" hidden="1">
      <c r="E24603" s="96"/>
    </row>
    <row r="24604" hidden="1">
      <c r="E24604" s="96"/>
    </row>
    <row r="24605" hidden="1">
      <c r="E24605" s="96"/>
    </row>
    <row r="24606" hidden="1">
      <c r="E24606" s="96"/>
    </row>
    <row r="24607" hidden="1">
      <c r="E24607" s="96"/>
    </row>
    <row r="24608" hidden="1">
      <c r="E24608" s="96"/>
    </row>
    <row r="24609" hidden="1">
      <c r="E24609" s="96"/>
    </row>
    <row r="24610" hidden="1">
      <c r="E24610" s="96"/>
    </row>
    <row r="24611" hidden="1">
      <c r="E24611" s="96"/>
    </row>
    <row r="24612" hidden="1">
      <c r="E24612" s="96"/>
    </row>
    <row r="24613" hidden="1">
      <c r="E24613" s="96"/>
    </row>
    <row r="24614" hidden="1">
      <c r="E24614" s="96"/>
    </row>
    <row r="24615" hidden="1">
      <c r="E24615" s="96"/>
    </row>
    <row r="24616" hidden="1">
      <c r="E24616" s="96"/>
    </row>
    <row r="24617" hidden="1">
      <c r="E24617" s="96"/>
    </row>
    <row r="24618" hidden="1">
      <c r="E24618" s="96"/>
    </row>
    <row r="24619" hidden="1">
      <c r="E24619" s="96"/>
    </row>
    <row r="24620" hidden="1">
      <c r="E24620" s="96"/>
    </row>
    <row r="24621" hidden="1">
      <c r="E24621" s="96"/>
    </row>
    <row r="24622" hidden="1">
      <c r="E24622" s="96"/>
    </row>
    <row r="24623" hidden="1">
      <c r="E24623" s="96"/>
    </row>
    <row r="24624" hidden="1">
      <c r="E24624" s="96"/>
    </row>
    <row r="24625" hidden="1">
      <c r="E24625" s="96"/>
    </row>
    <row r="24626" hidden="1">
      <c r="E24626" s="96"/>
    </row>
    <row r="24627" hidden="1">
      <c r="E24627" s="96"/>
    </row>
    <row r="24628" hidden="1">
      <c r="E24628" s="96"/>
    </row>
    <row r="24629" hidden="1">
      <c r="E24629" s="96"/>
    </row>
    <row r="24630" hidden="1">
      <c r="E24630" s="96"/>
    </row>
    <row r="24631" hidden="1">
      <c r="E24631" s="96"/>
    </row>
    <row r="24632" hidden="1">
      <c r="E24632" s="96"/>
    </row>
    <row r="24633" hidden="1">
      <c r="E24633" s="96"/>
    </row>
    <row r="24634" hidden="1">
      <c r="E24634" s="96"/>
    </row>
    <row r="24635" hidden="1">
      <c r="E24635" s="96"/>
    </row>
    <row r="24636" hidden="1">
      <c r="E24636" s="96"/>
    </row>
    <row r="24637" hidden="1">
      <c r="E24637" s="96"/>
    </row>
    <row r="24638" hidden="1">
      <c r="E24638" s="96"/>
    </row>
    <row r="24639" hidden="1">
      <c r="E24639" s="96"/>
    </row>
    <row r="24640" hidden="1">
      <c r="E24640" s="96"/>
    </row>
    <row r="24641" hidden="1">
      <c r="E24641" s="96"/>
    </row>
    <row r="24642" hidden="1">
      <c r="E24642" s="96"/>
    </row>
    <row r="24643" hidden="1">
      <c r="E24643" s="96"/>
    </row>
    <row r="24644" hidden="1">
      <c r="E24644" s="96"/>
    </row>
    <row r="24645" hidden="1">
      <c r="E24645" s="96"/>
    </row>
    <row r="24646" hidden="1">
      <c r="E24646" s="96"/>
    </row>
    <row r="24647" hidden="1">
      <c r="E24647" s="96"/>
    </row>
    <row r="24648" hidden="1">
      <c r="E24648" s="96"/>
    </row>
    <row r="24649" hidden="1">
      <c r="E24649" s="96"/>
    </row>
    <row r="24650" hidden="1">
      <c r="E24650" s="96"/>
    </row>
    <row r="24651" hidden="1">
      <c r="E24651" s="96"/>
    </row>
    <row r="24652" hidden="1">
      <c r="E24652" s="96"/>
    </row>
    <row r="24653" hidden="1">
      <c r="E24653" s="96"/>
    </row>
    <row r="24654" hidden="1">
      <c r="E24654" s="96"/>
    </row>
    <row r="24655" hidden="1">
      <c r="E24655" s="96"/>
    </row>
    <row r="24656" hidden="1">
      <c r="E24656" s="96"/>
    </row>
    <row r="24657" hidden="1">
      <c r="E24657" s="96"/>
    </row>
    <row r="24658" hidden="1">
      <c r="E24658" s="96"/>
    </row>
    <row r="24659" hidden="1">
      <c r="E24659" s="96"/>
    </row>
    <row r="24660" hidden="1">
      <c r="E24660" s="96"/>
    </row>
    <row r="24661" hidden="1">
      <c r="E24661" s="96"/>
    </row>
    <row r="24662" hidden="1">
      <c r="E24662" s="96"/>
    </row>
    <row r="24663" hidden="1">
      <c r="E24663" s="96"/>
    </row>
    <row r="24664" hidden="1">
      <c r="E24664" s="96"/>
    </row>
    <row r="24665" hidden="1">
      <c r="E24665" s="96"/>
    </row>
    <row r="24666" hidden="1">
      <c r="E24666" s="96"/>
    </row>
    <row r="24667" hidden="1">
      <c r="E24667" s="96"/>
    </row>
    <row r="24668" hidden="1">
      <c r="E24668" s="96"/>
    </row>
    <row r="24669" hidden="1">
      <c r="E24669" s="96"/>
    </row>
    <row r="24670" hidden="1">
      <c r="E24670" s="96"/>
    </row>
    <row r="24671" hidden="1">
      <c r="E24671" s="96"/>
    </row>
    <row r="24672" hidden="1">
      <c r="E24672" s="96"/>
    </row>
    <row r="24673" hidden="1">
      <c r="E24673" s="96"/>
    </row>
    <row r="24674" hidden="1">
      <c r="E24674" s="96"/>
    </row>
    <row r="24675" hidden="1">
      <c r="E24675" s="96"/>
    </row>
    <row r="24676" hidden="1">
      <c r="E24676" s="96"/>
    </row>
    <row r="24677" hidden="1">
      <c r="E24677" s="96"/>
    </row>
    <row r="24678" hidden="1">
      <c r="E24678" s="96"/>
    </row>
    <row r="24679" hidden="1">
      <c r="E24679" s="96"/>
    </row>
    <row r="24680" hidden="1">
      <c r="E24680" s="96"/>
    </row>
    <row r="24681" hidden="1">
      <c r="E24681" s="96"/>
    </row>
    <row r="24682" hidden="1">
      <c r="E24682" s="96"/>
    </row>
    <row r="24683" hidden="1">
      <c r="E24683" s="96"/>
    </row>
    <row r="24684" hidden="1">
      <c r="E24684" s="96"/>
    </row>
    <row r="24685" hidden="1">
      <c r="E24685" s="96"/>
    </row>
    <row r="24686" hidden="1">
      <c r="E24686" s="96"/>
    </row>
    <row r="24687" hidden="1">
      <c r="E24687" s="96"/>
    </row>
    <row r="24688" hidden="1">
      <c r="E24688" s="96"/>
    </row>
    <row r="24689" hidden="1">
      <c r="E24689" s="96"/>
    </row>
    <row r="24690" hidden="1">
      <c r="E24690" s="96"/>
    </row>
    <row r="24691" hidden="1">
      <c r="E24691" s="96"/>
    </row>
    <row r="24692" hidden="1">
      <c r="E24692" s="96"/>
    </row>
    <row r="24693" hidden="1">
      <c r="E24693" s="96"/>
    </row>
    <row r="24694" hidden="1">
      <c r="E24694" s="96"/>
    </row>
    <row r="24695" hidden="1">
      <c r="E24695" s="96"/>
    </row>
    <row r="24696" hidden="1">
      <c r="E24696" s="96"/>
    </row>
    <row r="24697" hidden="1">
      <c r="E24697" s="96"/>
    </row>
    <row r="24698" hidden="1">
      <c r="E24698" s="96"/>
    </row>
    <row r="24699" hidden="1">
      <c r="E24699" s="96"/>
    </row>
    <row r="24700" hidden="1">
      <c r="E24700" s="96"/>
    </row>
    <row r="24701" hidden="1">
      <c r="E24701" s="96"/>
    </row>
    <row r="24702" hidden="1">
      <c r="E24702" s="96"/>
    </row>
    <row r="24703" hidden="1">
      <c r="E24703" s="96"/>
    </row>
    <row r="24704" hidden="1">
      <c r="E24704" s="96"/>
    </row>
    <row r="24705" hidden="1">
      <c r="E24705" s="96"/>
    </row>
    <row r="24706" hidden="1">
      <c r="E24706" s="96"/>
    </row>
    <row r="24707" hidden="1">
      <c r="E24707" s="96"/>
    </row>
    <row r="24708" hidden="1">
      <c r="E24708" s="96"/>
    </row>
    <row r="24709" hidden="1">
      <c r="E24709" s="96"/>
    </row>
    <row r="24710" hidden="1">
      <c r="E24710" s="96"/>
    </row>
    <row r="24711" hidden="1">
      <c r="E24711" s="96"/>
    </row>
    <row r="24712" hidden="1">
      <c r="E24712" s="96"/>
    </row>
    <row r="24713" hidden="1">
      <c r="E24713" s="96"/>
    </row>
    <row r="24714" hidden="1">
      <c r="E24714" s="96"/>
    </row>
    <row r="24715" hidden="1">
      <c r="E24715" s="96"/>
    </row>
    <row r="24716" hidden="1">
      <c r="E24716" s="96"/>
    </row>
    <row r="24717" hidden="1">
      <c r="E24717" s="96"/>
    </row>
    <row r="24718" hidden="1">
      <c r="E24718" s="96"/>
    </row>
    <row r="24719" hidden="1">
      <c r="E24719" s="96"/>
    </row>
    <row r="24720" hidden="1">
      <c r="E24720" s="96"/>
    </row>
    <row r="24721" hidden="1">
      <c r="E24721" s="96"/>
    </row>
    <row r="24722" hidden="1">
      <c r="E24722" s="96"/>
    </row>
    <row r="24723" hidden="1">
      <c r="E24723" s="96"/>
    </row>
    <row r="24724" hidden="1">
      <c r="E24724" s="96"/>
    </row>
    <row r="24725" hidden="1">
      <c r="E24725" s="96"/>
    </row>
    <row r="24726" hidden="1">
      <c r="E24726" s="96"/>
    </row>
    <row r="24727" hidden="1">
      <c r="E24727" s="96"/>
    </row>
    <row r="24728" hidden="1">
      <c r="E24728" s="96"/>
    </row>
    <row r="24729" hidden="1">
      <c r="E24729" s="96"/>
    </row>
    <row r="24730" hidden="1">
      <c r="E24730" s="96"/>
    </row>
    <row r="24731" hidden="1">
      <c r="E24731" s="96"/>
    </row>
    <row r="24732" hidden="1">
      <c r="E24732" s="96"/>
    </row>
    <row r="24733" hidden="1">
      <c r="E24733" s="96"/>
    </row>
    <row r="24734" hidden="1">
      <c r="E24734" s="96"/>
    </row>
    <row r="24735" hidden="1">
      <c r="E24735" s="96"/>
    </row>
    <row r="24736" hidden="1">
      <c r="E24736" s="96"/>
    </row>
    <row r="24737" hidden="1">
      <c r="E24737" s="96"/>
    </row>
    <row r="24738" hidden="1">
      <c r="E24738" s="96"/>
    </row>
    <row r="24739" hidden="1">
      <c r="E24739" s="96"/>
    </row>
    <row r="24740" hidden="1">
      <c r="E24740" s="96"/>
    </row>
    <row r="24741" hidden="1">
      <c r="E24741" s="96"/>
    </row>
    <row r="24742" hidden="1">
      <c r="E24742" s="96"/>
    </row>
    <row r="24743" hidden="1">
      <c r="E24743" s="96"/>
    </row>
    <row r="24744" hidden="1">
      <c r="E24744" s="96"/>
    </row>
    <row r="24745" hidden="1">
      <c r="E24745" s="96"/>
    </row>
    <row r="24746" hidden="1">
      <c r="E24746" s="96"/>
    </row>
    <row r="24747" hidden="1">
      <c r="E24747" s="96"/>
    </row>
    <row r="24748" hidden="1">
      <c r="E24748" s="96"/>
    </row>
    <row r="24749" hidden="1">
      <c r="E24749" s="96"/>
    </row>
    <row r="24750" hidden="1">
      <c r="E24750" s="96"/>
    </row>
    <row r="24751" hidden="1">
      <c r="E24751" s="96"/>
    </row>
    <row r="24752" hidden="1">
      <c r="E24752" s="96"/>
    </row>
    <row r="24753" hidden="1">
      <c r="E24753" s="96"/>
    </row>
    <row r="24754" hidden="1">
      <c r="E24754" s="96"/>
    </row>
    <row r="24755" hidden="1">
      <c r="E24755" s="96"/>
    </row>
    <row r="24756" hidden="1">
      <c r="E24756" s="96"/>
    </row>
    <row r="24757" hidden="1">
      <c r="E24757" s="96"/>
    </row>
    <row r="24758" hidden="1">
      <c r="E24758" s="96"/>
    </row>
    <row r="24759" hidden="1">
      <c r="E24759" s="96"/>
    </row>
    <row r="24760" hidden="1">
      <c r="E24760" s="96"/>
    </row>
    <row r="24761" hidden="1">
      <c r="E24761" s="96"/>
    </row>
    <row r="24762" hidden="1">
      <c r="E24762" s="96"/>
    </row>
    <row r="24763" hidden="1">
      <c r="E24763" s="96"/>
    </row>
    <row r="24764" hidden="1">
      <c r="E24764" s="96"/>
    </row>
    <row r="24765" hidden="1">
      <c r="E24765" s="96"/>
    </row>
    <row r="24766" hidden="1">
      <c r="E24766" s="96"/>
    </row>
    <row r="24767" hidden="1">
      <c r="E24767" s="96"/>
    </row>
    <row r="24768" hidden="1">
      <c r="E24768" s="96"/>
    </row>
    <row r="24769" hidden="1">
      <c r="E24769" s="96"/>
    </row>
    <row r="24770" hidden="1">
      <c r="E24770" s="96"/>
    </row>
    <row r="24771" hidden="1">
      <c r="E24771" s="96"/>
    </row>
    <row r="24772" hidden="1">
      <c r="E24772" s="96"/>
    </row>
    <row r="24773" hidden="1">
      <c r="E24773" s="96"/>
    </row>
    <row r="24774" hidden="1">
      <c r="E24774" s="96"/>
    </row>
    <row r="24775" hidden="1">
      <c r="E24775" s="96"/>
    </row>
    <row r="24776" hidden="1">
      <c r="E24776" s="96"/>
    </row>
    <row r="24777" hidden="1">
      <c r="E24777" s="96"/>
    </row>
    <row r="24778" hidden="1">
      <c r="E24778" s="96"/>
    </row>
    <row r="24779" hidden="1">
      <c r="E24779" s="96"/>
    </row>
    <row r="24780" hidden="1">
      <c r="E24780" s="96"/>
    </row>
    <row r="24781" hidden="1">
      <c r="E24781" s="96"/>
    </row>
    <row r="24782" hidden="1">
      <c r="E24782" s="96"/>
    </row>
    <row r="24783" hidden="1">
      <c r="E24783" s="96"/>
    </row>
    <row r="24784" hidden="1">
      <c r="E24784" s="96"/>
    </row>
    <row r="24785" hidden="1">
      <c r="E24785" s="96"/>
    </row>
    <row r="24786" hidden="1">
      <c r="E24786" s="96"/>
    </row>
    <row r="24787" hidden="1">
      <c r="E24787" s="96"/>
    </row>
    <row r="24788" hidden="1">
      <c r="E24788" s="96"/>
    </row>
    <row r="24789" hidden="1">
      <c r="E24789" s="96"/>
    </row>
    <row r="24790" hidden="1">
      <c r="E24790" s="96"/>
    </row>
    <row r="24791" hidden="1">
      <c r="E24791" s="96"/>
    </row>
    <row r="24792" hidden="1">
      <c r="E24792" s="96"/>
    </row>
    <row r="24793" hidden="1">
      <c r="E24793" s="96"/>
    </row>
    <row r="24794" hidden="1">
      <c r="E24794" s="96"/>
    </row>
    <row r="24795" hidden="1">
      <c r="E24795" s="96"/>
    </row>
    <row r="24796" hidden="1">
      <c r="E24796" s="96"/>
    </row>
    <row r="24797" hidden="1">
      <c r="E24797" s="96"/>
    </row>
    <row r="24798" hidden="1">
      <c r="E24798" s="96"/>
    </row>
    <row r="24799" hidden="1">
      <c r="E24799" s="96"/>
    </row>
    <row r="24800" hidden="1">
      <c r="E24800" s="96"/>
    </row>
    <row r="24801" hidden="1">
      <c r="E24801" s="96"/>
    </row>
    <row r="24802" hidden="1">
      <c r="E24802" s="96"/>
    </row>
    <row r="24803" hidden="1">
      <c r="E24803" s="96"/>
    </row>
    <row r="24804" hidden="1">
      <c r="E24804" s="96"/>
    </row>
    <row r="24805" hidden="1">
      <c r="E24805" s="96"/>
    </row>
    <row r="24806" hidden="1">
      <c r="E24806" s="96"/>
    </row>
    <row r="24807" hidden="1">
      <c r="E24807" s="96"/>
    </row>
    <row r="24808" hidden="1">
      <c r="E24808" s="96"/>
    </row>
    <row r="24809" hidden="1">
      <c r="E24809" s="96"/>
    </row>
    <row r="24810" hidden="1">
      <c r="E24810" s="96"/>
    </row>
    <row r="24811" hidden="1">
      <c r="E24811" s="96"/>
    </row>
    <row r="24812" hidden="1">
      <c r="E24812" s="96"/>
    </row>
    <row r="24813" hidden="1">
      <c r="E24813" s="96"/>
    </row>
    <row r="24814" hidden="1">
      <c r="E24814" s="96"/>
    </row>
    <row r="24815" hidden="1">
      <c r="E24815" s="96"/>
    </row>
    <row r="24816" hidden="1">
      <c r="E24816" s="96"/>
    </row>
    <row r="24817" hidden="1">
      <c r="E24817" s="96"/>
    </row>
    <row r="24818" hidden="1">
      <c r="E24818" s="96"/>
    </row>
    <row r="24819" hidden="1">
      <c r="E24819" s="96"/>
    </row>
    <row r="24820" hidden="1">
      <c r="E24820" s="96"/>
    </row>
    <row r="24821" hidden="1">
      <c r="E24821" s="96"/>
    </row>
    <row r="24822" hidden="1">
      <c r="E24822" s="96"/>
    </row>
    <row r="24823" hidden="1">
      <c r="E24823" s="96"/>
    </row>
    <row r="24824" hidden="1">
      <c r="E24824" s="96"/>
    </row>
    <row r="24825" hidden="1">
      <c r="E24825" s="96"/>
    </row>
    <row r="24826" hidden="1">
      <c r="E24826" s="96"/>
    </row>
    <row r="24827" hidden="1">
      <c r="E24827" s="96"/>
    </row>
    <row r="24828" hidden="1">
      <c r="E24828" s="96"/>
    </row>
    <row r="24829" hidden="1">
      <c r="E24829" s="96"/>
    </row>
    <row r="24830" hidden="1">
      <c r="E24830" s="96"/>
    </row>
    <row r="24831" hidden="1">
      <c r="E24831" s="96"/>
    </row>
    <row r="24832" hidden="1">
      <c r="E24832" s="96"/>
    </row>
    <row r="24833" hidden="1">
      <c r="E24833" s="96"/>
    </row>
    <row r="24834" hidden="1">
      <c r="E24834" s="96"/>
    </row>
    <row r="24835" hidden="1">
      <c r="E24835" s="96"/>
    </row>
    <row r="24836" hidden="1">
      <c r="E24836" s="96"/>
    </row>
    <row r="24837" hidden="1">
      <c r="E24837" s="96"/>
    </row>
    <row r="24838" hidden="1">
      <c r="E24838" s="96"/>
    </row>
    <row r="24839" hidden="1">
      <c r="E24839" s="96"/>
    </row>
    <row r="24840" hidden="1">
      <c r="E24840" s="96"/>
    </row>
    <row r="24841" hidden="1">
      <c r="E24841" s="96"/>
    </row>
    <row r="24842" hidden="1">
      <c r="E24842" s="96"/>
    </row>
    <row r="24843" hidden="1">
      <c r="E24843" s="96"/>
    </row>
    <row r="24844" hidden="1">
      <c r="E24844" s="96"/>
    </row>
    <row r="24845" hidden="1">
      <c r="E24845" s="96"/>
    </row>
    <row r="24846" hidden="1">
      <c r="E24846" s="96"/>
    </row>
    <row r="24847" hidden="1">
      <c r="E24847" s="96"/>
    </row>
    <row r="24848" hidden="1">
      <c r="E24848" s="96"/>
    </row>
    <row r="24849" hidden="1">
      <c r="E24849" s="96"/>
    </row>
    <row r="24850" hidden="1">
      <c r="E24850" s="96"/>
    </row>
    <row r="24851" hidden="1">
      <c r="E24851" s="96"/>
    </row>
    <row r="24852" hidden="1">
      <c r="E24852" s="96"/>
    </row>
    <row r="24853" hidden="1">
      <c r="E24853" s="96"/>
    </row>
    <row r="24854" hidden="1">
      <c r="E24854" s="96"/>
    </row>
    <row r="24855" hidden="1">
      <c r="E24855" s="96"/>
    </row>
    <row r="24856" hidden="1">
      <c r="E24856" s="96"/>
    </row>
    <row r="24857" hidden="1">
      <c r="E24857" s="96"/>
    </row>
    <row r="24858" hidden="1">
      <c r="E24858" s="96"/>
    </row>
    <row r="24859" hidden="1">
      <c r="E24859" s="96"/>
    </row>
    <row r="24860" hidden="1">
      <c r="E24860" s="96"/>
    </row>
    <row r="24861" hidden="1">
      <c r="E24861" s="96"/>
    </row>
    <row r="24862" hidden="1">
      <c r="E24862" s="96"/>
    </row>
    <row r="24863" hidden="1">
      <c r="E24863" s="96"/>
    </row>
    <row r="24864" hidden="1">
      <c r="E24864" s="96"/>
    </row>
    <row r="24865" hidden="1">
      <c r="E24865" s="96"/>
    </row>
    <row r="24866" hidden="1">
      <c r="E24866" s="96"/>
    </row>
    <row r="24867" hidden="1">
      <c r="E24867" s="96"/>
    </row>
    <row r="24868" hidden="1">
      <c r="E24868" s="96"/>
    </row>
    <row r="24869" hidden="1">
      <c r="E24869" s="96"/>
    </row>
    <row r="24870" hidden="1">
      <c r="E24870" s="96"/>
    </row>
    <row r="24871" hidden="1">
      <c r="E24871" s="96"/>
    </row>
    <row r="24872" hidden="1">
      <c r="E24872" s="96"/>
    </row>
    <row r="24873" hidden="1">
      <c r="E24873" s="96"/>
    </row>
    <row r="24874" hidden="1">
      <c r="E24874" s="96"/>
    </row>
    <row r="24875" hidden="1">
      <c r="E24875" s="96"/>
    </row>
    <row r="24876" hidden="1">
      <c r="E24876" s="96"/>
    </row>
    <row r="24877" hidden="1">
      <c r="E24877" s="96"/>
    </row>
    <row r="24878" hidden="1">
      <c r="E24878" s="96"/>
    </row>
    <row r="24879" hidden="1">
      <c r="E24879" s="96"/>
    </row>
    <row r="24880" hidden="1">
      <c r="E24880" s="96"/>
    </row>
    <row r="24881" hidden="1">
      <c r="E24881" s="96"/>
    </row>
    <row r="24882" hidden="1">
      <c r="E24882" s="96"/>
    </row>
    <row r="24883" hidden="1">
      <c r="E24883" s="96"/>
    </row>
    <row r="24884" hidden="1">
      <c r="E24884" s="96"/>
    </row>
    <row r="24885" hidden="1">
      <c r="E24885" s="96"/>
    </row>
    <row r="24886" hidden="1">
      <c r="E24886" s="96"/>
    </row>
    <row r="24887" hidden="1">
      <c r="E24887" s="96"/>
    </row>
    <row r="24888" hidden="1">
      <c r="E24888" s="96"/>
    </row>
    <row r="24889" hidden="1">
      <c r="E24889" s="96"/>
    </row>
    <row r="24890" hidden="1">
      <c r="E24890" s="96"/>
    </row>
    <row r="24891" hidden="1">
      <c r="E24891" s="96"/>
    </row>
    <row r="24892" hidden="1">
      <c r="E24892" s="96"/>
    </row>
    <row r="24893" hidden="1">
      <c r="E24893" s="96"/>
    </row>
    <row r="24894" hidden="1">
      <c r="E24894" s="96"/>
    </row>
    <row r="24895" hidden="1">
      <c r="E24895" s="96"/>
    </row>
    <row r="24896" hidden="1">
      <c r="E24896" s="96"/>
    </row>
    <row r="24897" hidden="1">
      <c r="E24897" s="96"/>
    </row>
    <row r="24898" hidden="1">
      <c r="E24898" s="96"/>
    </row>
    <row r="24899" hidden="1">
      <c r="E24899" s="96"/>
    </row>
    <row r="24900" hidden="1">
      <c r="E24900" s="96"/>
    </row>
    <row r="24901" hidden="1">
      <c r="E24901" s="96"/>
    </row>
    <row r="24902" hidden="1">
      <c r="E24902" s="96"/>
    </row>
    <row r="24903" hidden="1">
      <c r="E24903" s="96"/>
    </row>
    <row r="24904" hidden="1">
      <c r="E24904" s="96"/>
    </row>
    <row r="24905" hidden="1">
      <c r="E24905" s="96"/>
    </row>
    <row r="24906" hidden="1">
      <c r="E24906" s="96"/>
    </row>
    <row r="24907" hidden="1">
      <c r="E24907" s="96"/>
    </row>
    <row r="24908" hidden="1">
      <c r="E24908" s="96"/>
    </row>
    <row r="24909" hidden="1">
      <c r="E24909" s="96"/>
    </row>
    <row r="24910" hidden="1">
      <c r="E24910" s="96"/>
    </row>
    <row r="24911" hidden="1">
      <c r="E24911" s="96"/>
    </row>
    <row r="24912" hidden="1">
      <c r="E24912" s="96"/>
    </row>
    <row r="24913" hidden="1">
      <c r="E24913" s="96"/>
    </row>
    <row r="24914" hidden="1">
      <c r="E24914" s="96"/>
    </row>
    <row r="24915" hidden="1">
      <c r="E24915" s="96"/>
    </row>
    <row r="24916" hidden="1">
      <c r="E24916" s="96"/>
    </row>
    <row r="24917" hidden="1">
      <c r="E24917" s="96"/>
    </row>
    <row r="24918" hidden="1">
      <c r="E24918" s="96"/>
    </row>
    <row r="24919" hidden="1">
      <c r="E24919" s="96"/>
    </row>
    <row r="24920" hidden="1">
      <c r="E24920" s="96"/>
    </row>
    <row r="24921" hidden="1">
      <c r="E24921" s="96"/>
    </row>
    <row r="24922" hidden="1">
      <c r="E24922" s="96"/>
    </row>
    <row r="24923" hidden="1">
      <c r="E24923" s="96"/>
    </row>
    <row r="24924" hidden="1">
      <c r="E24924" s="96"/>
    </row>
    <row r="24925" hidden="1">
      <c r="E24925" s="96"/>
    </row>
    <row r="24926" hidden="1">
      <c r="E24926" s="96"/>
    </row>
    <row r="24927" hidden="1">
      <c r="E24927" s="96"/>
    </row>
    <row r="24928" hidden="1">
      <c r="E24928" s="96"/>
    </row>
    <row r="24929" hidden="1">
      <c r="E24929" s="96"/>
    </row>
    <row r="24930" hidden="1">
      <c r="E24930" s="96"/>
    </row>
    <row r="24931" hidden="1">
      <c r="E24931" s="96"/>
    </row>
    <row r="24932" hidden="1">
      <c r="E24932" s="96"/>
    </row>
    <row r="24933" hidden="1">
      <c r="E24933" s="96"/>
    </row>
    <row r="24934" hidden="1">
      <c r="E24934" s="96"/>
    </row>
    <row r="24935" hidden="1">
      <c r="E24935" s="96"/>
    </row>
    <row r="24936" hidden="1">
      <c r="E24936" s="96"/>
    </row>
    <row r="24937" hidden="1">
      <c r="E24937" s="96"/>
    </row>
    <row r="24938" hidden="1">
      <c r="E24938" s="96"/>
    </row>
    <row r="24939" hidden="1">
      <c r="E24939" s="96"/>
    </row>
    <row r="24940" hidden="1">
      <c r="E24940" s="96"/>
    </row>
    <row r="24941" hidden="1">
      <c r="E24941" s="96"/>
    </row>
    <row r="24942" hidden="1">
      <c r="E24942" s="96"/>
    </row>
    <row r="24943" hidden="1">
      <c r="E24943" s="96"/>
    </row>
    <row r="24944" hidden="1">
      <c r="E24944" s="96"/>
    </row>
    <row r="24945" hidden="1">
      <c r="E24945" s="96"/>
    </row>
    <row r="24946" hidden="1">
      <c r="E24946" s="96"/>
    </row>
    <row r="24947" hidden="1">
      <c r="E24947" s="96"/>
    </row>
    <row r="24948" hidden="1">
      <c r="E24948" s="96"/>
    </row>
    <row r="24949" hidden="1">
      <c r="E24949" s="96"/>
    </row>
    <row r="24950" hidden="1">
      <c r="E24950" s="96"/>
    </row>
    <row r="24951" hidden="1">
      <c r="E24951" s="96"/>
    </row>
    <row r="24952" hidden="1">
      <c r="E24952" s="96"/>
    </row>
    <row r="24953" hidden="1">
      <c r="E24953" s="96"/>
    </row>
    <row r="24954" hidden="1">
      <c r="E24954" s="96"/>
    </row>
    <row r="24955" hidden="1">
      <c r="E24955" s="96"/>
    </row>
    <row r="24956" hidden="1">
      <c r="E24956" s="96"/>
    </row>
    <row r="24957" hidden="1">
      <c r="E24957" s="96"/>
    </row>
    <row r="24958" hidden="1">
      <c r="E24958" s="96"/>
    </row>
    <row r="24959" hidden="1">
      <c r="E24959" s="96"/>
    </row>
    <row r="24960" hidden="1">
      <c r="E24960" s="96"/>
    </row>
    <row r="24961" hidden="1">
      <c r="E24961" s="96"/>
    </row>
    <row r="24962" hidden="1">
      <c r="E24962" s="96"/>
    </row>
    <row r="24963" hidden="1">
      <c r="E24963" s="96"/>
    </row>
    <row r="24964" hidden="1">
      <c r="E24964" s="96"/>
    </row>
    <row r="24965" hidden="1">
      <c r="E24965" s="96"/>
    </row>
    <row r="24966" hidden="1">
      <c r="E24966" s="96"/>
    </row>
    <row r="24967" hidden="1">
      <c r="E24967" s="96"/>
    </row>
    <row r="24968" hidden="1">
      <c r="E24968" s="96"/>
    </row>
    <row r="24969" hidden="1">
      <c r="E24969" s="96"/>
    </row>
    <row r="24970" hidden="1">
      <c r="E24970" s="96"/>
    </row>
    <row r="24971" hidden="1">
      <c r="E24971" s="96"/>
    </row>
    <row r="24972" hidden="1">
      <c r="E24972" s="96"/>
    </row>
    <row r="24973" hidden="1">
      <c r="E24973" s="96"/>
    </row>
    <row r="24974" hidden="1">
      <c r="E24974" s="96"/>
    </row>
    <row r="24975" hidden="1">
      <c r="E24975" s="96"/>
    </row>
    <row r="24976" hidden="1">
      <c r="E24976" s="96"/>
    </row>
    <row r="24977" hidden="1">
      <c r="E24977" s="96"/>
    </row>
    <row r="24978" hidden="1">
      <c r="E24978" s="96"/>
    </row>
    <row r="24979" hidden="1">
      <c r="E24979" s="96"/>
    </row>
    <row r="24980" hidden="1">
      <c r="E24980" s="96"/>
    </row>
    <row r="24981" hidden="1">
      <c r="E24981" s="96"/>
    </row>
    <row r="24982" hidden="1">
      <c r="E24982" s="96"/>
    </row>
    <row r="24983" hidden="1">
      <c r="E24983" s="96"/>
    </row>
    <row r="24984" hidden="1">
      <c r="E24984" s="96"/>
    </row>
    <row r="24985" hidden="1">
      <c r="E24985" s="96"/>
    </row>
    <row r="24986" hidden="1">
      <c r="E24986" s="96"/>
    </row>
    <row r="24987" hidden="1">
      <c r="E24987" s="96"/>
    </row>
    <row r="24988" hidden="1">
      <c r="E24988" s="96"/>
    </row>
    <row r="24989" hidden="1">
      <c r="E24989" s="96"/>
    </row>
    <row r="24990" hidden="1">
      <c r="E24990" s="96"/>
    </row>
    <row r="24991" hidden="1">
      <c r="E24991" s="96"/>
    </row>
    <row r="24992" hidden="1">
      <c r="E24992" s="96"/>
    </row>
    <row r="24993" hidden="1">
      <c r="E24993" s="96"/>
    </row>
    <row r="24994" hidden="1">
      <c r="E24994" s="96"/>
    </row>
    <row r="24995" hidden="1">
      <c r="E24995" s="96"/>
    </row>
    <row r="24996" hidden="1">
      <c r="E24996" s="96"/>
    </row>
    <row r="24997" hidden="1">
      <c r="E24997" s="96"/>
    </row>
    <row r="24998" hidden="1">
      <c r="E24998" s="96"/>
    </row>
    <row r="24999" hidden="1">
      <c r="E24999" s="96"/>
    </row>
    <row r="25000" hidden="1">
      <c r="E25000" s="96"/>
    </row>
    <row r="25001" hidden="1">
      <c r="E25001" s="96"/>
    </row>
    <row r="25002" hidden="1">
      <c r="E25002" s="96"/>
    </row>
    <row r="25003" hidden="1">
      <c r="E25003" s="96"/>
    </row>
    <row r="25004" hidden="1">
      <c r="E25004" s="96"/>
    </row>
    <row r="25005" hidden="1">
      <c r="E25005" s="96"/>
    </row>
    <row r="25006" hidden="1">
      <c r="E25006" s="96"/>
    </row>
    <row r="25007" hidden="1">
      <c r="E25007" s="96"/>
    </row>
    <row r="25008" hidden="1">
      <c r="E25008" s="96"/>
    </row>
    <row r="25009" hidden="1">
      <c r="E25009" s="96"/>
    </row>
    <row r="25010" hidden="1">
      <c r="E25010" s="96"/>
    </row>
    <row r="25011" hidden="1">
      <c r="E25011" s="96"/>
    </row>
    <row r="25012" hidden="1">
      <c r="E25012" s="96"/>
    </row>
    <row r="25013" hidden="1">
      <c r="E25013" s="96"/>
    </row>
    <row r="25014" hidden="1">
      <c r="E25014" s="96"/>
    </row>
    <row r="25015" hidden="1">
      <c r="E25015" s="96"/>
    </row>
    <row r="25016" hidden="1">
      <c r="E25016" s="96"/>
    </row>
    <row r="25017" hidden="1">
      <c r="E25017" s="96"/>
    </row>
    <row r="25018" hidden="1">
      <c r="E25018" s="96"/>
    </row>
    <row r="25019" hidden="1">
      <c r="E25019" s="96"/>
    </row>
    <row r="25020" hidden="1">
      <c r="E25020" s="96"/>
    </row>
    <row r="25021" hidden="1">
      <c r="E25021" s="96"/>
    </row>
    <row r="25022" hidden="1">
      <c r="E25022" s="96"/>
    </row>
    <row r="25023" hidden="1">
      <c r="E25023" s="96"/>
    </row>
    <row r="25024" hidden="1">
      <c r="E25024" s="96"/>
    </row>
    <row r="25025" hidden="1">
      <c r="E25025" s="96"/>
    </row>
    <row r="25026" hidden="1">
      <c r="E25026" s="96"/>
    </row>
    <row r="25027" hidden="1">
      <c r="E25027" s="96"/>
    </row>
    <row r="25028" hidden="1">
      <c r="E25028" s="96"/>
    </row>
    <row r="25029" hidden="1">
      <c r="E25029" s="96"/>
    </row>
    <row r="25030" hidden="1">
      <c r="E25030" s="96"/>
    </row>
    <row r="25031" hidden="1">
      <c r="E25031" s="96"/>
    </row>
    <row r="25032" hidden="1">
      <c r="E25032" s="96"/>
    </row>
    <row r="25033" hidden="1">
      <c r="E25033" s="96"/>
    </row>
    <row r="25034" hidden="1">
      <c r="E25034" s="96"/>
    </row>
    <row r="25035" hidden="1">
      <c r="E25035" s="96"/>
    </row>
    <row r="25036" hidden="1">
      <c r="E25036" s="96"/>
    </row>
    <row r="25037" hidden="1">
      <c r="E25037" s="96"/>
    </row>
    <row r="25038" hidden="1">
      <c r="E25038" s="96"/>
    </row>
    <row r="25039" hidden="1">
      <c r="E25039" s="96"/>
    </row>
    <row r="25040" hidden="1">
      <c r="E25040" s="96"/>
    </row>
    <row r="25041" hidden="1">
      <c r="E25041" s="96"/>
    </row>
    <row r="25042" hidden="1">
      <c r="E25042" s="96"/>
    </row>
    <row r="25043" hidden="1">
      <c r="E25043" s="96"/>
    </row>
    <row r="25044" hidden="1">
      <c r="E25044" s="96"/>
    </row>
    <row r="25045" hidden="1">
      <c r="E25045" s="96"/>
    </row>
    <row r="25046" hidden="1">
      <c r="E25046" s="96"/>
    </row>
    <row r="25047" hidden="1">
      <c r="E25047" s="96"/>
    </row>
    <row r="25048" hidden="1">
      <c r="E25048" s="96"/>
    </row>
    <row r="25049" hidden="1">
      <c r="E25049" s="96"/>
    </row>
    <row r="25050" hidden="1">
      <c r="E25050" s="96"/>
    </row>
    <row r="25051" hidden="1">
      <c r="E25051" s="96"/>
    </row>
    <row r="25052" hidden="1">
      <c r="E25052" s="96"/>
    </row>
    <row r="25053" hidden="1">
      <c r="E25053" s="96"/>
    </row>
    <row r="25054" hidden="1">
      <c r="E25054" s="96"/>
    </row>
    <row r="25055" hidden="1">
      <c r="E25055" s="96"/>
    </row>
    <row r="25056" hidden="1">
      <c r="E25056" s="96"/>
    </row>
    <row r="25057" hidden="1">
      <c r="E25057" s="96"/>
    </row>
    <row r="25058" hidden="1">
      <c r="E25058" s="96"/>
    </row>
    <row r="25059" hidden="1">
      <c r="E25059" s="96"/>
    </row>
    <row r="25060" hidden="1">
      <c r="E25060" s="96"/>
    </row>
    <row r="25061" hidden="1">
      <c r="E25061" s="96"/>
    </row>
    <row r="25062" hidden="1">
      <c r="E25062" s="96"/>
    </row>
    <row r="25063" hidden="1">
      <c r="E25063" s="96"/>
    </row>
    <row r="25064" hidden="1">
      <c r="E25064" s="96"/>
    </row>
    <row r="25065" hidden="1">
      <c r="E25065" s="96"/>
    </row>
    <row r="25066" hidden="1">
      <c r="E25066" s="96"/>
    </row>
    <row r="25067" hidden="1">
      <c r="E25067" s="96"/>
    </row>
    <row r="25068" hidden="1">
      <c r="E25068" s="96"/>
    </row>
    <row r="25069" hidden="1">
      <c r="E25069" s="96"/>
    </row>
    <row r="25070" hidden="1">
      <c r="E25070" s="96"/>
    </row>
    <row r="25071" hidden="1">
      <c r="E25071" s="96"/>
    </row>
    <row r="25072" hidden="1">
      <c r="E25072" s="96"/>
    </row>
    <row r="25073" hidden="1">
      <c r="E25073" s="96"/>
    </row>
    <row r="25074" hidden="1">
      <c r="E25074" s="96"/>
    </row>
    <row r="25075" hidden="1">
      <c r="E25075" s="96"/>
    </row>
    <row r="25076" hidden="1">
      <c r="E25076" s="96"/>
    </row>
    <row r="25077" hidden="1">
      <c r="E25077" s="96"/>
    </row>
    <row r="25078" hidden="1">
      <c r="E25078" s="96"/>
    </row>
    <row r="25079" hidden="1">
      <c r="E25079" s="96"/>
    </row>
    <row r="25080" hidden="1">
      <c r="E25080" s="96"/>
    </row>
    <row r="25081" hidden="1">
      <c r="E25081" s="96"/>
    </row>
    <row r="25082" hidden="1">
      <c r="E25082" s="96"/>
    </row>
    <row r="25083" hidden="1">
      <c r="E25083" s="96"/>
    </row>
    <row r="25084" hidden="1">
      <c r="E25084" s="96"/>
    </row>
    <row r="25085" hidden="1">
      <c r="E25085" s="96"/>
    </row>
    <row r="25086" hidden="1">
      <c r="E25086" s="96"/>
    </row>
    <row r="25087" hidden="1">
      <c r="E25087" s="96"/>
    </row>
    <row r="25088" hidden="1">
      <c r="E25088" s="96"/>
    </row>
    <row r="25089" hidden="1">
      <c r="E25089" s="96"/>
    </row>
    <row r="25090" hidden="1">
      <c r="E25090" s="96"/>
    </row>
    <row r="25091" hidden="1">
      <c r="E25091" s="96"/>
    </row>
    <row r="25092" hidden="1">
      <c r="E25092" s="96"/>
    </row>
    <row r="25093" hidden="1">
      <c r="E25093" s="96"/>
    </row>
    <row r="25094" hidden="1">
      <c r="E25094" s="96"/>
    </row>
    <row r="25095" hidden="1">
      <c r="E25095" s="96"/>
    </row>
    <row r="25096" hidden="1">
      <c r="E25096" s="96"/>
    </row>
    <row r="25097" hidden="1">
      <c r="E25097" s="96"/>
    </row>
    <row r="25098" hidden="1">
      <c r="E25098" s="96"/>
    </row>
    <row r="25099" hidden="1">
      <c r="E25099" s="96"/>
    </row>
    <row r="25100" hidden="1">
      <c r="E25100" s="96"/>
    </row>
    <row r="25101" hidden="1">
      <c r="E25101" s="96"/>
    </row>
    <row r="25102" hidden="1">
      <c r="E25102" s="96"/>
    </row>
    <row r="25103" hidden="1">
      <c r="E25103" s="96"/>
    </row>
    <row r="25104" hidden="1">
      <c r="E25104" s="96"/>
    </row>
    <row r="25105" hidden="1">
      <c r="E25105" s="96"/>
    </row>
    <row r="25106" hidden="1">
      <c r="E25106" s="96"/>
    </row>
    <row r="25107" hidden="1">
      <c r="E25107" s="96"/>
    </row>
    <row r="25108" hidden="1">
      <c r="E25108" s="96"/>
    </row>
    <row r="25109" hidden="1">
      <c r="E25109" s="96"/>
    </row>
    <row r="25110" hidden="1">
      <c r="E25110" s="96"/>
    </row>
    <row r="25111" hidden="1">
      <c r="E25111" s="96"/>
    </row>
    <row r="25112" hidden="1">
      <c r="E25112" s="96"/>
    </row>
    <row r="25113" hidden="1">
      <c r="E25113" s="96"/>
    </row>
    <row r="25114" hidden="1">
      <c r="E25114" s="96"/>
    </row>
    <row r="25115" hidden="1">
      <c r="E25115" s="96"/>
    </row>
    <row r="25116" hidden="1">
      <c r="E25116" s="96"/>
    </row>
    <row r="25117" hidden="1">
      <c r="E25117" s="96"/>
    </row>
    <row r="25118" hidden="1">
      <c r="E25118" s="96"/>
    </row>
    <row r="25119" hidden="1">
      <c r="E25119" s="96"/>
    </row>
    <row r="25120" hidden="1">
      <c r="E25120" s="96"/>
    </row>
    <row r="25121" hidden="1">
      <c r="E25121" s="96"/>
    </row>
    <row r="25122" hidden="1">
      <c r="E25122" s="96"/>
    </row>
    <row r="25123" hidden="1">
      <c r="E25123" s="96"/>
    </row>
    <row r="25124" hidden="1">
      <c r="E25124" s="96"/>
    </row>
    <row r="25125" hidden="1">
      <c r="E25125" s="96"/>
    </row>
    <row r="25126" hidden="1">
      <c r="E25126" s="96"/>
    </row>
    <row r="25127" hidden="1">
      <c r="E25127" s="96"/>
    </row>
    <row r="25128" hidden="1">
      <c r="E25128" s="96"/>
    </row>
    <row r="25129" hidden="1">
      <c r="E25129" s="96"/>
    </row>
    <row r="25130" hidden="1">
      <c r="E25130" s="96"/>
    </row>
    <row r="25131" hidden="1">
      <c r="E25131" s="96"/>
    </row>
    <row r="25132" hidden="1">
      <c r="E25132" s="96"/>
    </row>
    <row r="25133" hidden="1">
      <c r="E25133" s="96"/>
    </row>
    <row r="25134" hidden="1">
      <c r="E25134" s="96"/>
    </row>
    <row r="25135" hidden="1">
      <c r="E25135" s="96"/>
    </row>
    <row r="25136" hidden="1">
      <c r="E25136" s="96"/>
    </row>
    <row r="25137" hidden="1">
      <c r="E25137" s="96"/>
    </row>
    <row r="25138" hidden="1">
      <c r="E25138" s="96"/>
    </row>
    <row r="25139" hidden="1">
      <c r="E25139" s="96"/>
    </row>
    <row r="25140" hidden="1">
      <c r="E25140" s="96"/>
    </row>
    <row r="25141" hidden="1">
      <c r="E25141" s="96"/>
    </row>
    <row r="25142" hidden="1">
      <c r="E25142" s="96"/>
    </row>
    <row r="25143" hidden="1">
      <c r="E25143" s="96"/>
    </row>
    <row r="25144" hidden="1">
      <c r="E25144" s="96"/>
    </row>
    <row r="25145" hidden="1">
      <c r="E25145" s="96"/>
    </row>
    <row r="25146" hidden="1">
      <c r="E25146" s="96"/>
    </row>
    <row r="25147" hidden="1">
      <c r="E25147" s="96"/>
    </row>
    <row r="25148" hidden="1">
      <c r="E25148" s="96"/>
    </row>
    <row r="25149" hidden="1">
      <c r="E25149" s="96"/>
    </row>
    <row r="25150" hidden="1">
      <c r="E25150" s="96"/>
    </row>
    <row r="25151" hidden="1">
      <c r="E25151" s="96"/>
    </row>
    <row r="25152" hidden="1">
      <c r="E25152" s="96"/>
    </row>
    <row r="25153" hidden="1">
      <c r="E25153" s="96"/>
    </row>
    <row r="25154" hidden="1">
      <c r="E25154" s="96"/>
    </row>
    <row r="25155" hidden="1">
      <c r="E25155" s="96"/>
    </row>
    <row r="25156" hidden="1">
      <c r="E25156" s="96"/>
    </row>
    <row r="25157" hidden="1">
      <c r="E25157" s="96"/>
    </row>
    <row r="25158" hidden="1">
      <c r="E25158" s="96"/>
    </row>
    <row r="25159" hidden="1">
      <c r="E25159" s="96"/>
    </row>
    <row r="25160" hidden="1">
      <c r="E25160" s="96"/>
    </row>
    <row r="25161" hidden="1">
      <c r="E25161" s="96"/>
    </row>
    <row r="25162" hidden="1">
      <c r="E25162" s="96"/>
    </row>
    <row r="25163" hidden="1">
      <c r="E25163" s="96"/>
    </row>
    <row r="25164" hidden="1">
      <c r="E25164" s="96"/>
    </row>
    <row r="25165" hidden="1">
      <c r="E25165" s="96"/>
    </row>
    <row r="25166" hidden="1">
      <c r="E25166" s="96"/>
    </row>
    <row r="25167" hidden="1">
      <c r="E25167" s="96"/>
    </row>
    <row r="25168" hidden="1">
      <c r="E25168" s="96"/>
    </row>
    <row r="25169" hidden="1">
      <c r="E25169" s="96"/>
    </row>
    <row r="25170" hidden="1">
      <c r="E25170" s="96"/>
    </row>
    <row r="25171" hidden="1">
      <c r="E25171" s="96"/>
    </row>
    <row r="25172" hidden="1">
      <c r="E25172" s="96"/>
    </row>
    <row r="25173" hidden="1">
      <c r="E25173" s="96"/>
    </row>
    <row r="25174" hidden="1">
      <c r="E25174" s="96"/>
    </row>
    <row r="25175" hidden="1">
      <c r="E25175" s="96"/>
    </row>
    <row r="25176" hidden="1">
      <c r="E25176" s="96"/>
    </row>
    <row r="25177" hidden="1">
      <c r="E25177" s="96"/>
    </row>
    <row r="25178" hidden="1">
      <c r="E25178" s="96"/>
    </row>
    <row r="25179" hidden="1">
      <c r="E25179" s="96"/>
    </row>
    <row r="25180" hidden="1">
      <c r="E25180" s="96"/>
    </row>
    <row r="25181" hidden="1">
      <c r="E25181" s="96"/>
    </row>
    <row r="25182" hidden="1">
      <c r="E25182" s="96"/>
    </row>
    <row r="25183" hidden="1">
      <c r="E25183" s="96"/>
    </row>
    <row r="25184" hidden="1">
      <c r="E25184" s="96"/>
    </row>
    <row r="25185" hidden="1">
      <c r="E25185" s="96"/>
    </row>
    <row r="25186" hidden="1">
      <c r="E25186" s="96"/>
    </row>
    <row r="25187" hidden="1">
      <c r="E25187" s="96"/>
    </row>
    <row r="25188" hidden="1">
      <c r="E25188" s="96"/>
    </row>
    <row r="25189" hidden="1">
      <c r="E25189" s="96"/>
    </row>
    <row r="25190" hidden="1">
      <c r="E25190" s="96"/>
    </row>
    <row r="25191" hidden="1">
      <c r="E25191" s="96"/>
    </row>
    <row r="25192" hidden="1">
      <c r="E25192" s="96"/>
    </row>
    <row r="25193" hidden="1">
      <c r="E25193" s="96"/>
    </row>
    <row r="25194" hidden="1">
      <c r="E25194" s="96"/>
    </row>
    <row r="25195" hidden="1">
      <c r="E25195" s="96"/>
    </row>
    <row r="25196" hidden="1">
      <c r="E25196" s="96"/>
    </row>
    <row r="25197" hidden="1">
      <c r="E25197" s="96"/>
    </row>
    <row r="25198" hidden="1">
      <c r="E25198" s="96"/>
    </row>
    <row r="25199" hidden="1">
      <c r="E25199" s="96"/>
    </row>
    <row r="25200" hidden="1">
      <c r="E25200" s="96"/>
    </row>
    <row r="25201" hidden="1">
      <c r="E25201" s="96"/>
    </row>
    <row r="25202" hidden="1">
      <c r="E25202" s="96"/>
    </row>
    <row r="25203" hidden="1">
      <c r="E25203" s="96"/>
    </row>
    <row r="25204" hidden="1">
      <c r="E25204" s="96"/>
    </row>
    <row r="25205" hidden="1">
      <c r="E25205" s="96"/>
    </row>
    <row r="25206" hidden="1">
      <c r="E25206" s="96"/>
    </row>
    <row r="25207" hidden="1">
      <c r="E25207" s="96"/>
    </row>
    <row r="25208" hidden="1">
      <c r="E25208" s="96"/>
    </row>
    <row r="25209" hidden="1">
      <c r="E25209" s="96"/>
    </row>
    <row r="25210" hidden="1">
      <c r="E25210" s="96"/>
    </row>
    <row r="25211" hidden="1">
      <c r="E25211" s="96"/>
    </row>
    <row r="25212" hidden="1">
      <c r="E25212" s="96"/>
    </row>
    <row r="25213" hidden="1">
      <c r="E25213" s="96"/>
    </row>
    <row r="25214" hidden="1">
      <c r="E25214" s="96"/>
    </row>
    <row r="25215" hidden="1">
      <c r="E25215" s="96"/>
    </row>
    <row r="25216" hidden="1">
      <c r="E25216" s="96"/>
    </row>
    <row r="25217" hidden="1">
      <c r="E25217" s="96"/>
    </row>
    <row r="25218" hidden="1">
      <c r="E25218" s="96"/>
    </row>
    <row r="25219" hidden="1">
      <c r="E25219" s="96"/>
    </row>
    <row r="25220" hidden="1">
      <c r="E25220" s="96"/>
    </row>
    <row r="25221" hidden="1">
      <c r="E25221" s="96"/>
    </row>
    <row r="25222" hidden="1">
      <c r="E25222" s="96"/>
    </row>
    <row r="25223" hidden="1">
      <c r="E25223" s="96"/>
    </row>
    <row r="25224" hidden="1">
      <c r="E25224" s="96"/>
    </row>
    <row r="25225" hidden="1">
      <c r="E25225" s="96"/>
    </row>
    <row r="25226" hidden="1">
      <c r="E25226" s="96"/>
    </row>
    <row r="25227" hidden="1">
      <c r="E25227" s="96"/>
    </row>
    <row r="25228" hidden="1">
      <c r="E25228" s="96"/>
    </row>
    <row r="25229" hidden="1">
      <c r="E25229" s="96"/>
    </row>
    <row r="25230" hidden="1">
      <c r="E25230" s="96"/>
    </row>
    <row r="25231" hidden="1">
      <c r="E25231" s="96"/>
    </row>
    <row r="25232" hidden="1">
      <c r="E25232" s="96"/>
    </row>
    <row r="25233" hidden="1">
      <c r="E25233" s="96"/>
    </row>
    <row r="25234" hidden="1">
      <c r="E25234" s="96"/>
    </row>
    <row r="25235" hidden="1">
      <c r="E25235" s="96"/>
    </row>
    <row r="25236" hidden="1">
      <c r="E25236" s="96"/>
    </row>
    <row r="25237" hidden="1">
      <c r="E25237" s="96"/>
    </row>
    <row r="25238" hidden="1">
      <c r="E25238" s="96"/>
    </row>
    <row r="25239" hidden="1">
      <c r="E25239" s="96"/>
    </row>
    <row r="25240" hidden="1">
      <c r="E25240" s="96"/>
    </row>
    <row r="25241" hidden="1">
      <c r="E25241" s="96"/>
    </row>
    <row r="25242" hidden="1">
      <c r="E25242" s="96"/>
    </row>
    <row r="25243" hidden="1">
      <c r="E25243" s="96"/>
    </row>
    <row r="25244" hidden="1">
      <c r="E25244" s="96"/>
    </row>
    <row r="25245" hidden="1">
      <c r="E25245" s="96"/>
    </row>
    <row r="25246" hidden="1">
      <c r="E25246" s="96"/>
    </row>
    <row r="25247" hidden="1">
      <c r="E25247" s="96"/>
    </row>
    <row r="25248" hidden="1">
      <c r="E25248" s="96"/>
    </row>
    <row r="25249" hidden="1">
      <c r="E25249" s="96"/>
    </row>
    <row r="25250" hidden="1">
      <c r="E25250" s="96"/>
    </row>
    <row r="25251" hidden="1">
      <c r="E25251" s="96"/>
    </row>
    <row r="25252" hidden="1">
      <c r="E25252" s="96"/>
    </row>
    <row r="25253" hidden="1">
      <c r="E25253" s="96"/>
    </row>
    <row r="25254" hidden="1">
      <c r="E25254" s="96"/>
    </row>
    <row r="25255" hidden="1">
      <c r="E25255" s="96"/>
    </row>
    <row r="25256" hidden="1">
      <c r="E25256" s="96"/>
    </row>
    <row r="25257" hidden="1">
      <c r="E25257" s="96"/>
    </row>
    <row r="25258" hidden="1">
      <c r="E25258" s="96"/>
    </row>
    <row r="25259" hidden="1">
      <c r="E25259" s="96"/>
    </row>
    <row r="25260" hidden="1">
      <c r="E25260" s="96"/>
    </row>
    <row r="25261" hidden="1">
      <c r="E25261" s="96"/>
    </row>
    <row r="25262" hidden="1">
      <c r="E25262" s="96"/>
    </row>
    <row r="25263" hidden="1">
      <c r="E25263" s="96"/>
    </row>
    <row r="25264" hidden="1">
      <c r="E25264" s="96"/>
    </row>
    <row r="25265" hidden="1">
      <c r="E25265" s="96"/>
    </row>
    <row r="25266" hidden="1">
      <c r="E25266" s="96"/>
    </row>
    <row r="25267" hidden="1">
      <c r="E25267" s="96"/>
    </row>
    <row r="25268" hidden="1">
      <c r="E25268" s="96"/>
    </row>
    <row r="25269" hidden="1">
      <c r="E25269" s="96"/>
    </row>
    <row r="25270" hidden="1">
      <c r="E25270" s="96"/>
    </row>
    <row r="25271" hidden="1">
      <c r="E25271" s="96"/>
    </row>
    <row r="25272" hidden="1">
      <c r="E25272" s="96"/>
    </row>
    <row r="25273" hidden="1">
      <c r="E25273" s="96"/>
    </row>
    <row r="25274" hidden="1">
      <c r="E25274" s="96"/>
    </row>
    <row r="25275" hidden="1">
      <c r="E25275" s="96"/>
    </row>
    <row r="25276" hidden="1">
      <c r="E25276" s="96"/>
    </row>
    <row r="25277" hidden="1">
      <c r="E25277" s="96"/>
    </row>
    <row r="25278" hidden="1">
      <c r="E25278" s="96"/>
    </row>
    <row r="25279" hidden="1">
      <c r="E25279" s="96"/>
    </row>
    <row r="25280" hidden="1">
      <c r="E25280" s="96"/>
    </row>
    <row r="25281" hidden="1">
      <c r="E25281" s="96"/>
    </row>
    <row r="25282" hidden="1">
      <c r="E25282" s="96"/>
    </row>
    <row r="25283" hidden="1">
      <c r="E25283" s="96"/>
    </row>
    <row r="25284" hidden="1">
      <c r="E25284" s="96"/>
    </row>
    <row r="25285" hidden="1">
      <c r="E25285" s="96"/>
    </row>
    <row r="25286" hidden="1">
      <c r="E25286" s="96"/>
    </row>
    <row r="25287" hidden="1">
      <c r="E25287" s="96"/>
    </row>
    <row r="25288" hidden="1">
      <c r="E25288" s="96"/>
    </row>
    <row r="25289" hidden="1">
      <c r="E25289" s="96"/>
    </row>
    <row r="25290" hidden="1">
      <c r="E25290" s="96"/>
    </row>
    <row r="25291" hidden="1">
      <c r="E25291" s="96"/>
    </row>
    <row r="25292" hidden="1">
      <c r="E25292" s="96"/>
    </row>
    <row r="25293" hidden="1">
      <c r="E25293" s="96"/>
    </row>
    <row r="25294" hidden="1">
      <c r="E25294" s="96"/>
    </row>
    <row r="25295" hidden="1">
      <c r="E25295" s="96"/>
    </row>
    <row r="25296" hidden="1">
      <c r="E25296" s="96"/>
    </row>
    <row r="25297" hidden="1">
      <c r="E25297" s="96"/>
    </row>
    <row r="25298" hidden="1">
      <c r="E25298" s="96"/>
    </row>
    <row r="25299" hidden="1">
      <c r="E25299" s="96"/>
    </row>
    <row r="25300" hidden="1">
      <c r="E25300" s="96"/>
    </row>
    <row r="25301" hidden="1">
      <c r="E25301" s="96"/>
    </row>
    <row r="25302" hidden="1">
      <c r="E25302" s="96"/>
    </row>
    <row r="25303" hidden="1">
      <c r="E25303" s="96"/>
    </row>
    <row r="25304" hidden="1">
      <c r="E25304" s="96"/>
    </row>
    <row r="25305" hidden="1">
      <c r="E25305" s="96"/>
    </row>
    <row r="25306" hidden="1">
      <c r="E25306" s="96"/>
    </row>
    <row r="25307" hidden="1">
      <c r="E25307" s="96"/>
    </row>
    <row r="25308" hidden="1">
      <c r="E25308" s="96"/>
    </row>
    <row r="25309" hidden="1">
      <c r="E25309" s="96"/>
    </row>
    <row r="25310" hidden="1">
      <c r="E25310" s="96"/>
    </row>
    <row r="25311" hidden="1">
      <c r="E25311" s="96"/>
    </row>
    <row r="25312" hidden="1">
      <c r="E25312" s="96"/>
    </row>
    <row r="25313" hidden="1">
      <c r="E25313" s="96"/>
    </row>
    <row r="25314" hidden="1">
      <c r="E25314" s="96"/>
    </row>
    <row r="25315" hidden="1">
      <c r="E25315" s="96"/>
    </row>
    <row r="25316" hidden="1">
      <c r="E25316" s="96"/>
    </row>
    <row r="25317" hidden="1">
      <c r="E25317" s="96"/>
    </row>
    <row r="25318" hidden="1">
      <c r="E25318" s="96"/>
    </row>
    <row r="25319" hidden="1">
      <c r="E25319" s="96"/>
    </row>
    <row r="25320" hidden="1">
      <c r="E25320" s="96"/>
    </row>
    <row r="25321" hidden="1">
      <c r="E25321" s="96"/>
    </row>
    <row r="25322" hidden="1">
      <c r="E25322" s="96"/>
    </row>
    <row r="25323" hidden="1">
      <c r="E25323" s="96"/>
    </row>
    <row r="25324" hidden="1">
      <c r="E25324" s="96"/>
    </row>
    <row r="25325" hidden="1">
      <c r="E25325" s="96"/>
    </row>
    <row r="25326" hidden="1">
      <c r="E25326" s="96"/>
    </row>
    <row r="25327" hidden="1">
      <c r="E25327" s="96"/>
    </row>
    <row r="25328" hidden="1">
      <c r="E25328" s="96"/>
    </row>
    <row r="25329" hidden="1">
      <c r="E25329" s="96"/>
    </row>
    <row r="25330" hidden="1">
      <c r="E25330" s="96"/>
    </row>
    <row r="25331" hidden="1">
      <c r="E25331" s="96"/>
    </row>
    <row r="25332" hidden="1">
      <c r="E25332" s="96"/>
    </row>
    <row r="25333" hidden="1">
      <c r="E25333" s="96"/>
    </row>
    <row r="25334" hidden="1">
      <c r="E25334" s="96"/>
    </row>
    <row r="25335" hidden="1">
      <c r="E25335" s="96"/>
    </row>
    <row r="25336" hidden="1">
      <c r="E25336" s="96"/>
    </row>
    <row r="25337" hidden="1">
      <c r="E25337" s="96"/>
    </row>
    <row r="25338" hidden="1">
      <c r="E25338" s="96"/>
    </row>
    <row r="25339" hidden="1">
      <c r="E25339" s="96"/>
    </row>
    <row r="25340" hidden="1">
      <c r="E25340" s="96"/>
    </row>
    <row r="25341" hidden="1">
      <c r="E25341" s="96"/>
    </row>
    <row r="25342" hidden="1">
      <c r="E25342" s="96"/>
    </row>
    <row r="25343" hidden="1">
      <c r="E25343" s="96"/>
    </row>
    <row r="25344" hidden="1">
      <c r="E25344" s="96"/>
    </row>
    <row r="25345" hidden="1">
      <c r="E25345" s="96"/>
    </row>
    <row r="25346" hidden="1">
      <c r="E25346" s="96"/>
    </row>
    <row r="25347" hidden="1">
      <c r="E25347" s="96"/>
    </row>
    <row r="25348" hidden="1">
      <c r="E25348" s="96"/>
    </row>
    <row r="25349" hidden="1">
      <c r="E25349" s="96"/>
    </row>
    <row r="25350" hidden="1">
      <c r="E25350" s="96"/>
    </row>
    <row r="25351" hidden="1">
      <c r="E25351" s="96"/>
    </row>
    <row r="25352" hidden="1">
      <c r="E25352" s="96"/>
    </row>
    <row r="25353" hidden="1">
      <c r="E25353" s="96"/>
    </row>
    <row r="25354" hidden="1">
      <c r="E25354" s="96"/>
    </row>
    <row r="25355" hidden="1">
      <c r="E25355" s="96"/>
    </row>
    <row r="25356" hidden="1">
      <c r="E25356" s="96"/>
    </row>
    <row r="25357" hidden="1">
      <c r="E25357" s="96"/>
    </row>
    <row r="25358" hidden="1">
      <c r="E25358" s="96"/>
    </row>
    <row r="25359" hidden="1">
      <c r="E25359" s="96"/>
    </row>
    <row r="25360" hidden="1">
      <c r="E25360" s="96"/>
    </row>
    <row r="25361" hidden="1">
      <c r="E25361" s="96"/>
    </row>
    <row r="25362" hidden="1">
      <c r="E25362" s="96"/>
    </row>
    <row r="25363" hidden="1">
      <c r="E25363" s="96"/>
    </row>
    <row r="25364" hidden="1">
      <c r="E25364" s="96"/>
    </row>
    <row r="25365" hidden="1">
      <c r="E25365" s="96"/>
    </row>
    <row r="25366" hidden="1">
      <c r="E25366" s="96"/>
    </row>
    <row r="25367" hidden="1">
      <c r="E25367" s="96"/>
    </row>
    <row r="25368" hidden="1">
      <c r="E25368" s="96"/>
    </row>
    <row r="25369" hidden="1">
      <c r="E25369" s="96"/>
    </row>
    <row r="25370" hidden="1">
      <c r="E25370" s="96"/>
    </row>
    <row r="25371" hidden="1">
      <c r="E25371" s="96"/>
    </row>
    <row r="25372" hidden="1">
      <c r="E25372" s="96"/>
    </row>
    <row r="25373" hidden="1">
      <c r="E25373" s="96"/>
    </row>
    <row r="25374" hidden="1">
      <c r="E25374" s="96"/>
    </row>
    <row r="25375" hidden="1">
      <c r="E25375" s="96"/>
    </row>
    <row r="25376" hidden="1">
      <c r="E25376" s="96"/>
    </row>
    <row r="25377" hidden="1">
      <c r="E25377" s="96"/>
    </row>
    <row r="25378" hidden="1">
      <c r="E25378" s="96"/>
    </row>
    <row r="25379" hidden="1">
      <c r="E25379" s="96"/>
    </row>
    <row r="25380" hidden="1">
      <c r="E25380" s="96"/>
    </row>
    <row r="25381" hidden="1">
      <c r="E25381" s="96"/>
    </row>
    <row r="25382" hidden="1">
      <c r="E25382" s="96"/>
    </row>
    <row r="25383" hidden="1">
      <c r="E25383" s="96"/>
    </row>
    <row r="25384" hidden="1">
      <c r="E25384" s="96"/>
    </row>
    <row r="25385" hidden="1">
      <c r="E25385" s="96"/>
    </row>
    <row r="25386" hidden="1">
      <c r="E25386" s="96"/>
    </row>
    <row r="25387" hidden="1">
      <c r="E25387" s="96"/>
    </row>
    <row r="25388" hidden="1">
      <c r="E25388" s="96"/>
    </row>
    <row r="25389" hidden="1">
      <c r="E25389" s="96"/>
    </row>
    <row r="25390" hidden="1">
      <c r="E25390" s="96"/>
    </row>
    <row r="25391" hidden="1">
      <c r="E25391" s="96"/>
    </row>
    <row r="25392" hidden="1">
      <c r="E25392" s="96"/>
    </row>
    <row r="25393" hidden="1">
      <c r="E25393" s="96"/>
    </row>
    <row r="25394" hidden="1">
      <c r="E25394" s="96"/>
    </row>
    <row r="25395" hidden="1">
      <c r="E25395" s="96"/>
    </row>
    <row r="25396" hidden="1">
      <c r="E25396" s="96"/>
    </row>
    <row r="25397" hidden="1">
      <c r="E25397" s="96"/>
    </row>
    <row r="25398" hidden="1">
      <c r="E25398" s="96"/>
    </row>
    <row r="25399" hidden="1">
      <c r="E25399" s="96"/>
    </row>
    <row r="25400" hidden="1">
      <c r="E25400" s="96"/>
    </row>
    <row r="25401" hidden="1">
      <c r="E25401" s="96"/>
    </row>
    <row r="25402" hidden="1">
      <c r="E25402" s="96"/>
    </row>
    <row r="25403" hidden="1">
      <c r="E25403" s="96"/>
    </row>
    <row r="25404" hidden="1">
      <c r="E25404" s="96"/>
    </row>
    <row r="25405" hidden="1">
      <c r="E25405" s="96"/>
    </row>
    <row r="25406" hidden="1">
      <c r="E25406" s="96"/>
    </row>
    <row r="25407" hidden="1">
      <c r="E25407" s="96"/>
    </row>
    <row r="25408" hidden="1">
      <c r="E25408" s="96"/>
    </row>
    <row r="25409" hidden="1">
      <c r="E25409" s="96"/>
    </row>
    <row r="25410" hidden="1">
      <c r="E25410" s="96"/>
    </row>
    <row r="25411" hidden="1">
      <c r="E25411" s="96"/>
    </row>
    <row r="25412" hidden="1">
      <c r="E25412" s="96"/>
    </row>
    <row r="25413" hidden="1">
      <c r="E25413" s="96"/>
    </row>
    <row r="25414" hidden="1">
      <c r="E25414" s="96"/>
    </row>
    <row r="25415" hidden="1">
      <c r="E25415" s="96"/>
    </row>
    <row r="25416" hidden="1">
      <c r="E25416" s="96"/>
    </row>
    <row r="25417" hidden="1">
      <c r="E25417" s="96"/>
    </row>
    <row r="25418" hidden="1">
      <c r="E25418" s="96"/>
    </row>
    <row r="25419" hidden="1">
      <c r="E25419" s="96"/>
    </row>
    <row r="25420" hidden="1">
      <c r="E25420" s="96"/>
    </row>
    <row r="25421" hidden="1">
      <c r="E25421" s="96"/>
    </row>
    <row r="25422" hidden="1">
      <c r="E25422" s="96"/>
    </row>
    <row r="25423" hidden="1">
      <c r="E25423" s="96"/>
    </row>
    <row r="25424" hidden="1">
      <c r="E25424" s="96"/>
    </row>
    <row r="25425" hidden="1">
      <c r="E25425" s="96"/>
    </row>
    <row r="25426" hidden="1">
      <c r="E25426" s="96"/>
    </row>
    <row r="25427" hidden="1">
      <c r="E25427" s="96"/>
    </row>
    <row r="25428" hidden="1">
      <c r="E25428" s="96"/>
    </row>
    <row r="25429" hidden="1">
      <c r="E25429" s="96"/>
    </row>
    <row r="25430" hidden="1">
      <c r="E25430" s="96"/>
    </row>
    <row r="25431" hidden="1">
      <c r="E25431" s="96"/>
    </row>
    <row r="25432" hidden="1">
      <c r="E25432" s="96"/>
    </row>
    <row r="25433" hidden="1">
      <c r="E25433" s="96"/>
    </row>
    <row r="25434" hidden="1">
      <c r="E25434" s="96"/>
    </row>
    <row r="25435" hidden="1">
      <c r="E25435" s="96"/>
    </row>
    <row r="25436" hidden="1">
      <c r="E25436" s="96"/>
    </row>
    <row r="25437" hidden="1">
      <c r="E25437" s="96"/>
    </row>
    <row r="25438" hidden="1">
      <c r="E25438" s="96"/>
    </row>
    <row r="25439" hidden="1">
      <c r="E25439" s="96"/>
    </row>
    <row r="25440" hidden="1">
      <c r="E25440" s="96"/>
    </row>
    <row r="25441" hidden="1">
      <c r="E25441" s="96"/>
    </row>
    <row r="25442" hidden="1">
      <c r="E25442" s="96"/>
    </row>
    <row r="25443" hidden="1">
      <c r="E25443" s="96"/>
    </row>
    <row r="25444" hidden="1">
      <c r="E25444" s="96"/>
    </row>
    <row r="25445" hidden="1">
      <c r="E25445" s="96"/>
    </row>
    <row r="25446" hidden="1">
      <c r="E25446" s="96"/>
    </row>
    <row r="25447" hidden="1">
      <c r="E25447" s="96"/>
    </row>
    <row r="25448" hidden="1">
      <c r="E25448" s="96"/>
    </row>
    <row r="25449" hidden="1">
      <c r="E25449" s="96"/>
    </row>
    <row r="25450" hidden="1">
      <c r="E25450" s="96"/>
    </row>
    <row r="25451" hidden="1">
      <c r="E25451" s="96"/>
    </row>
    <row r="25452" hidden="1">
      <c r="E25452" s="96"/>
    </row>
    <row r="25453" hidden="1">
      <c r="E25453" s="96"/>
    </row>
    <row r="25454" hidden="1">
      <c r="E25454" s="96"/>
    </row>
    <row r="25455" hidden="1">
      <c r="E25455" s="96"/>
    </row>
    <row r="25456" hidden="1">
      <c r="E25456" s="96"/>
    </row>
    <row r="25457" hidden="1">
      <c r="E25457" s="96"/>
    </row>
    <row r="25458" hidden="1">
      <c r="E25458" s="96"/>
    </row>
    <row r="25459" hidden="1">
      <c r="E25459" s="96"/>
    </row>
    <row r="25460" hidden="1">
      <c r="E25460" s="96"/>
    </row>
    <row r="25461" hidden="1">
      <c r="E25461" s="96"/>
    </row>
    <row r="25462" hidden="1">
      <c r="E25462" s="96"/>
    </row>
    <row r="25463" hidden="1">
      <c r="E25463" s="96"/>
    </row>
    <row r="25464" hidden="1">
      <c r="E25464" s="96"/>
    </row>
    <row r="25465" hidden="1">
      <c r="E25465" s="96"/>
    </row>
    <row r="25466" hidden="1">
      <c r="E25466" s="96"/>
    </row>
    <row r="25467" hidden="1">
      <c r="E25467" s="96"/>
    </row>
    <row r="25468" hidden="1">
      <c r="E25468" s="96"/>
    </row>
    <row r="25469" hidden="1">
      <c r="E25469" s="96"/>
    </row>
    <row r="25470" hidden="1">
      <c r="E25470" s="96"/>
    </row>
    <row r="25471" hidden="1">
      <c r="E25471" s="96"/>
    </row>
    <row r="25472" hidden="1">
      <c r="E25472" s="96"/>
    </row>
    <row r="25473" hidden="1">
      <c r="E25473" s="96"/>
    </row>
    <row r="25474" hidden="1">
      <c r="E25474" s="96"/>
    </row>
    <row r="25475" hidden="1">
      <c r="E25475" s="96"/>
    </row>
    <row r="25476" hidden="1">
      <c r="E25476" s="96"/>
    </row>
    <row r="25477" hidden="1">
      <c r="E25477" s="96"/>
    </row>
    <row r="25478" hidden="1">
      <c r="E25478" s="96"/>
    </row>
    <row r="25479" hidden="1">
      <c r="E25479" s="96"/>
    </row>
    <row r="25480" hidden="1">
      <c r="E25480" s="96"/>
    </row>
    <row r="25481" hidden="1">
      <c r="E25481" s="96"/>
    </row>
    <row r="25482" hidden="1">
      <c r="E25482" s="96"/>
    </row>
    <row r="25483" hidden="1">
      <c r="E25483" s="96"/>
    </row>
    <row r="25484" hidden="1">
      <c r="E25484" s="96"/>
    </row>
    <row r="25485" hidden="1">
      <c r="E25485" s="96"/>
    </row>
    <row r="25486" hidden="1">
      <c r="E25486" s="96"/>
    </row>
    <row r="25487" hidden="1">
      <c r="E25487" s="96"/>
    </row>
    <row r="25488" hidden="1">
      <c r="E25488" s="96"/>
    </row>
    <row r="25489" hidden="1">
      <c r="E25489" s="96"/>
    </row>
    <row r="25490" hidden="1">
      <c r="E25490" s="96"/>
    </row>
    <row r="25491" hidden="1">
      <c r="E25491" s="96"/>
    </row>
    <row r="25492" hidden="1">
      <c r="E25492" s="96"/>
    </row>
    <row r="25493" hidden="1">
      <c r="E25493" s="96"/>
    </row>
    <row r="25494" hidden="1">
      <c r="E25494" s="96"/>
    </row>
    <row r="25495" hidden="1">
      <c r="E25495" s="96"/>
    </row>
    <row r="25496" hidden="1">
      <c r="E25496" s="96"/>
    </row>
    <row r="25497" hidden="1">
      <c r="E25497" s="96"/>
    </row>
    <row r="25498" hidden="1">
      <c r="E25498" s="96"/>
    </row>
    <row r="25499" hidden="1">
      <c r="E25499" s="96"/>
    </row>
    <row r="25500" hidden="1">
      <c r="E25500" s="96"/>
    </row>
    <row r="25501" hidden="1">
      <c r="E25501" s="96"/>
    </row>
    <row r="25502" hidden="1">
      <c r="E25502" s="96"/>
    </row>
    <row r="25503" hidden="1">
      <c r="E25503" s="96"/>
    </row>
    <row r="25504" hidden="1">
      <c r="E25504" s="96"/>
    </row>
    <row r="25505" hidden="1">
      <c r="E25505" s="96"/>
    </row>
    <row r="25506" hidden="1">
      <c r="E25506" s="96"/>
    </row>
    <row r="25507" hidden="1">
      <c r="E25507" s="96"/>
    </row>
    <row r="25508" hidden="1">
      <c r="E25508" s="96"/>
    </row>
    <row r="25509" hidden="1">
      <c r="E25509" s="96"/>
    </row>
    <row r="25510" hidden="1">
      <c r="E25510" s="96"/>
    </row>
    <row r="25511" hidden="1">
      <c r="E25511" s="96"/>
    </row>
    <row r="25512" hidden="1">
      <c r="E25512" s="96"/>
    </row>
    <row r="25513" hidden="1">
      <c r="E25513" s="96"/>
    </row>
    <row r="25514" hidden="1">
      <c r="E25514" s="96"/>
    </row>
    <row r="25515" hidden="1">
      <c r="E25515" s="96"/>
    </row>
    <row r="25516" hidden="1">
      <c r="E25516" s="96"/>
    </row>
    <row r="25517" hidden="1">
      <c r="E25517" s="96"/>
    </row>
    <row r="25518" hidden="1">
      <c r="E25518" s="96"/>
    </row>
    <row r="25519" hidden="1">
      <c r="E25519" s="96"/>
    </row>
    <row r="25520" hidden="1">
      <c r="E25520" s="96"/>
    </row>
    <row r="25521" hidden="1">
      <c r="E25521" s="96"/>
    </row>
    <row r="25522" hidden="1">
      <c r="E25522" s="96"/>
    </row>
    <row r="25523" hidden="1">
      <c r="E25523" s="96"/>
    </row>
    <row r="25524" hidden="1">
      <c r="E25524" s="96"/>
    </row>
    <row r="25525" hidden="1">
      <c r="E25525" s="96"/>
    </row>
    <row r="25526" hidden="1">
      <c r="E25526" s="96"/>
    </row>
    <row r="25527" hidden="1">
      <c r="E25527" s="96"/>
    </row>
    <row r="25528" hidden="1">
      <c r="E25528" s="96"/>
    </row>
    <row r="25529" hidden="1">
      <c r="E25529" s="96"/>
    </row>
    <row r="25530" hidden="1">
      <c r="E25530" s="96"/>
    </row>
    <row r="25531" hidden="1">
      <c r="E25531" s="96"/>
    </row>
    <row r="25532" hidden="1">
      <c r="E25532" s="96"/>
    </row>
    <row r="25533" hidden="1">
      <c r="E25533" s="96"/>
    </row>
    <row r="25534" hidden="1">
      <c r="E25534" s="96"/>
    </row>
    <row r="25535" hidden="1">
      <c r="E25535" s="96"/>
    </row>
    <row r="25536" hidden="1">
      <c r="E25536" s="96"/>
    </row>
    <row r="25537" hidden="1">
      <c r="E25537" s="96"/>
    </row>
    <row r="25538" hidden="1">
      <c r="E25538" s="96"/>
    </row>
    <row r="25539" hidden="1">
      <c r="E25539" s="96"/>
    </row>
    <row r="25540" hidden="1">
      <c r="E25540" s="96"/>
    </row>
    <row r="25541" hidden="1">
      <c r="E25541" s="96"/>
    </row>
    <row r="25542" hidden="1">
      <c r="E25542" s="96"/>
    </row>
    <row r="25543" hidden="1">
      <c r="E25543" s="96"/>
    </row>
    <row r="25544" hidden="1">
      <c r="E25544" s="96"/>
    </row>
    <row r="25545" hidden="1">
      <c r="E25545" s="96"/>
    </row>
    <row r="25546" hidden="1">
      <c r="E25546" s="96"/>
    </row>
    <row r="25547" hidden="1">
      <c r="E25547" s="96"/>
    </row>
    <row r="25548" hidden="1">
      <c r="E25548" s="96"/>
    </row>
    <row r="25549" hidden="1">
      <c r="E25549" s="96"/>
    </row>
    <row r="25550" hidden="1">
      <c r="E25550" s="96"/>
    </row>
    <row r="25551" hidden="1">
      <c r="E25551" s="96"/>
    </row>
    <row r="25552" hidden="1">
      <c r="E25552" s="96"/>
    </row>
    <row r="25553" hidden="1">
      <c r="E25553" s="96"/>
    </row>
    <row r="25554" hidden="1">
      <c r="E25554" s="96"/>
    </row>
    <row r="25555" hidden="1">
      <c r="E25555" s="96"/>
    </row>
    <row r="25556" hidden="1">
      <c r="E25556" s="96"/>
    </row>
    <row r="25557" hidden="1">
      <c r="E25557" s="96"/>
    </row>
    <row r="25558" hidden="1">
      <c r="E25558" s="96"/>
    </row>
    <row r="25559" hidden="1">
      <c r="E25559" s="96"/>
    </row>
    <row r="25560" hidden="1">
      <c r="E25560" s="96"/>
    </row>
    <row r="25561" hidden="1">
      <c r="E25561" s="96"/>
    </row>
    <row r="25562" hidden="1">
      <c r="E25562" s="96"/>
    </row>
    <row r="25563" hidden="1">
      <c r="E25563" s="96"/>
    </row>
    <row r="25564" hidden="1">
      <c r="E25564" s="96"/>
    </row>
    <row r="25565" hidden="1">
      <c r="E25565" s="96"/>
    </row>
    <row r="25566" hidden="1">
      <c r="E25566" s="96"/>
    </row>
    <row r="25567" hidden="1">
      <c r="E25567" s="96"/>
    </row>
    <row r="25568" hidden="1">
      <c r="E25568" s="96"/>
    </row>
    <row r="25569" hidden="1">
      <c r="E25569" s="96"/>
    </row>
    <row r="25570" hidden="1">
      <c r="E25570" s="96"/>
    </row>
    <row r="25571" hidden="1">
      <c r="E25571" s="96"/>
    </row>
    <row r="25572" hidden="1">
      <c r="E25572" s="96"/>
    </row>
    <row r="25573" hidden="1">
      <c r="E25573" s="96"/>
    </row>
    <row r="25574" hidden="1">
      <c r="E25574" s="96"/>
    </row>
    <row r="25575" hidden="1">
      <c r="E25575" s="96"/>
    </row>
    <row r="25576" hidden="1">
      <c r="E25576" s="96"/>
    </row>
    <row r="25577" hidden="1">
      <c r="E25577" s="96"/>
    </row>
    <row r="25578" hidden="1">
      <c r="E25578" s="96"/>
    </row>
    <row r="25579" hidden="1">
      <c r="E25579" s="96"/>
    </row>
    <row r="25580" hidden="1">
      <c r="E25580" s="96"/>
    </row>
    <row r="25581" hidden="1">
      <c r="E25581" s="96"/>
    </row>
    <row r="25582" hidden="1">
      <c r="E25582" s="96"/>
    </row>
    <row r="25583" hidden="1">
      <c r="E25583" s="96"/>
    </row>
    <row r="25584" hidden="1">
      <c r="E25584" s="96"/>
    </row>
    <row r="25585" hidden="1">
      <c r="E25585" s="96"/>
    </row>
    <row r="25586" hidden="1">
      <c r="E25586" s="96"/>
    </row>
    <row r="25587" hidden="1">
      <c r="E25587" s="96"/>
    </row>
    <row r="25588" hidden="1">
      <c r="E25588" s="96"/>
    </row>
    <row r="25589" hidden="1">
      <c r="E25589" s="96"/>
    </row>
    <row r="25590" hidden="1">
      <c r="E25590" s="96"/>
    </row>
    <row r="25591" hidden="1">
      <c r="E25591" s="96"/>
    </row>
    <row r="25592" hidden="1">
      <c r="E25592" s="96"/>
    </row>
    <row r="25593" hidden="1">
      <c r="E25593" s="96"/>
    </row>
    <row r="25594" hidden="1">
      <c r="E25594" s="96"/>
    </row>
    <row r="25595" hidden="1">
      <c r="E25595" s="96"/>
    </row>
    <row r="25596" hidden="1">
      <c r="E25596" s="96"/>
    </row>
    <row r="25597" hidden="1">
      <c r="E25597" s="96"/>
    </row>
    <row r="25598" hidden="1">
      <c r="E25598" s="96"/>
    </row>
    <row r="25599" hidden="1">
      <c r="E25599" s="96"/>
    </row>
    <row r="25600" hidden="1">
      <c r="E25600" s="96"/>
    </row>
    <row r="25601" hidden="1">
      <c r="E25601" s="96"/>
    </row>
    <row r="25602" hidden="1">
      <c r="E25602" s="96"/>
    </row>
    <row r="25603" hidden="1">
      <c r="E25603" s="96"/>
    </row>
    <row r="25604" hidden="1">
      <c r="E25604" s="96"/>
    </row>
    <row r="25605" hidden="1">
      <c r="E25605" s="96"/>
    </row>
    <row r="25606" hidden="1">
      <c r="E25606" s="96"/>
    </row>
    <row r="25607" hidden="1">
      <c r="E25607" s="96"/>
    </row>
    <row r="25608" hidden="1">
      <c r="E25608" s="96"/>
    </row>
    <row r="25609" hidden="1">
      <c r="E25609" s="96"/>
    </row>
    <row r="25610" hidden="1">
      <c r="E25610" s="96"/>
    </row>
    <row r="25611" hidden="1">
      <c r="E25611" s="96"/>
    </row>
    <row r="25612" hidden="1">
      <c r="E25612" s="96"/>
    </row>
    <row r="25613" hidden="1">
      <c r="E25613" s="96"/>
    </row>
    <row r="25614" hidden="1">
      <c r="E25614" s="96"/>
    </row>
    <row r="25615" hidden="1">
      <c r="E25615" s="96"/>
    </row>
    <row r="25616" hidden="1">
      <c r="E25616" s="96"/>
    </row>
    <row r="25617" hidden="1">
      <c r="E25617" s="96"/>
    </row>
    <row r="25618" hidden="1">
      <c r="E25618" s="96"/>
    </row>
    <row r="25619" hidden="1">
      <c r="E25619" s="96"/>
    </row>
    <row r="25620" hidden="1">
      <c r="E25620" s="96"/>
    </row>
    <row r="25621" hidden="1">
      <c r="E25621" s="96"/>
    </row>
    <row r="25622" hidden="1">
      <c r="E25622" s="96"/>
    </row>
    <row r="25623" hidden="1">
      <c r="E25623" s="96"/>
    </row>
    <row r="25624" hidden="1">
      <c r="E25624" s="96"/>
    </row>
    <row r="25625" hidden="1">
      <c r="E25625" s="96"/>
    </row>
    <row r="25626" hidden="1">
      <c r="E25626" s="96"/>
    </row>
    <row r="25627" hidden="1">
      <c r="E25627" s="96"/>
    </row>
    <row r="25628" hidden="1">
      <c r="E25628" s="96"/>
    </row>
    <row r="25629" hidden="1">
      <c r="E25629" s="96"/>
    </row>
    <row r="25630" hidden="1">
      <c r="E25630" s="96"/>
    </row>
    <row r="25631" hidden="1">
      <c r="E25631" s="96"/>
    </row>
    <row r="25632" hidden="1">
      <c r="E25632" s="96"/>
    </row>
    <row r="25633" hidden="1">
      <c r="E25633" s="96"/>
    </row>
    <row r="25634" hidden="1">
      <c r="E25634" s="96"/>
    </row>
    <row r="25635" hidden="1">
      <c r="E25635" s="96"/>
    </row>
    <row r="25636" hidden="1">
      <c r="E25636" s="96"/>
    </row>
    <row r="25637" hidden="1">
      <c r="E25637" s="96"/>
    </row>
    <row r="25638" hidden="1">
      <c r="E25638" s="96"/>
    </row>
    <row r="25639" hidden="1">
      <c r="E25639" s="96"/>
    </row>
    <row r="25640" hidden="1">
      <c r="E25640" s="96"/>
    </row>
    <row r="25641" hidden="1">
      <c r="E25641" s="96"/>
    </row>
    <row r="25642" hidden="1">
      <c r="E25642" s="96"/>
    </row>
    <row r="25643" hidden="1">
      <c r="E25643" s="96"/>
    </row>
    <row r="25644" hidden="1">
      <c r="E25644" s="96"/>
    </row>
    <row r="25645" hidden="1">
      <c r="E25645" s="96"/>
    </row>
    <row r="25646" hidden="1">
      <c r="E25646" s="96"/>
    </row>
    <row r="25647" hidden="1">
      <c r="E25647" s="96"/>
    </row>
    <row r="25648" hidden="1">
      <c r="E25648" s="96"/>
    </row>
    <row r="25649" hidden="1">
      <c r="E25649" s="96"/>
    </row>
    <row r="25650" hidden="1">
      <c r="E25650" s="96"/>
    </row>
    <row r="25651" hidden="1">
      <c r="E25651" s="96"/>
    </row>
    <row r="25652" hidden="1">
      <c r="E25652" s="96"/>
    </row>
    <row r="25653" hidden="1">
      <c r="E25653" s="96"/>
    </row>
    <row r="25654" hidden="1">
      <c r="E25654" s="96"/>
    </row>
    <row r="25655" hidden="1">
      <c r="E25655" s="96"/>
    </row>
    <row r="25656" hidden="1">
      <c r="E25656" s="96"/>
    </row>
    <row r="25657" hidden="1">
      <c r="E25657" s="96"/>
    </row>
    <row r="25658" hidden="1">
      <c r="E25658" s="96"/>
    </row>
    <row r="25659" hidden="1">
      <c r="E25659" s="96"/>
    </row>
    <row r="25660" hidden="1">
      <c r="E25660" s="96"/>
    </row>
    <row r="25661" hidden="1">
      <c r="E25661" s="96"/>
    </row>
    <row r="25662" hidden="1">
      <c r="E25662" s="96"/>
    </row>
    <row r="25663" hidden="1">
      <c r="E25663" s="96"/>
    </row>
    <row r="25664" hidden="1">
      <c r="E25664" s="96"/>
    </row>
    <row r="25665" hidden="1">
      <c r="E25665" s="96"/>
    </row>
    <row r="25666" hidden="1">
      <c r="E25666" s="96"/>
    </row>
    <row r="25667" hidden="1">
      <c r="E25667" s="96"/>
    </row>
    <row r="25668" hidden="1">
      <c r="E25668" s="96"/>
    </row>
    <row r="25669" hidden="1">
      <c r="E25669" s="96"/>
    </row>
    <row r="25670" hidden="1">
      <c r="E25670" s="96"/>
    </row>
    <row r="25671" hidden="1">
      <c r="E25671" s="96"/>
    </row>
    <row r="25672" hidden="1">
      <c r="E25672" s="96"/>
    </row>
    <row r="25673" hidden="1">
      <c r="E25673" s="96"/>
    </row>
    <row r="25674" hidden="1">
      <c r="E25674" s="96"/>
    </row>
    <row r="25675" hidden="1">
      <c r="E25675" s="96"/>
    </row>
    <row r="25676" hidden="1">
      <c r="E25676" s="96"/>
    </row>
    <row r="25677" hidden="1">
      <c r="E25677" s="96"/>
    </row>
    <row r="25678" hidden="1">
      <c r="E25678" s="96"/>
    </row>
    <row r="25679" hidden="1">
      <c r="E25679" s="96"/>
    </row>
    <row r="25680" hidden="1">
      <c r="E25680" s="96"/>
    </row>
    <row r="25681" hidden="1">
      <c r="E25681" s="96"/>
    </row>
    <row r="25682" hidden="1">
      <c r="E25682" s="96"/>
    </row>
    <row r="25683" hidden="1">
      <c r="E25683" s="96"/>
    </row>
    <row r="25684" hidden="1">
      <c r="E25684" s="96"/>
    </row>
    <row r="25685" hidden="1">
      <c r="E25685" s="96"/>
    </row>
    <row r="25686" hidden="1">
      <c r="E25686" s="96"/>
    </row>
    <row r="25687" hidden="1">
      <c r="E25687" s="96"/>
    </row>
    <row r="25688" hidden="1">
      <c r="E25688" s="96"/>
    </row>
    <row r="25689" hidden="1">
      <c r="E25689" s="96"/>
    </row>
    <row r="25690" hidden="1">
      <c r="E25690" s="96"/>
    </row>
    <row r="25691" hidden="1">
      <c r="E25691" s="96"/>
    </row>
    <row r="25692" hidden="1">
      <c r="E25692" s="96"/>
    </row>
    <row r="25693" hidden="1">
      <c r="E25693" s="96"/>
    </row>
    <row r="25694" hidden="1">
      <c r="E25694" s="96"/>
    </row>
    <row r="25695" hidden="1">
      <c r="E25695" s="96"/>
    </row>
    <row r="25696" hidden="1">
      <c r="E25696" s="96"/>
    </row>
    <row r="25697" hidden="1">
      <c r="E25697" s="96"/>
    </row>
    <row r="25698" hidden="1">
      <c r="E25698" s="96"/>
    </row>
    <row r="25699" hidden="1">
      <c r="E25699" s="96"/>
    </row>
    <row r="25700" hidden="1">
      <c r="E25700" s="96"/>
    </row>
    <row r="25701" hidden="1">
      <c r="E25701" s="96"/>
    </row>
    <row r="25702" hidden="1">
      <c r="E25702" s="96"/>
    </row>
    <row r="25703" hidden="1">
      <c r="E25703" s="96"/>
    </row>
    <row r="25704" hidden="1">
      <c r="E25704" s="96"/>
    </row>
    <row r="25705" hidden="1">
      <c r="E25705" s="96"/>
    </row>
    <row r="25706" hidden="1">
      <c r="E25706" s="96"/>
    </row>
    <row r="25707" hidden="1">
      <c r="E25707" s="96"/>
    </row>
    <row r="25708" hidden="1">
      <c r="E25708" s="96"/>
    </row>
    <row r="25709" hidden="1">
      <c r="E25709" s="96"/>
    </row>
    <row r="25710" hidden="1">
      <c r="E25710" s="96"/>
    </row>
    <row r="25711" hidden="1">
      <c r="E25711" s="96"/>
    </row>
    <row r="25712" hidden="1">
      <c r="E25712" s="96"/>
    </row>
    <row r="25713" hidden="1">
      <c r="E25713" s="96"/>
    </row>
    <row r="25714" hidden="1">
      <c r="E25714" s="96"/>
    </row>
    <row r="25715" hidden="1">
      <c r="E25715" s="96"/>
    </row>
    <row r="25716" hidden="1">
      <c r="E25716" s="96"/>
    </row>
    <row r="25717" hidden="1">
      <c r="E25717" s="96"/>
    </row>
    <row r="25718" hidden="1">
      <c r="E25718" s="96"/>
    </row>
    <row r="25719" hidden="1">
      <c r="E25719" s="96"/>
    </row>
    <row r="25720" hidden="1">
      <c r="E25720" s="96"/>
    </row>
    <row r="25721" hidden="1">
      <c r="E25721" s="96"/>
    </row>
    <row r="25722" hidden="1">
      <c r="E25722" s="96"/>
    </row>
    <row r="25723" hidden="1">
      <c r="E25723" s="96"/>
    </row>
    <row r="25724" hidden="1">
      <c r="E25724" s="96"/>
    </row>
    <row r="25725" hidden="1">
      <c r="E25725" s="96"/>
    </row>
    <row r="25726" hidden="1">
      <c r="E25726" s="96"/>
    </row>
    <row r="25727" hidden="1">
      <c r="E25727" s="96"/>
    </row>
    <row r="25728" hidden="1">
      <c r="E25728" s="96"/>
    </row>
    <row r="25729" hidden="1">
      <c r="E25729" s="96"/>
    </row>
    <row r="25730" hidden="1">
      <c r="E25730" s="96"/>
    </row>
    <row r="25731" hidden="1">
      <c r="E25731" s="96"/>
    </row>
    <row r="25732" hidden="1">
      <c r="E25732" s="96"/>
    </row>
    <row r="25733" hidden="1">
      <c r="E25733" s="96"/>
    </row>
    <row r="25734" hidden="1">
      <c r="E25734" s="96"/>
    </row>
    <row r="25735" hidden="1">
      <c r="E25735" s="96"/>
    </row>
    <row r="25736" hidden="1">
      <c r="E25736" s="96"/>
    </row>
    <row r="25737" hidden="1">
      <c r="E25737" s="96"/>
    </row>
    <row r="25738" hidden="1">
      <c r="E25738" s="96"/>
    </row>
    <row r="25739" hidden="1">
      <c r="E25739" s="96"/>
    </row>
    <row r="25740" hidden="1">
      <c r="E25740" s="96"/>
    </row>
    <row r="25741" hidden="1">
      <c r="E25741" s="96"/>
    </row>
    <row r="25742" hidden="1">
      <c r="E25742" s="96"/>
    </row>
    <row r="25743" hidden="1">
      <c r="E25743" s="96"/>
    </row>
    <row r="25744" hidden="1">
      <c r="E25744" s="96"/>
    </row>
    <row r="25745" hidden="1">
      <c r="E25745" s="96"/>
    </row>
    <row r="25746" hidden="1">
      <c r="E25746" s="96"/>
    </row>
    <row r="25747" hidden="1">
      <c r="E25747" s="96"/>
    </row>
    <row r="25748" hidden="1">
      <c r="E25748" s="96"/>
    </row>
    <row r="25749" hidden="1">
      <c r="E25749" s="96"/>
    </row>
    <row r="25750" hidden="1">
      <c r="E25750" s="96"/>
    </row>
    <row r="25751" hidden="1">
      <c r="E25751" s="96"/>
    </row>
    <row r="25752" hidden="1">
      <c r="E25752" s="96"/>
    </row>
    <row r="25753" hidden="1">
      <c r="E25753" s="96"/>
    </row>
    <row r="25754" hidden="1">
      <c r="E25754" s="96"/>
    </row>
    <row r="25755" hidden="1">
      <c r="E25755" s="96"/>
    </row>
    <row r="25756" hidden="1">
      <c r="E25756" s="96"/>
    </row>
    <row r="25757" hidden="1">
      <c r="E25757" s="96"/>
    </row>
    <row r="25758" hidden="1">
      <c r="E25758" s="96"/>
    </row>
    <row r="25759" hidden="1">
      <c r="E25759" s="96"/>
    </row>
    <row r="25760" hidden="1">
      <c r="E25760" s="96"/>
    </row>
    <row r="25761" hidden="1">
      <c r="E25761" s="96"/>
    </row>
    <row r="25762" hidden="1">
      <c r="E25762" s="96"/>
    </row>
    <row r="25763" hidden="1">
      <c r="E25763" s="96"/>
    </row>
    <row r="25764" hidden="1">
      <c r="E25764" s="96"/>
    </row>
    <row r="25765" hidden="1">
      <c r="E25765" s="96"/>
    </row>
    <row r="25766" hidden="1">
      <c r="E25766" s="96"/>
    </row>
    <row r="25767" hidden="1">
      <c r="E25767" s="96"/>
    </row>
    <row r="25768" hidden="1">
      <c r="E25768" s="96"/>
    </row>
    <row r="25769" hidden="1">
      <c r="E25769" s="96"/>
    </row>
    <row r="25770" hidden="1">
      <c r="E25770" s="96"/>
    </row>
    <row r="25771" hidden="1">
      <c r="E25771" s="96"/>
    </row>
    <row r="25772" hidden="1">
      <c r="E25772" s="96"/>
    </row>
    <row r="25773" hidden="1">
      <c r="E25773" s="96"/>
    </row>
    <row r="25774" hidden="1">
      <c r="E25774" s="96"/>
    </row>
    <row r="25775" hidden="1">
      <c r="E25775" s="96"/>
    </row>
    <row r="25776" hidden="1">
      <c r="E25776" s="96"/>
    </row>
    <row r="25777" hidden="1">
      <c r="E25777" s="96"/>
    </row>
    <row r="25778" hidden="1">
      <c r="E25778" s="96"/>
    </row>
    <row r="25779" hidden="1">
      <c r="E25779" s="96"/>
    </row>
    <row r="25780" hidden="1">
      <c r="E25780" s="96"/>
    </row>
    <row r="25781" hidden="1">
      <c r="E25781" s="96"/>
    </row>
    <row r="25782" hidden="1">
      <c r="E25782" s="96"/>
    </row>
    <row r="25783" hidden="1">
      <c r="E25783" s="96"/>
    </row>
    <row r="25784" hidden="1">
      <c r="E25784" s="96"/>
    </row>
    <row r="25785" hidden="1">
      <c r="E25785" s="96"/>
    </row>
    <row r="25786" hidden="1">
      <c r="E25786" s="96"/>
    </row>
    <row r="25787" hidden="1">
      <c r="E25787" s="96"/>
    </row>
    <row r="25788" hidden="1">
      <c r="E25788" s="96"/>
    </row>
    <row r="25789" hidden="1">
      <c r="E25789" s="96"/>
    </row>
    <row r="25790" hidden="1">
      <c r="E25790" s="96"/>
    </row>
    <row r="25791" hidden="1">
      <c r="E25791" s="96"/>
    </row>
    <row r="25792" hidden="1">
      <c r="E25792" s="96"/>
    </row>
    <row r="25793" hidden="1">
      <c r="E25793" s="96"/>
    </row>
    <row r="25794" hidden="1">
      <c r="E25794" s="96"/>
    </row>
    <row r="25795" hidden="1">
      <c r="E25795" s="96"/>
    </row>
    <row r="25796" hidden="1">
      <c r="E25796" s="96"/>
    </row>
    <row r="25797" hidden="1">
      <c r="E25797" s="96"/>
    </row>
    <row r="25798" hidden="1">
      <c r="E25798" s="96"/>
    </row>
    <row r="25799" hidden="1">
      <c r="E25799" s="96"/>
    </row>
    <row r="25800" hidden="1">
      <c r="E25800" s="96"/>
    </row>
    <row r="25801" hidden="1">
      <c r="E25801" s="96"/>
    </row>
    <row r="25802" hidden="1">
      <c r="E25802" s="96"/>
    </row>
    <row r="25803" hidden="1">
      <c r="E25803" s="96"/>
    </row>
    <row r="25804" hidden="1">
      <c r="E25804" s="96"/>
    </row>
    <row r="25805" hidden="1">
      <c r="E25805" s="96"/>
    </row>
    <row r="25806" hidden="1">
      <c r="E25806" s="96"/>
    </row>
    <row r="25807" hidden="1">
      <c r="E25807" s="96"/>
    </row>
    <row r="25808" hidden="1">
      <c r="E25808" s="96"/>
    </row>
    <row r="25809" hidden="1">
      <c r="E25809" s="96"/>
    </row>
    <row r="25810" hidden="1">
      <c r="E25810" s="96"/>
    </row>
    <row r="25811" hidden="1">
      <c r="E25811" s="96"/>
    </row>
    <row r="25812" hidden="1">
      <c r="E25812" s="96"/>
    </row>
    <row r="25813" hidden="1">
      <c r="E25813" s="96"/>
    </row>
    <row r="25814" hidden="1">
      <c r="E25814" s="96"/>
    </row>
    <row r="25815" hidden="1">
      <c r="E25815" s="96"/>
    </row>
    <row r="25816" hidden="1">
      <c r="E25816" s="96"/>
    </row>
    <row r="25817" hidden="1">
      <c r="E25817" s="96"/>
    </row>
    <row r="25818" hidden="1">
      <c r="E25818" s="96"/>
    </row>
    <row r="25819" hidden="1">
      <c r="E25819" s="96"/>
    </row>
    <row r="25820" hidden="1">
      <c r="E25820" s="96"/>
    </row>
    <row r="25821" hidden="1">
      <c r="E25821" s="96"/>
    </row>
    <row r="25822" hidden="1">
      <c r="E25822" s="96"/>
    </row>
    <row r="25823" hidden="1">
      <c r="E25823" s="96"/>
    </row>
    <row r="25824" hidden="1">
      <c r="E25824" s="96"/>
    </row>
    <row r="25825" hidden="1">
      <c r="E25825" s="96"/>
    </row>
    <row r="25826" hidden="1">
      <c r="E25826" s="96"/>
    </row>
    <row r="25827" hidden="1">
      <c r="E25827" s="96"/>
    </row>
    <row r="25828" hidden="1">
      <c r="E25828" s="96"/>
    </row>
    <row r="25829" hidden="1">
      <c r="E25829" s="96"/>
    </row>
    <row r="25830" hidden="1">
      <c r="E25830" s="96"/>
    </row>
    <row r="25831" hidden="1">
      <c r="E25831" s="96"/>
    </row>
    <row r="25832" hidden="1">
      <c r="E25832" s="96"/>
    </row>
    <row r="25833" hidden="1">
      <c r="E25833" s="96"/>
    </row>
    <row r="25834" hidden="1">
      <c r="E25834" s="96"/>
    </row>
    <row r="25835" hidden="1">
      <c r="E25835" s="96"/>
    </row>
    <row r="25836" hidden="1">
      <c r="E25836" s="96"/>
    </row>
    <row r="25837" hidden="1">
      <c r="E25837" s="96"/>
    </row>
    <row r="25838" hidden="1">
      <c r="E25838" s="96"/>
    </row>
    <row r="25839" hidden="1">
      <c r="E25839" s="96"/>
    </row>
    <row r="25840" hidden="1">
      <c r="E25840" s="96"/>
    </row>
    <row r="25841" hidden="1">
      <c r="E25841" s="96"/>
    </row>
    <row r="25842" hidden="1">
      <c r="E25842" s="96"/>
    </row>
    <row r="25843" hidden="1">
      <c r="E25843" s="96"/>
    </row>
    <row r="25844" hidden="1">
      <c r="E25844" s="96"/>
    </row>
    <row r="25845" hidden="1">
      <c r="E25845" s="96"/>
    </row>
    <row r="25846" hidden="1">
      <c r="E25846" s="96"/>
    </row>
    <row r="25847" hidden="1">
      <c r="E25847" s="96"/>
    </row>
    <row r="25848" hidden="1">
      <c r="E25848" s="96"/>
    </row>
    <row r="25849" hidden="1">
      <c r="E25849" s="96"/>
    </row>
    <row r="25850" hidden="1">
      <c r="E25850" s="96"/>
    </row>
    <row r="25851" hidden="1">
      <c r="E25851" s="96"/>
    </row>
    <row r="25852" hidden="1">
      <c r="E25852" s="96"/>
    </row>
    <row r="25853" hidden="1">
      <c r="E25853" s="96"/>
    </row>
    <row r="25854" hidden="1">
      <c r="E25854" s="96"/>
    </row>
    <row r="25855" hidden="1">
      <c r="E25855" s="96"/>
    </row>
    <row r="25856" hidden="1">
      <c r="E25856" s="96"/>
    </row>
    <row r="25857" hidden="1">
      <c r="E25857" s="96"/>
    </row>
    <row r="25858" hidden="1">
      <c r="E25858" s="96"/>
    </row>
    <row r="25859" hidden="1">
      <c r="E25859" s="96"/>
    </row>
    <row r="25860" hidden="1">
      <c r="E25860" s="96"/>
    </row>
    <row r="25861" hidden="1">
      <c r="E25861" s="96"/>
    </row>
    <row r="25862" hidden="1">
      <c r="E25862" s="96"/>
    </row>
    <row r="25863" hidden="1">
      <c r="E25863" s="96"/>
    </row>
    <row r="25864" hidden="1">
      <c r="E25864" s="96"/>
    </row>
    <row r="25865" hidden="1">
      <c r="E25865" s="96"/>
    </row>
    <row r="25866" hidden="1">
      <c r="E25866" s="96"/>
    </row>
    <row r="25867" hidden="1">
      <c r="E25867" s="96"/>
    </row>
    <row r="25868" hidden="1">
      <c r="E25868" s="96"/>
    </row>
    <row r="25869" hidden="1">
      <c r="E25869" s="96"/>
    </row>
    <row r="25870" hidden="1">
      <c r="E25870" s="96"/>
    </row>
    <row r="25871" hidden="1">
      <c r="E25871" s="96"/>
    </row>
    <row r="25872" hidden="1">
      <c r="E25872" s="96"/>
    </row>
    <row r="25873" hidden="1">
      <c r="E25873" s="96"/>
    </row>
    <row r="25874" hidden="1">
      <c r="E25874" s="96"/>
    </row>
    <row r="25875" hidden="1">
      <c r="E25875" s="96"/>
    </row>
    <row r="25876" hidden="1">
      <c r="E25876" s="96"/>
    </row>
    <row r="25877" hidden="1">
      <c r="E25877" s="96"/>
    </row>
    <row r="25878" hidden="1">
      <c r="E25878" s="96"/>
    </row>
    <row r="25879" hidden="1">
      <c r="E25879" s="96"/>
    </row>
    <row r="25880" hidden="1">
      <c r="E25880" s="96"/>
    </row>
    <row r="25881" hidden="1">
      <c r="E25881" s="96"/>
    </row>
    <row r="25882" hidden="1">
      <c r="E25882" s="96"/>
    </row>
    <row r="25883" hidden="1">
      <c r="E25883" s="96"/>
    </row>
    <row r="25884" hidden="1">
      <c r="E25884" s="96"/>
    </row>
    <row r="25885" hidden="1">
      <c r="E25885" s="96"/>
    </row>
    <row r="25886" hidden="1">
      <c r="E25886" s="96"/>
    </row>
    <row r="25887" hidden="1">
      <c r="E25887" s="96"/>
    </row>
    <row r="25888" hidden="1">
      <c r="E25888" s="96"/>
    </row>
    <row r="25889" hidden="1">
      <c r="E25889" s="96"/>
    </row>
    <row r="25890" hidden="1">
      <c r="E25890" s="96"/>
    </row>
    <row r="25891" hidden="1">
      <c r="E25891" s="96"/>
    </row>
    <row r="25892" hidden="1">
      <c r="E25892" s="96"/>
    </row>
    <row r="25893" hidden="1">
      <c r="E25893" s="96"/>
    </row>
    <row r="25894" hidden="1">
      <c r="E25894" s="96"/>
    </row>
    <row r="25895" hidden="1">
      <c r="E25895" s="96"/>
    </row>
    <row r="25896" hidden="1">
      <c r="E25896" s="96"/>
    </row>
    <row r="25897" hidden="1">
      <c r="E25897" s="96"/>
    </row>
    <row r="25898" hidden="1">
      <c r="E25898" s="96"/>
    </row>
    <row r="25899" hidden="1">
      <c r="E25899" s="96"/>
    </row>
    <row r="25900" hidden="1">
      <c r="E25900" s="96"/>
    </row>
    <row r="25901" hidden="1">
      <c r="E25901" s="96"/>
    </row>
    <row r="25902" hidden="1">
      <c r="E25902" s="96"/>
    </row>
    <row r="25903" hidden="1">
      <c r="E25903" s="96"/>
    </row>
    <row r="25904" hidden="1">
      <c r="E25904" s="96"/>
    </row>
    <row r="25905" hidden="1">
      <c r="E25905" s="96"/>
    </row>
    <row r="25906" hidden="1">
      <c r="E25906" s="96"/>
    </row>
    <row r="25907" hidden="1">
      <c r="E25907" s="96"/>
    </row>
    <row r="25908" hidden="1">
      <c r="E25908" s="96"/>
    </row>
    <row r="25909" hidden="1">
      <c r="E25909" s="96"/>
    </row>
    <row r="25910" hidden="1">
      <c r="E25910" s="96"/>
    </row>
    <row r="25911" hidden="1">
      <c r="E25911" s="96"/>
    </row>
    <row r="25912" hidden="1">
      <c r="E25912" s="96"/>
    </row>
    <row r="25913" hidden="1">
      <c r="E25913" s="96"/>
    </row>
    <row r="25914" hidden="1">
      <c r="E25914" s="96"/>
    </row>
    <row r="25915" hidden="1">
      <c r="E25915" s="96"/>
    </row>
    <row r="25916" hidden="1">
      <c r="E25916" s="96"/>
    </row>
    <row r="25917" hidden="1">
      <c r="E25917" s="96"/>
    </row>
    <row r="25918" hidden="1">
      <c r="E25918" s="96"/>
    </row>
    <row r="25919" hidden="1">
      <c r="E25919" s="96"/>
    </row>
    <row r="25920" hidden="1">
      <c r="E25920" s="96"/>
    </row>
    <row r="25921" hidden="1">
      <c r="E25921" s="96"/>
    </row>
    <row r="25922" hidden="1">
      <c r="E25922" s="96"/>
    </row>
    <row r="25923" hidden="1">
      <c r="E25923" s="96"/>
    </row>
    <row r="25924" hidden="1">
      <c r="E25924" s="96"/>
    </row>
    <row r="25925" hidden="1">
      <c r="E25925" s="96"/>
    </row>
    <row r="25926" hidden="1">
      <c r="E25926" s="96"/>
    </row>
    <row r="25927" hidden="1">
      <c r="E25927" s="96"/>
    </row>
    <row r="25928" hidden="1">
      <c r="E25928" s="96"/>
    </row>
    <row r="25929" hidden="1">
      <c r="E25929" s="96"/>
    </row>
    <row r="25930" hidden="1">
      <c r="E25930" s="96"/>
    </row>
    <row r="25931" hidden="1">
      <c r="E25931" s="96"/>
    </row>
    <row r="25932" hidden="1">
      <c r="E25932" s="96"/>
    </row>
    <row r="25933" hidden="1">
      <c r="E25933" s="96"/>
    </row>
    <row r="25934" hidden="1">
      <c r="E25934" s="96"/>
    </row>
    <row r="25935" hidden="1">
      <c r="E25935" s="96"/>
    </row>
    <row r="25936" hidden="1">
      <c r="E25936" s="96"/>
    </row>
    <row r="25937" hidden="1">
      <c r="E25937" s="96"/>
    </row>
    <row r="25938" hidden="1">
      <c r="E25938" s="96"/>
    </row>
    <row r="25939" hidden="1">
      <c r="E25939" s="96"/>
    </row>
    <row r="25940" hidden="1">
      <c r="E25940" s="96"/>
    </row>
    <row r="25941" hidden="1">
      <c r="E25941" s="96"/>
    </row>
    <row r="25942" hidden="1">
      <c r="E25942" s="96"/>
    </row>
    <row r="25943" hidden="1">
      <c r="E25943" s="96"/>
    </row>
    <row r="25944" hidden="1">
      <c r="E25944" s="96"/>
    </row>
    <row r="25945" hidden="1">
      <c r="E25945" s="96"/>
    </row>
    <row r="25946" hidden="1">
      <c r="E25946" s="96"/>
    </row>
    <row r="25947" hidden="1">
      <c r="E25947" s="96"/>
    </row>
    <row r="25948" hidden="1">
      <c r="E25948" s="96"/>
    </row>
    <row r="25949" hidden="1">
      <c r="E25949" s="96"/>
    </row>
    <row r="25950" hidden="1">
      <c r="E25950" s="96"/>
    </row>
    <row r="25951" hidden="1">
      <c r="E25951" s="96"/>
    </row>
    <row r="25952" hidden="1">
      <c r="E25952" s="96"/>
    </row>
    <row r="25953" hidden="1">
      <c r="E25953" s="96"/>
    </row>
    <row r="25954" hidden="1">
      <c r="E25954" s="96"/>
    </row>
    <row r="25955" hidden="1">
      <c r="E25955" s="96"/>
    </row>
    <row r="25956" hidden="1">
      <c r="E25956" s="96"/>
    </row>
    <row r="25957" hidden="1">
      <c r="E25957" s="96"/>
    </row>
    <row r="25958" hidden="1">
      <c r="E25958" s="96"/>
    </row>
    <row r="25959" hidden="1">
      <c r="E25959" s="96"/>
    </row>
    <row r="25960" hidden="1">
      <c r="E25960" s="96"/>
    </row>
    <row r="25961" hidden="1">
      <c r="E25961" s="96"/>
    </row>
    <row r="25962" hidden="1">
      <c r="E25962" s="96"/>
    </row>
    <row r="25963" hidden="1">
      <c r="E25963" s="96"/>
    </row>
    <row r="25964" hidden="1">
      <c r="E25964" s="96"/>
    </row>
    <row r="25965" hidden="1">
      <c r="E25965" s="96"/>
    </row>
    <row r="25966" hidden="1">
      <c r="E25966" s="96"/>
    </row>
    <row r="25967" hidden="1">
      <c r="E25967" s="96"/>
    </row>
    <row r="25968" hidden="1">
      <c r="E25968" s="96"/>
    </row>
    <row r="25969" hidden="1">
      <c r="E25969" s="96"/>
    </row>
    <row r="25970" hidden="1">
      <c r="E25970" s="96"/>
    </row>
    <row r="25971" hidden="1">
      <c r="E25971" s="96"/>
    </row>
    <row r="25972" hidden="1">
      <c r="E25972" s="96"/>
    </row>
    <row r="25973" hidden="1">
      <c r="E25973" s="96"/>
    </row>
    <row r="25974" hidden="1">
      <c r="E25974" s="96"/>
    </row>
    <row r="25975" hidden="1">
      <c r="E25975" s="96"/>
    </row>
    <row r="25976" hidden="1">
      <c r="E25976" s="96"/>
    </row>
    <row r="25977" hidden="1">
      <c r="E25977" s="96"/>
    </row>
    <row r="25978" hidden="1">
      <c r="E25978" s="96"/>
    </row>
    <row r="25979" hidden="1">
      <c r="E25979" s="96"/>
    </row>
    <row r="25980" hidden="1">
      <c r="E25980" s="96"/>
    </row>
    <row r="25981" hidden="1">
      <c r="E25981" s="96"/>
    </row>
    <row r="25982" hidden="1">
      <c r="E25982" s="96"/>
    </row>
    <row r="25983" hidden="1">
      <c r="E25983" s="96"/>
    </row>
    <row r="25984" hidden="1">
      <c r="E25984" s="96"/>
    </row>
    <row r="25985" hidden="1">
      <c r="E25985" s="96"/>
    </row>
    <row r="25986" hidden="1">
      <c r="E25986" s="96"/>
    </row>
    <row r="25987" hidden="1">
      <c r="E25987" s="96"/>
    </row>
    <row r="25988" hidden="1">
      <c r="E25988" s="96"/>
    </row>
    <row r="25989" hidden="1">
      <c r="E25989" s="96"/>
    </row>
    <row r="25990" hidden="1">
      <c r="E25990" s="96"/>
    </row>
    <row r="25991" hidden="1">
      <c r="E25991" s="96"/>
    </row>
    <row r="25992" hidden="1">
      <c r="E25992" s="96"/>
    </row>
    <row r="25993" hidden="1">
      <c r="E25993" s="96"/>
    </row>
    <row r="25994" hidden="1">
      <c r="E25994" s="96"/>
    </row>
    <row r="25995" hidden="1">
      <c r="E25995" s="96"/>
    </row>
    <row r="25996" hidden="1">
      <c r="E25996" s="96"/>
    </row>
    <row r="25997" hidden="1">
      <c r="E25997" s="96"/>
    </row>
    <row r="25998" hidden="1">
      <c r="E25998" s="96"/>
    </row>
    <row r="25999" hidden="1">
      <c r="E25999" s="96"/>
    </row>
    <row r="26000" hidden="1">
      <c r="E26000" s="96"/>
    </row>
    <row r="26001" hidden="1">
      <c r="E26001" s="96"/>
    </row>
    <row r="26002" hidden="1">
      <c r="E26002" s="96"/>
    </row>
    <row r="26003" hidden="1">
      <c r="E26003" s="96"/>
    </row>
    <row r="26004" hidden="1">
      <c r="E26004" s="96"/>
    </row>
    <row r="26005" hidden="1">
      <c r="E26005" s="96"/>
    </row>
    <row r="26006" hidden="1">
      <c r="E26006" s="96"/>
    </row>
    <row r="26007" hidden="1">
      <c r="E26007" s="96"/>
    </row>
    <row r="26008" hidden="1">
      <c r="E26008" s="96"/>
    </row>
    <row r="26009" hidden="1">
      <c r="E26009" s="96"/>
    </row>
    <row r="26010" hidden="1">
      <c r="E26010" s="96"/>
    </row>
    <row r="26011" hidden="1">
      <c r="E26011" s="96"/>
    </row>
    <row r="26012" hidden="1">
      <c r="E26012" s="96"/>
    </row>
    <row r="26013" hidden="1">
      <c r="E26013" s="96"/>
    </row>
    <row r="26014" hidden="1">
      <c r="E26014" s="96"/>
    </row>
    <row r="26015" hidden="1">
      <c r="E26015" s="96"/>
    </row>
    <row r="26016" hidden="1">
      <c r="E26016" s="96"/>
    </row>
    <row r="26017" hidden="1">
      <c r="E26017" s="96"/>
    </row>
    <row r="26018" hidden="1">
      <c r="E26018" s="96"/>
    </row>
    <row r="26019" hidden="1">
      <c r="E26019" s="96"/>
    </row>
    <row r="26020" hidden="1">
      <c r="E26020" s="96"/>
    </row>
    <row r="26021" hidden="1">
      <c r="E26021" s="96"/>
    </row>
    <row r="26022" hidden="1">
      <c r="E26022" s="96"/>
    </row>
    <row r="26023" hidden="1">
      <c r="E26023" s="96"/>
    </row>
    <row r="26024" hidden="1">
      <c r="E26024" s="96"/>
    </row>
    <row r="26025" hidden="1">
      <c r="E26025" s="96"/>
    </row>
    <row r="26026" hidden="1">
      <c r="E26026" s="96"/>
    </row>
    <row r="26027" hidden="1">
      <c r="E26027" s="96"/>
    </row>
    <row r="26028" hidden="1">
      <c r="E26028" s="96"/>
    </row>
    <row r="26029" hidden="1">
      <c r="E26029" s="96"/>
    </row>
    <row r="26030" hidden="1">
      <c r="E26030" s="96"/>
    </row>
    <row r="26031" hidden="1">
      <c r="E26031" s="96"/>
    </row>
    <row r="26032" hidden="1">
      <c r="E26032" s="96"/>
    </row>
    <row r="26033" hidden="1">
      <c r="E26033" s="96"/>
    </row>
    <row r="26034" hidden="1">
      <c r="E26034" s="96"/>
    </row>
    <row r="26035" hidden="1">
      <c r="E26035" s="96"/>
    </row>
    <row r="26036" hidden="1">
      <c r="E26036" s="96"/>
    </row>
    <row r="26037" hidden="1">
      <c r="E26037" s="96"/>
    </row>
    <row r="26038" hidden="1">
      <c r="E26038" s="96"/>
    </row>
    <row r="26039" hidden="1">
      <c r="E26039" s="96"/>
    </row>
    <row r="26040" hidden="1">
      <c r="E26040" s="96"/>
    </row>
    <row r="26041" hidden="1">
      <c r="E26041" s="96"/>
    </row>
    <row r="26042" hidden="1">
      <c r="E26042" s="96"/>
    </row>
    <row r="26043" hidden="1">
      <c r="E26043" s="96"/>
    </row>
    <row r="26044" hidden="1">
      <c r="E26044" s="96"/>
    </row>
    <row r="26045" hidden="1">
      <c r="E26045" s="96"/>
    </row>
    <row r="26046" hidden="1">
      <c r="E26046" s="96"/>
    </row>
    <row r="26047" hidden="1">
      <c r="E26047" s="96"/>
    </row>
    <row r="26048" hidden="1">
      <c r="E26048" s="96"/>
    </row>
    <row r="26049" hidden="1">
      <c r="E26049" s="96"/>
    </row>
    <row r="26050" hidden="1">
      <c r="E26050" s="96"/>
    </row>
    <row r="26051" hidden="1">
      <c r="E26051" s="96"/>
    </row>
    <row r="26052" hidden="1">
      <c r="E26052" s="96"/>
    </row>
    <row r="26053" hidden="1">
      <c r="E26053" s="96"/>
    </row>
    <row r="26054" hidden="1">
      <c r="E26054" s="96"/>
    </row>
    <row r="26055" hidden="1">
      <c r="E26055" s="96"/>
    </row>
    <row r="26056" hidden="1">
      <c r="E26056" s="96"/>
    </row>
    <row r="26057" hidden="1">
      <c r="E26057" s="96"/>
    </row>
    <row r="26058" hidden="1">
      <c r="E26058" s="96"/>
    </row>
    <row r="26059" hidden="1">
      <c r="E26059" s="96"/>
    </row>
    <row r="26060" hidden="1">
      <c r="E26060" s="96"/>
    </row>
    <row r="26061" hidden="1">
      <c r="E26061" s="96"/>
    </row>
    <row r="26062" hidden="1">
      <c r="E26062" s="96"/>
    </row>
    <row r="26063" hidden="1">
      <c r="E26063" s="96"/>
    </row>
    <row r="26064" hidden="1">
      <c r="E26064" s="96"/>
    </row>
    <row r="26065" hidden="1">
      <c r="E26065" s="96"/>
    </row>
    <row r="26066" hidden="1">
      <c r="E26066" s="96"/>
    </row>
    <row r="26067" hidden="1">
      <c r="E26067" s="96"/>
    </row>
    <row r="26068" hidden="1">
      <c r="E26068" s="96"/>
    </row>
    <row r="26069" hidden="1">
      <c r="E26069" s="96"/>
    </row>
    <row r="26070" hidden="1">
      <c r="E26070" s="96"/>
    </row>
    <row r="26071" hidden="1">
      <c r="E26071" s="96"/>
    </row>
    <row r="26072" hidden="1">
      <c r="E26072" s="96"/>
    </row>
    <row r="26073" hidden="1">
      <c r="E26073" s="96"/>
    </row>
    <row r="26074" hidden="1">
      <c r="E26074" s="96"/>
    </row>
    <row r="26075" hidden="1">
      <c r="E26075" s="96"/>
    </row>
    <row r="26076" hidden="1">
      <c r="E26076" s="96"/>
    </row>
    <row r="26077" hidden="1">
      <c r="E26077" s="96"/>
    </row>
    <row r="26078" hidden="1">
      <c r="E26078" s="96"/>
    </row>
    <row r="26079" hidden="1">
      <c r="E26079" s="96"/>
    </row>
    <row r="26080" hidden="1">
      <c r="E26080" s="96"/>
    </row>
    <row r="26081" hidden="1">
      <c r="E26081" s="96"/>
    </row>
    <row r="26082" hidden="1">
      <c r="E26082" s="96"/>
    </row>
    <row r="26083" hidden="1">
      <c r="E26083" s="96"/>
    </row>
    <row r="26084" hidden="1">
      <c r="E26084" s="96"/>
    </row>
    <row r="26085" hidden="1">
      <c r="E26085" s="96"/>
    </row>
    <row r="26086" hidden="1">
      <c r="E26086" s="96"/>
    </row>
    <row r="26087" hidden="1">
      <c r="E26087" s="96"/>
    </row>
    <row r="26088" hidden="1">
      <c r="E26088" s="96"/>
    </row>
    <row r="26089" hidden="1">
      <c r="E26089" s="96"/>
    </row>
    <row r="26090" hidden="1">
      <c r="E26090" s="96"/>
    </row>
    <row r="26091" hidden="1">
      <c r="E26091" s="96"/>
    </row>
    <row r="26092" hidden="1">
      <c r="E26092" s="96"/>
    </row>
    <row r="26093" hidden="1">
      <c r="E26093" s="96"/>
    </row>
    <row r="26094" hidden="1">
      <c r="E26094" s="96"/>
    </row>
    <row r="26095" hidden="1">
      <c r="E26095" s="96"/>
    </row>
    <row r="26096" hidden="1">
      <c r="E26096" s="96"/>
    </row>
    <row r="26097" hidden="1">
      <c r="E26097" s="96"/>
    </row>
    <row r="26098" hidden="1">
      <c r="E26098" s="96"/>
    </row>
    <row r="26099" hidden="1">
      <c r="E26099" s="96"/>
    </row>
    <row r="26100" hidden="1">
      <c r="E26100" s="96"/>
    </row>
    <row r="26101" hidden="1">
      <c r="E26101" s="96"/>
    </row>
    <row r="26102" hidden="1">
      <c r="E26102" s="96"/>
    </row>
    <row r="26103" hidden="1">
      <c r="E26103" s="96"/>
    </row>
    <row r="26104" hidden="1">
      <c r="E26104" s="96"/>
    </row>
    <row r="26105" hidden="1">
      <c r="E26105" s="96"/>
    </row>
    <row r="26106" hidden="1">
      <c r="E26106" s="96"/>
    </row>
    <row r="26107" hidden="1">
      <c r="E26107" s="96"/>
    </row>
    <row r="26108" hidden="1">
      <c r="E26108" s="96"/>
    </row>
    <row r="26109" hidden="1">
      <c r="E26109" s="96"/>
    </row>
    <row r="26110" hidden="1">
      <c r="E26110" s="96"/>
    </row>
    <row r="26111" hidden="1">
      <c r="E26111" s="96"/>
    </row>
    <row r="26112" hidden="1">
      <c r="E26112" s="96"/>
    </row>
    <row r="26113" hidden="1">
      <c r="E26113" s="96"/>
    </row>
    <row r="26114" hidden="1">
      <c r="E26114" s="96"/>
    </row>
    <row r="26115" hidden="1">
      <c r="E26115" s="96"/>
    </row>
    <row r="26116" hidden="1">
      <c r="E26116" s="96"/>
    </row>
    <row r="26117" hidden="1">
      <c r="E26117" s="96"/>
    </row>
    <row r="26118" hidden="1">
      <c r="E26118" s="96"/>
    </row>
    <row r="26119" hidden="1">
      <c r="E26119" s="96"/>
    </row>
    <row r="26120" hidden="1">
      <c r="E26120" s="96"/>
    </row>
    <row r="26121" hidden="1">
      <c r="E26121" s="96"/>
    </row>
    <row r="26122" hidden="1">
      <c r="E26122" s="96"/>
    </row>
    <row r="26123" hidden="1">
      <c r="E26123" s="96"/>
    </row>
    <row r="26124" hidden="1">
      <c r="E26124" s="96"/>
    </row>
    <row r="26125" hidden="1">
      <c r="E26125" s="96"/>
    </row>
    <row r="26126" hidden="1">
      <c r="E26126" s="96"/>
    </row>
    <row r="26127" hidden="1">
      <c r="E26127" s="96"/>
    </row>
    <row r="26128" hidden="1">
      <c r="E26128" s="96"/>
    </row>
    <row r="26129" hidden="1">
      <c r="E26129" s="96"/>
    </row>
    <row r="26130" hidden="1">
      <c r="E26130" s="96"/>
    </row>
    <row r="26131" hidden="1">
      <c r="E26131" s="96"/>
    </row>
    <row r="26132" hidden="1">
      <c r="E26132" s="96"/>
    </row>
    <row r="26133" hidden="1">
      <c r="E26133" s="96"/>
    </row>
    <row r="26134" hidden="1">
      <c r="E26134" s="96"/>
    </row>
    <row r="26135" hidden="1">
      <c r="E26135" s="96"/>
    </row>
    <row r="26136" hidden="1">
      <c r="E26136" s="96"/>
    </row>
    <row r="26137" hidden="1">
      <c r="E26137" s="96"/>
    </row>
    <row r="26138" hidden="1">
      <c r="E26138" s="96"/>
    </row>
    <row r="26139" hidden="1">
      <c r="E26139" s="96"/>
    </row>
    <row r="26140" hidden="1">
      <c r="E26140" s="96"/>
    </row>
    <row r="26141" hidden="1">
      <c r="E26141" s="96"/>
    </row>
    <row r="26142" hidden="1">
      <c r="E26142" s="96"/>
    </row>
    <row r="26143" hidden="1">
      <c r="E26143" s="96"/>
    </row>
    <row r="26144" hidden="1">
      <c r="E26144" s="96"/>
    </row>
    <row r="26145" hidden="1">
      <c r="E26145" s="96"/>
    </row>
    <row r="26146" hidden="1">
      <c r="E26146" s="96"/>
    </row>
    <row r="26147" hidden="1">
      <c r="E26147" s="96"/>
    </row>
    <row r="26148" hidden="1">
      <c r="E26148" s="96"/>
    </row>
    <row r="26149" hidden="1">
      <c r="E26149" s="96"/>
    </row>
    <row r="26150" hidden="1">
      <c r="E26150" s="96"/>
    </row>
    <row r="26151" hidden="1">
      <c r="E26151" s="96"/>
    </row>
    <row r="26152" hidden="1">
      <c r="E26152" s="96"/>
    </row>
    <row r="26153" hidden="1">
      <c r="E26153" s="96"/>
    </row>
    <row r="26154" hidden="1">
      <c r="E26154" s="96"/>
    </row>
    <row r="26155" hidden="1">
      <c r="E26155" s="96"/>
    </row>
    <row r="26156" hidden="1">
      <c r="E26156" s="96"/>
    </row>
    <row r="26157" hidden="1">
      <c r="E26157" s="96"/>
    </row>
    <row r="26158" hidden="1">
      <c r="E26158" s="96"/>
    </row>
    <row r="26159" hidden="1">
      <c r="E26159" s="96"/>
    </row>
    <row r="26160" hidden="1">
      <c r="E26160" s="96"/>
    </row>
    <row r="26161" hidden="1">
      <c r="E26161" s="96"/>
    </row>
    <row r="26162" hidden="1">
      <c r="E26162" s="96"/>
    </row>
    <row r="26163" hidden="1">
      <c r="E26163" s="96"/>
    </row>
    <row r="26164" hidden="1">
      <c r="E26164" s="96"/>
    </row>
    <row r="26165" hidden="1">
      <c r="E26165" s="96"/>
    </row>
    <row r="26166" hidden="1">
      <c r="E26166" s="96"/>
    </row>
    <row r="26167" hidden="1">
      <c r="E26167" s="96"/>
    </row>
    <row r="26168" hidden="1">
      <c r="E26168" s="96"/>
    </row>
    <row r="26169" hidden="1">
      <c r="E26169" s="96"/>
    </row>
    <row r="26170" hidden="1">
      <c r="E26170" s="96"/>
    </row>
    <row r="26171" hidden="1">
      <c r="E26171" s="96"/>
    </row>
    <row r="26172" hidden="1">
      <c r="E26172" s="96"/>
    </row>
    <row r="26173" hidden="1">
      <c r="E26173" s="96"/>
    </row>
    <row r="26174" hidden="1">
      <c r="E26174" s="96"/>
    </row>
    <row r="26175" hidden="1">
      <c r="E26175" s="96"/>
    </row>
    <row r="26176" hidden="1">
      <c r="E26176" s="96"/>
    </row>
    <row r="26177" hidden="1">
      <c r="E26177" s="96"/>
    </row>
    <row r="26178" hidden="1">
      <c r="E26178" s="96"/>
    </row>
    <row r="26179" hidden="1">
      <c r="E26179" s="96"/>
    </row>
    <row r="26180" hidden="1">
      <c r="E26180" s="96"/>
    </row>
    <row r="26181" hidden="1">
      <c r="E26181" s="96"/>
    </row>
    <row r="26182" hidden="1">
      <c r="E26182" s="96"/>
    </row>
    <row r="26183" hidden="1">
      <c r="E26183" s="96"/>
    </row>
    <row r="26184" hidden="1">
      <c r="E26184" s="96"/>
    </row>
    <row r="26185" hidden="1">
      <c r="E26185" s="96"/>
    </row>
    <row r="26186" hidden="1">
      <c r="E26186" s="96"/>
    </row>
    <row r="26187" hidden="1">
      <c r="E26187" s="96"/>
    </row>
    <row r="26188" hidden="1">
      <c r="E26188" s="96"/>
    </row>
    <row r="26189" hidden="1">
      <c r="E26189" s="96"/>
    </row>
    <row r="26190" hidden="1">
      <c r="E26190" s="96"/>
    </row>
    <row r="26191" hidden="1">
      <c r="E26191" s="96"/>
    </row>
    <row r="26192" hidden="1">
      <c r="E26192" s="96"/>
    </row>
    <row r="26193" hidden="1">
      <c r="E26193" s="96"/>
    </row>
    <row r="26194" hidden="1">
      <c r="E26194" s="96"/>
    </row>
    <row r="26195" hidden="1">
      <c r="E26195" s="96"/>
    </row>
    <row r="26196" hidden="1">
      <c r="E26196" s="96"/>
    </row>
    <row r="26197" hidden="1">
      <c r="E26197" s="96"/>
    </row>
    <row r="26198" hidden="1">
      <c r="E26198" s="96"/>
    </row>
    <row r="26199" hidden="1">
      <c r="E26199" s="96"/>
    </row>
    <row r="26200" hidden="1">
      <c r="E26200" s="96"/>
    </row>
    <row r="26201" hidden="1">
      <c r="E26201" s="96"/>
    </row>
    <row r="26202" hidden="1">
      <c r="E26202" s="96"/>
    </row>
    <row r="26203" hidden="1">
      <c r="E26203" s="96"/>
    </row>
    <row r="26204" hidden="1">
      <c r="E26204" s="96"/>
    </row>
    <row r="26205" hidden="1">
      <c r="E26205" s="96"/>
    </row>
    <row r="26206" hidden="1">
      <c r="E26206" s="96"/>
    </row>
    <row r="26207" hidden="1">
      <c r="E26207" s="96"/>
    </row>
    <row r="26208" hidden="1">
      <c r="E26208" s="96"/>
    </row>
    <row r="26209" hidden="1">
      <c r="E26209" s="96"/>
    </row>
    <row r="26210" hidden="1">
      <c r="E26210" s="96"/>
    </row>
    <row r="26211" hidden="1">
      <c r="E26211" s="96"/>
    </row>
    <row r="26212" hidden="1">
      <c r="E26212" s="96"/>
    </row>
    <row r="26213" hidden="1">
      <c r="E26213" s="96"/>
    </row>
    <row r="26214" hidden="1">
      <c r="E26214" s="96"/>
    </row>
    <row r="26215" hidden="1">
      <c r="E26215" s="96"/>
    </row>
    <row r="26216" hidden="1">
      <c r="E26216" s="96"/>
    </row>
    <row r="26217" hidden="1">
      <c r="E26217" s="96"/>
    </row>
    <row r="26218" hidden="1">
      <c r="E26218" s="96"/>
    </row>
    <row r="26219" hidden="1">
      <c r="E26219" s="96"/>
    </row>
    <row r="26220" hidden="1">
      <c r="E26220" s="96"/>
    </row>
    <row r="26221" hidden="1">
      <c r="E26221" s="96"/>
    </row>
    <row r="26222" hidden="1">
      <c r="E26222" s="96"/>
    </row>
    <row r="26223" hidden="1">
      <c r="E26223" s="96"/>
    </row>
    <row r="26224" hidden="1">
      <c r="E26224" s="96"/>
    </row>
    <row r="26225" hidden="1">
      <c r="E26225" s="96"/>
    </row>
    <row r="26226" hidden="1">
      <c r="E26226" s="96"/>
    </row>
    <row r="26227" hidden="1">
      <c r="E26227" s="96"/>
    </row>
    <row r="26228" hidden="1">
      <c r="E26228" s="96"/>
    </row>
    <row r="26229" hidden="1">
      <c r="E26229" s="96"/>
    </row>
    <row r="26230" hidden="1">
      <c r="E26230" s="96"/>
    </row>
    <row r="26231" hidden="1">
      <c r="E26231" s="96"/>
    </row>
    <row r="26232" hidden="1">
      <c r="E26232" s="96"/>
    </row>
    <row r="26233" hidden="1">
      <c r="E26233" s="96"/>
    </row>
    <row r="26234" hidden="1">
      <c r="E26234" s="96"/>
    </row>
    <row r="26235" hidden="1">
      <c r="E26235" s="96"/>
    </row>
    <row r="26236" hidden="1">
      <c r="E26236" s="96"/>
    </row>
    <row r="26237" hidden="1">
      <c r="E26237" s="96"/>
    </row>
    <row r="26238" hidden="1">
      <c r="E26238" s="96"/>
    </row>
    <row r="26239" hidden="1">
      <c r="E26239" s="96"/>
    </row>
    <row r="26240" hidden="1">
      <c r="E26240" s="96"/>
    </row>
    <row r="26241" hidden="1">
      <c r="E26241" s="96"/>
    </row>
    <row r="26242" hidden="1">
      <c r="E26242" s="96"/>
    </row>
    <row r="26243" hidden="1">
      <c r="E26243" s="96"/>
    </row>
    <row r="26244" hidden="1">
      <c r="E26244" s="96"/>
    </row>
    <row r="26245" hidden="1">
      <c r="E26245" s="96"/>
    </row>
    <row r="26246" hidden="1">
      <c r="E26246" s="96"/>
    </row>
    <row r="26247" hidden="1">
      <c r="E26247" s="96"/>
    </row>
    <row r="26248" hidden="1">
      <c r="E26248" s="96"/>
    </row>
    <row r="26249" hidden="1">
      <c r="E26249" s="96"/>
    </row>
    <row r="26250" hidden="1">
      <c r="E26250" s="96"/>
    </row>
    <row r="26251" hidden="1">
      <c r="E26251" s="96"/>
    </row>
    <row r="26252" hidden="1">
      <c r="E26252" s="96"/>
    </row>
    <row r="26253" hidden="1">
      <c r="E26253" s="96"/>
    </row>
    <row r="26254" hidden="1">
      <c r="E26254" s="96"/>
    </row>
    <row r="26255" hidden="1">
      <c r="E26255" s="96"/>
    </row>
    <row r="26256" hidden="1">
      <c r="E26256" s="96"/>
    </row>
    <row r="26257" hidden="1">
      <c r="E26257" s="96"/>
    </row>
    <row r="26258" hidden="1">
      <c r="E26258" s="96"/>
    </row>
    <row r="26259" hidden="1">
      <c r="E26259" s="96"/>
    </row>
    <row r="26260" hidden="1">
      <c r="E26260" s="96"/>
    </row>
    <row r="26261" hidden="1">
      <c r="E26261" s="96"/>
    </row>
    <row r="26262" hidden="1">
      <c r="E26262" s="96"/>
    </row>
    <row r="26263" hidden="1">
      <c r="E26263" s="96"/>
    </row>
    <row r="26264" hidden="1">
      <c r="E26264" s="96"/>
    </row>
    <row r="26265" hidden="1">
      <c r="E26265" s="96"/>
    </row>
    <row r="26266" hidden="1">
      <c r="E26266" s="96"/>
    </row>
    <row r="26267" hidden="1">
      <c r="E26267" s="96"/>
    </row>
    <row r="26268" hidden="1">
      <c r="E26268" s="96"/>
    </row>
    <row r="26269" hidden="1">
      <c r="E26269" s="96"/>
    </row>
    <row r="26270" hidden="1">
      <c r="E26270" s="96"/>
    </row>
    <row r="26271" hidden="1">
      <c r="E26271" s="96"/>
    </row>
    <row r="26272" hidden="1">
      <c r="E26272" s="96"/>
    </row>
    <row r="26273" hidden="1">
      <c r="E26273" s="96"/>
    </row>
    <row r="26274" hidden="1">
      <c r="E26274" s="96"/>
    </row>
    <row r="26275" hidden="1">
      <c r="E26275" s="96"/>
    </row>
    <row r="26276" hidden="1">
      <c r="E26276" s="96"/>
    </row>
    <row r="26277" hidden="1">
      <c r="E26277" s="96"/>
    </row>
    <row r="26278" hidden="1">
      <c r="E26278" s="96"/>
    </row>
    <row r="26279" hidden="1">
      <c r="E26279" s="96"/>
    </row>
    <row r="26280" hidden="1">
      <c r="E26280" s="96"/>
    </row>
    <row r="26281" hidden="1">
      <c r="E26281" s="96"/>
    </row>
    <row r="26282" hidden="1">
      <c r="E26282" s="96"/>
    </row>
    <row r="26283" hidden="1">
      <c r="E26283" s="96"/>
    </row>
    <row r="26284" hidden="1">
      <c r="E26284" s="96"/>
    </row>
    <row r="26285" hidden="1">
      <c r="E26285" s="96"/>
    </row>
    <row r="26286" hidden="1">
      <c r="E26286" s="96"/>
    </row>
    <row r="26287" hidden="1">
      <c r="E26287" s="96"/>
    </row>
    <row r="26288" hidden="1">
      <c r="E26288" s="96"/>
    </row>
    <row r="26289" hidden="1">
      <c r="E26289" s="96"/>
    </row>
    <row r="26290" hidden="1">
      <c r="E26290" s="96"/>
    </row>
    <row r="26291" hidden="1">
      <c r="E26291" s="96"/>
    </row>
    <row r="26292" hidden="1">
      <c r="E26292" s="96"/>
    </row>
    <row r="26293" hidden="1">
      <c r="E26293" s="96"/>
    </row>
    <row r="26294" hidden="1">
      <c r="E26294" s="96"/>
    </row>
    <row r="26295" hidden="1">
      <c r="E26295" s="96"/>
    </row>
    <row r="26296" hidden="1">
      <c r="E26296" s="96"/>
    </row>
    <row r="26297" hidden="1">
      <c r="E26297" s="96"/>
    </row>
    <row r="26298" hidden="1">
      <c r="E26298" s="96"/>
    </row>
    <row r="26299" hidden="1">
      <c r="E26299" s="96"/>
    </row>
    <row r="26300" hidden="1">
      <c r="E26300" s="96"/>
    </row>
    <row r="26301" hidden="1">
      <c r="E26301" s="96"/>
    </row>
    <row r="26302" hidden="1">
      <c r="E26302" s="96"/>
    </row>
    <row r="26303" hidden="1">
      <c r="E26303" s="96"/>
    </row>
    <row r="26304" hidden="1">
      <c r="E26304" s="96"/>
    </row>
    <row r="26305" hidden="1">
      <c r="E26305" s="96"/>
    </row>
    <row r="26306" hidden="1">
      <c r="E26306" s="96"/>
    </row>
    <row r="26307" hidden="1">
      <c r="E26307" s="96"/>
    </row>
    <row r="26308" hidden="1">
      <c r="E26308" s="96"/>
    </row>
    <row r="26309" hidden="1">
      <c r="E26309" s="96"/>
    </row>
    <row r="26310" hidden="1">
      <c r="E26310" s="96"/>
    </row>
    <row r="26311" hidden="1">
      <c r="E26311" s="96"/>
    </row>
    <row r="26312" hidden="1">
      <c r="E26312" s="96"/>
    </row>
    <row r="26313" hidden="1">
      <c r="E26313" s="96"/>
    </row>
    <row r="26314" hidden="1">
      <c r="E26314" s="96"/>
    </row>
    <row r="26315" hidden="1">
      <c r="E26315" s="96"/>
    </row>
    <row r="26316" hidden="1">
      <c r="E26316" s="96"/>
    </row>
    <row r="26317" hidden="1">
      <c r="E26317" s="96"/>
    </row>
    <row r="26318" hidden="1">
      <c r="E26318" s="96"/>
    </row>
    <row r="26319" hidden="1">
      <c r="E26319" s="96"/>
    </row>
    <row r="26320" hidden="1">
      <c r="E26320" s="96"/>
    </row>
    <row r="26321" hidden="1">
      <c r="E26321" s="96"/>
    </row>
    <row r="26322" hidden="1">
      <c r="E26322" s="96"/>
    </row>
    <row r="26323" hidden="1">
      <c r="E26323" s="96"/>
    </row>
    <row r="26324" hidden="1">
      <c r="E26324" s="96"/>
    </row>
    <row r="26325" hidden="1">
      <c r="E26325" s="96"/>
    </row>
    <row r="26326" hidden="1">
      <c r="E26326" s="96"/>
    </row>
    <row r="26327" hidden="1">
      <c r="E26327" s="96"/>
    </row>
    <row r="26328" hidden="1">
      <c r="E26328" s="96"/>
    </row>
    <row r="26329" hidden="1">
      <c r="E26329" s="96"/>
    </row>
    <row r="26330" hidden="1">
      <c r="E26330" s="96"/>
    </row>
    <row r="26331" hidden="1">
      <c r="E26331" s="96"/>
    </row>
    <row r="26332" hidden="1">
      <c r="E26332" s="96"/>
    </row>
    <row r="26333" hidden="1">
      <c r="E26333" s="96"/>
    </row>
    <row r="26334" hidden="1">
      <c r="E26334" s="96"/>
    </row>
    <row r="26335" hidden="1">
      <c r="E26335" s="96"/>
    </row>
    <row r="26336" hidden="1">
      <c r="E26336" s="96"/>
    </row>
    <row r="26337" hidden="1">
      <c r="E26337" s="96"/>
    </row>
    <row r="26338" hidden="1">
      <c r="E26338" s="96"/>
    </row>
    <row r="26339" hidden="1">
      <c r="E26339" s="96"/>
    </row>
    <row r="26340" hidden="1">
      <c r="E26340" s="96"/>
    </row>
    <row r="26341" hidden="1">
      <c r="E26341" s="96"/>
    </row>
    <row r="26342" hidden="1">
      <c r="E26342" s="96"/>
    </row>
    <row r="26343" hidden="1">
      <c r="E26343" s="96"/>
    </row>
    <row r="26344" hidden="1">
      <c r="E26344" s="96"/>
    </row>
    <row r="26345" hidden="1">
      <c r="E26345" s="96"/>
    </row>
    <row r="26346" hidden="1">
      <c r="E26346" s="96"/>
    </row>
    <row r="26347" hidden="1">
      <c r="E26347" s="96"/>
    </row>
    <row r="26348" hidden="1">
      <c r="E26348" s="96"/>
    </row>
    <row r="26349" hidden="1">
      <c r="E26349" s="96"/>
    </row>
    <row r="26350" hidden="1">
      <c r="E26350" s="96"/>
    </row>
    <row r="26351" hidden="1">
      <c r="E26351" s="96"/>
    </row>
    <row r="26352" hidden="1">
      <c r="E26352" s="96"/>
    </row>
    <row r="26353" hidden="1">
      <c r="E26353" s="96"/>
    </row>
    <row r="26354" hidden="1">
      <c r="E26354" s="96"/>
    </row>
    <row r="26355" hidden="1">
      <c r="E26355" s="96"/>
    </row>
    <row r="26356" hidden="1">
      <c r="E26356" s="96"/>
    </row>
    <row r="26357" hidden="1">
      <c r="E26357" s="96"/>
    </row>
    <row r="26358" hidden="1">
      <c r="E26358" s="96"/>
    </row>
    <row r="26359" hidden="1">
      <c r="E26359" s="96"/>
    </row>
    <row r="26360" hidden="1">
      <c r="E26360" s="96"/>
    </row>
    <row r="26361" hidden="1">
      <c r="E26361" s="96"/>
    </row>
    <row r="26362" hidden="1">
      <c r="E26362" s="96"/>
    </row>
    <row r="26363" hidden="1">
      <c r="E26363" s="96"/>
    </row>
    <row r="26364" hidden="1">
      <c r="E26364" s="96"/>
    </row>
    <row r="26365" hidden="1">
      <c r="E26365" s="96"/>
    </row>
    <row r="26366" hidden="1">
      <c r="E26366" s="96"/>
    </row>
    <row r="26367" hidden="1">
      <c r="E26367" s="96"/>
    </row>
    <row r="26368" hidden="1">
      <c r="E26368" s="96"/>
    </row>
    <row r="26369" hidden="1">
      <c r="E26369" s="96"/>
    </row>
    <row r="26370" hidden="1">
      <c r="E26370" s="96"/>
    </row>
    <row r="26371" hidden="1">
      <c r="E26371" s="96"/>
    </row>
    <row r="26372" hidden="1">
      <c r="E26372" s="96"/>
    </row>
    <row r="26373" hidden="1">
      <c r="E26373" s="96"/>
    </row>
    <row r="26374" hidden="1">
      <c r="E26374" s="96"/>
    </row>
    <row r="26375" hidden="1">
      <c r="E26375" s="96"/>
    </row>
    <row r="26376" hidden="1">
      <c r="E26376" s="96"/>
    </row>
    <row r="26377" hidden="1">
      <c r="E26377" s="96"/>
    </row>
    <row r="26378" hidden="1">
      <c r="E26378" s="96"/>
    </row>
    <row r="26379" hidden="1">
      <c r="E26379" s="96"/>
    </row>
    <row r="26380" hidden="1">
      <c r="E26380" s="96"/>
    </row>
    <row r="26381" hidden="1">
      <c r="E26381" s="96"/>
    </row>
    <row r="26382" hidden="1">
      <c r="E26382" s="96"/>
    </row>
    <row r="26383" hidden="1">
      <c r="E26383" s="96"/>
    </row>
    <row r="26384" hidden="1">
      <c r="E26384" s="96"/>
    </row>
    <row r="26385" hidden="1">
      <c r="E26385" s="96"/>
    </row>
    <row r="26386" hidden="1">
      <c r="E26386" s="96"/>
    </row>
    <row r="26387" hidden="1">
      <c r="E26387" s="96"/>
    </row>
    <row r="26388" hidden="1">
      <c r="E26388" s="96"/>
    </row>
    <row r="26389" hidden="1">
      <c r="E26389" s="96"/>
    </row>
    <row r="26390" hidden="1">
      <c r="E26390" s="96"/>
    </row>
    <row r="26391" hidden="1">
      <c r="E26391" s="96"/>
    </row>
    <row r="26392" hidden="1">
      <c r="E26392" s="96"/>
    </row>
    <row r="26393" hidden="1">
      <c r="E26393" s="96"/>
    </row>
    <row r="26394" hidden="1">
      <c r="E26394" s="96"/>
    </row>
    <row r="26395" hidden="1">
      <c r="E26395" s="96"/>
    </row>
    <row r="26396" hidden="1">
      <c r="E26396" s="96"/>
    </row>
    <row r="26397" hidden="1">
      <c r="E26397" s="96"/>
    </row>
    <row r="26398" hidden="1">
      <c r="E26398" s="96"/>
    </row>
    <row r="26399" hidden="1">
      <c r="E26399" s="96"/>
    </row>
    <row r="26400" hidden="1">
      <c r="E26400" s="96"/>
    </row>
    <row r="26401" hidden="1">
      <c r="E26401" s="96"/>
    </row>
    <row r="26402" hidden="1">
      <c r="E26402" s="96"/>
    </row>
    <row r="26403" hidden="1">
      <c r="E26403" s="96"/>
    </row>
    <row r="26404" hidden="1">
      <c r="E26404" s="96"/>
    </row>
    <row r="26405" hidden="1">
      <c r="E26405" s="96"/>
    </row>
    <row r="26406" hidden="1">
      <c r="E26406" s="96"/>
    </row>
    <row r="26407" hidden="1">
      <c r="E26407" s="96"/>
    </row>
    <row r="26408" hidden="1">
      <c r="E26408" s="96"/>
    </row>
    <row r="26409" hidden="1">
      <c r="E26409" s="96"/>
    </row>
    <row r="26410" hidden="1">
      <c r="E26410" s="96"/>
    </row>
    <row r="26411" hidden="1">
      <c r="E26411" s="96"/>
    </row>
    <row r="26412" hidden="1">
      <c r="E26412" s="96"/>
    </row>
    <row r="26413" hidden="1">
      <c r="E26413" s="96"/>
    </row>
    <row r="26414" hidden="1">
      <c r="E26414" s="96"/>
    </row>
    <row r="26415" hidden="1">
      <c r="E26415" s="96"/>
    </row>
    <row r="26416" hidden="1">
      <c r="E26416" s="96"/>
    </row>
    <row r="26417" hidden="1">
      <c r="E26417" s="96"/>
    </row>
    <row r="26418" hidden="1">
      <c r="E26418" s="96"/>
    </row>
    <row r="26419" hidden="1">
      <c r="E26419" s="96"/>
    </row>
    <row r="26420" hidden="1">
      <c r="E26420" s="96"/>
    </row>
    <row r="26421" hidden="1">
      <c r="E26421" s="96"/>
    </row>
    <row r="26422" hidden="1">
      <c r="E26422" s="96"/>
    </row>
    <row r="26423" hidden="1">
      <c r="E26423" s="96"/>
    </row>
    <row r="26424" hidden="1">
      <c r="E26424" s="96"/>
    </row>
    <row r="26425" hidden="1">
      <c r="E26425" s="96"/>
    </row>
    <row r="26426" hidden="1">
      <c r="E26426" s="96"/>
    </row>
    <row r="26427" hidden="1">
      <c r="E26427" s="96"/>
    </row>
    <row r="26428" hidden="1">
      <c r="E26428" s="96"/>
    </row>
    <row r="26429" hidden="1">
      <c r="E26429" s="96"/>
    </row>
    <row r="26430" hidden="1">
      <c r="E26430" s="96"/>
    </row>
    <row r="26431" hidden="1">
      <c r="E26431" s="96"/>
    </row>
    <row r="26432" hidden="1">
      <c r="E26432" s="96"/>
    </row>
    <row r="26433" hidden="1">
      <c r="E26433" s="96"/>
    </row>
    <row r="26434" hidden="1">
      <c r="E26434" s="96"/>
    </row>
    <row r="26435" hidden="1">
      <c r="E26435" s="96"/>
    </row>
    <row r="26436" hidden="1">
      <c r="E26436" s="96"/>
    </row>
    <row r="26437" hidden="1">
      <c r="E26437" s="96"/>
    </row>
    <row r="26438" hidden="1">
      <c r="E26438" s="96"/>
    </row>
    <row r="26439" hidden="1">
      <c r="E26439" s="96"/>
    </row>
    <row r="26440" hidden="1">
      <c r="E26440" s="96"/>
    </row>
    <row r="26441" hidden="1">
      <c r="E26441" s="96"/>
    </row>
    <row r="26442" hidden="1">
      <c r="E26442" s="96"/>
    </row>
    <row r="26443" hidden="1">
      <c r="E26443" s="96"/>
    </row>
    <row r="26444" hidden="1">
      <c r="E26444" s="96"/>
    </row>
    <row r="26445" hidden="1">
      <c r="E26445" s="96"/>
    </row>
    <row r="26446" hidden="1">
      <c r="E26446" s="96"/>
    </row>
    <row r="26447" hidden="1">
      <c r="E26447" s="96"/>
    </row>
    <row r="26448" hidden="1">
      <c r="E26448" s="96"/>
    </row>
    <row r="26449" hidden="1">
      <c r="E26449" s="96"/>
    </row>
    <row r="26450" hidden="1">
      <c r="E26450" s="96"/>
    </row>
    <row r="26451" hidden="1">
      <c r="E26451" s="96"/>
    </row>
    <row r="26452" hidden="1">
      <c r="E26452" s="96"/>
    </row>
    <row r="26453" hidden="1">
      <c r="E26453" s="96"/>
    </row>
    <row r="26454" hidden="1">
      <c r="E26454" s="96"/>
    </row>
    <row r="26455" hidden="1">
      <c r="E26455" s="96"/>
    </row>
    <row r="26456" hidden="1">
      <c r="E26456" s="96"/>
    </row>
    <row r="26457" hidden="1">
      <c r="E26457" s="96"/>
    </row>
    <row r="26458" hidden="1">
      <c r="E26458" s="96"/>
    </row>
    <row r="26459" hidden="1">
      <c r="E26459" s="96"/>
    </row>
    <row r="26460" hidden="1">
      <c r="E26460" s="96"/>
    </row>
    <row r="26461" hidden="1">
      <c r="E26461" s="96"/>
    </row>
    <row r="26462" hidden="1">
      <c r="E26462" s="96"/>
    </row>
    <row r="26463" hidden="1">
      <c r="E26463" s="96"/>
    </row>
    <row r="26464" hidden="1">
      <c r="E26464" s="96"/>
    </row>
    <row r="26465" hidden="1">
      <c r="E26465" s="96"/>
    </row>
    <row r="26466" hidden="1">
      <c r="E26466" s="96"/>
    </row>
    <row r="26467" hidden="1">
      <c r="E26467" s="96"/>
    </row>
    <row r="26468" hidden="1">
      <c r="E26468" s="96"/>
    </row>
    <row r="26469" hidden="1">
      <c r="E26469" s="96"/>
    </row>
    <row r="26470" hidden="1">
      <c r="E26470" s="96"/>
    </row>
    <row r="26471" hidden="1">
      <c r="E26471" s="96"/>
    </row>
    <row r="26472" hidden="1">
      <c r="E26472" s="96"/>
    </row>
    <row r="26473" hidden="1">
      <c r="E26473" s="96"/>
    </row>
    <row r="26474" hidden="1">
      <c r="E26474" s="96"/>
    </row>
    <row r="26475" hidden="1">
      <c r="E26475" s="96"/>
    </row>
    <row r="26476" hidden="1">
      <c r="E26476" s="96"/>
    </row>
    <row r="26477" hidden="1">
      <c r="E26477" s="96"/>
    </row>
    <row r="26478" hidden="1">
      <c r="E26478" s="96"/>
    </row>
    <row r="26479" hidden="1">
      <c r="E26479" s="96"/>
    </row>
    <row r="26480" hidden="1">
      <c r="E26480" s="96"/>
    </row>
    <row r="26481" hidden="1">
      <c r="E26481" s="96"/>
    </row>
    <row r="26482" hidden="1">
      <c r="E26482" s="96"/>
    </row>
    <row r="26483" hidden="1">
      <c r="E26483" s="96"/>
    </row>
    <row r="26484" hidden="1">
      <c r="E26484" s="96"/>
    </row>
    <row r="26485" hidden="1">
      <c r="E26485" s="96"/>
    </row>
    <row r="26486" hidden="1">
      <c r="E26486" s="96"/>
    </row>
    <row r="26487" hidden="1">
      <c r="E26487" s="96"/>
    </row>
    <row r="26488" hidden="1">
      <c r="E26488" s="96"/>
    </row>
    <row r="26489" hidden="1">
      <c r="E26489" s="96"/>
    </row>
    <row r="26490" hidden="1">
      <c r="E26490" s="96"/>
    </row>
    <row r="26491" hidden="1">
      <c r="E26491" s="96"/>
    </row>
    <row r="26492" hidden="1">
      <c r="E26492" s="96"/>
    </row>
    <row r="26493" hidden="1">
      <c r="E26493" s="96"/>
    </row>
    <row r="26494" hidden="1">
      <c r="E26494" s="96"/>
    </row>
    <row r="26495" hidden="1">
      <c r="E26495" s="96"/>
    </row>
    <row r="26496" hidden="1">
      <c r="E26496" s="96"/>
    </row>
    <row r="26497" hidden="1">
      <c r="E26497" s="96"/>
    </row>
    <row r="26498" hidden="1">
      <c r="E26498" s="96"/>
    </row>
    <row r="26499" hidden="1">
      <c r="E26499" s="96"/>
    </row>
    <row r="26500" hidden="1">
      <c r="E26500" s="96"/>
    </row>
    <row r="26501" hidden="1">
      <c r="E26501" s="96"/>
    </row>
    <row r="26502" hidden="1">
      <c r="E26502" s="96"/>
    </row>
    <row r="26503" hidden="1">
      <c r="E26503" s="96"/>
    </row>
    <row r="26504" hidden="1">
      <c r="E26504" s="96"/>
    </row>
    <row r="26505" hidden="1">
      <c r="E26505" s="96"/>
    </row>
    <row r="26506" hidden="1">
      <c r="E26506" s="96"/>
    </row>
    <row r="26507" hidden="1">
      <c r="E26507" s="96"/>
    </row>
    <row r="26508" hidden="1">
      <c r="E26508" s="96"/>
    </row>
    <row r="26509" hidden="1">
      <c r="E26509" s="96"/>
    </row>
    <row r="26510" hidden="1">
      <c r="E26510" s="96"/>
    </row>
    <row r="26511" hidden="1">
      <c r="E26511" s="96"/>
    </row>
    <row r="26512" hidden="1">
      <c r="E26512" s="96"/>
    </row>
    <row r="26513" hidden="1">
      <c r="E26513" s="96"/>
    </row>
    <row r="26514" hidden="1">
      <c r="E26514" s="96"/>
    </row>
    <row r="26515" hidden="1">
      <c r="E26515" s="96"/>
    </row>
    <row r="26516" hidden="1">
      <c r="E26516" s="96"/>
    </row>
    <row r="26517" hidden="1">
      <c r="E26517" s="96"/>
    </row>
    <row r="26518" hidden="1">
      <c r="E26518" s="96"/>
    </row>
    <row r="26519" hidden="1">
      <c r="E26519" s="96"/>
    </row>
    <row r="26520" hidden="1">
      <c r="E26520" s="96"/>
    </row>
    <row r="26521" hidden="1">
      <c r="E26521" s="96"/>
    </row>
    <row r="26522" hidden="1">
      <c r="E26522" s="96"/>
    </row>
    <row r="26523" hidden="1">
      <c r="E26523" s="96"/>
    </row>
    <row r="26524" hidden="1">
      <c r="E26524" s="96"/>
    </row>
    <row r="26525" hidden="1">
      <c r="E26525" s="96"/>
    </row>
    <row r="26526" hidden="1">
      <c r="E26526" s="96"/>
    </row>
    <row r="26527" hidden="1">
      <c r="E26527" s="96"/>
    </row>
    <row r="26528" hidden="1">
      <c r="E26528" s="96"/>
    </row>
    <row r="26529" hidden="1">
      <c r="E26529" s="96"/>
    </row>
    <row r="26530" hidden="1">
      <c r="E26530" s="96"/>
    </row>
    <row r="26531" hidden="1">
      <c r="E26531" s="96"/>
    </row>
    <row r="26532" hidden="1">
      <c r="E26532" s="96"/>
    </row>
    <row r="26533" hidden="1">
      <c r="E26533" s="96"/>
    </row>
    <row r="26534" hidden="1">
      <c r="E26534" s="96"/>
    </row>
    <row r="26535" hidden="1">
      <c r="E26535" s="96"/>
    </row>
    <row r="26536" hidden="1">
      <c r="E26536" s="96"/>
    </row>
    <row r="26537" hidden="1">
      <c r="E26537" s="96"/>
    </row>
    <row r="26538" hidden="1">
      <c r="E26538" s="96"/>
    </row>
    <row r="26539" hidden="1">
      <c r="E26539" s="96"/>
    </row>
    <row r="26540" hidden="1">
      <c r="E26540" s="96"/>
    </row>
    <row r="26541" hidden="1">
      <c r="E26541" s="96"/>
    </row>
    <row r="26542" hidden="1">
      <c r="E26542" s="96"/>
    </row>
    <row r="26543" hidden="1">
      <c r="E26543" s="96"/>
    </row>
    <row r="26544" hidden="1">
      <c r="E26544" s="96"/>
    </row>
    <row r="26545" hidden="1">
      <c r="E26545" s="96"/>
    </row>
    <row r="26546" hidden="1">
      <c r="E26546" s="96"/>
    </row>
    <row r="26547" hidden="1">
      <c r="E26547" s="96"/>
    </row>
    <row r="26548" hidden="1">
      <c r="E26548" s="96"/>
    </row>
    <row r="26549" hidden="1">
      <c r="E26549" s="96"/>
    </row>
    <row r="26550" hidden="1">
      <c r="E26550" s="96"/>
    </row>
    <row r="26551" hidden="1">
      <c r="E26551" s="96"/>
    </row>
    <row r="26552" hidden="1">
      <c r="E26552" s="96"/>
    </row>
    <row r="26553" hidden="1">
      <c r="E26553" s="96"/>
    </row>
    <row r="26554" hidden="1">
      <c r="E26554" s="96"/>
    </row>
    <row r="26555" hidden="1">
      <c r="E26555" s="96"/>
    </row>
    <row r="26556" hidden="1">
      <c r="E26556" s="96"/>
    </row>
    <row r="26557" hidden="1">
      <c r="E26557" s="96"/>
    </row>
    <row r="26558" hidden="1">
      <c r="E26558" s="96"/>
    </row>
    <row r="26559" hidden="1">
      <c r="E26559" s="96"/>
    </row>
    <row r="26560" hidden="1">
      <c r="E26560" s="96"/>
    </row>
    <row r="26561" hidden="1">
      <c r="E26561" s="96"/>
    </row>
    <row r="26562" hidden="1">
      <c r="E26562" s="96"/>
    </row>
    <row r="26563" hidden="1">
      <c r="E26563" s="96"/>
    </row>
    <row r="26564" hidden="1">
      <c r="E26564" s="96"/>
    </row>
    <row r="26565" hidden="1">
      <c r="E26565" s="96"/>
    </row>
    <row r="26566" hidden="1">
      <c r="E26566" s="96"/>
    </row>
    <row r="26567" hidden="1">
      <c r="E26567" s="96"/>
    </row>
    <row r="26568" hidden="1">
      <c r="E26568" s="96"/>
    </row>
    <row r="26569" hidden="1">
      <c r="E26569" s="96"/>
    </row>
    <row r="26570" hidden="1">
      <c r="E26570" s="96"/>
    </row>
    <row r="26571" hidden="1">
      <c r="E26571" s="96"/>
    </row>
    <row r="26572" hidden="1">
      <c r="E26572" s="96"/>
    </row>
    <row r="26573" hidden="1">
      <c r="E26573" s="96"/>
    </row>
    <row r="26574" hidden="1">
      <c r="E26574" s="96"/>
    </row>
    <row r="26575" hidden="1">
      <c r="E26575" s="96"/>
    </row>
    <row r="26576" hidden="1">
      <c r="E26576" s="96"/>
    </row>
    <row r="26577" hidden="1">
      <c r="E26577" s="96"/>
    </row>
    <row r="26578" hidden="1">
      <c r="E26578" s="96"/>
    </row>
    <row r="26579" hidden="1">
      <c r="E26579" s="96"/>
    </row>
    <row r="26580" hidden="1">
      <c r="E26580" s="96"/>
    </row>
    <row r="26581" hidden="1">
      <c r="E26581" s="96"/>
    </row>
    <row r="26582" hidden="1">
      <c r="E26582" s="96"/>
    </row>
    <row r="26583" hidden="1">
      <c r="E26583" s="96"/>
    </row>
    <row r="26584" hidden="1">
      <c r="E26584" s="96"/>
    </row>
    <row r="26585" hidden="1">
      <c r="E26585" s="96"/>
    </row>
    <row r="26586" hidden="1">
      <c r="E26586" s="96"/>
    </row>
    <row r="26587" hidden="1">
      <c r="E26587" s="96"/>
    </row>
    <row r="26588" hidden="1">
      <c r="E26588" s="96"/>
    </row>
    <row r="26589" hidden="1">
      <c r="E26589" s="96"/>
    </row>
    <row r="26590" hidden="1">
      <c r="E26590" s="96"/>
    </row>
    <row r="26591" hidden="1">
      <c r="E26591" s="96"/>
    </row>
    <row r="26592" hidden="1">
      <c r="E26592" s="96"/>
    </row>
    <row r="26593" hidden="1">
      <c r="E26593" s="96"/>
    </row>
    <row r="26594" hidden="1">
      <c r="E26594" s="96"/>
    </row>
    <row r="26595" hidden="1">
      <c r="E26595" s="96"/>
    </row>
    <row r="26596" hidden="1">
      <c r="E26596" s="96"/>
    </row>
    <row r="26597" hidden="1">
      <c r="E26597" s="96"/>
    </row>
    <row r="26598" hidden="1">
      <c r="E26598" s="96"/>
    </row>
    <row r="26599" hidden="1">
      <c r="E26599" s="96"/>
    </row>
    <row r="26600" hidden="1">
      <c r="E26600" s="96"/>
    </row>
    <row r="26601" hidden="1">
      <c r="E26601" s="96"/>
    </row>
    <row r="26602" hidden="1">
      <c r="E26602" s="96"/>
    </row>
    <row r="26603" hidden="1">
      <c r="E26603" s="96"/>
    </row>
    <row r="26604" hidden="1">
      <c r="E26604" s="96"/>
    </row>
    <row r="26605" hidden="1">
      <c r="E26605" s="96"/>
    </row>
    <row r="26606" hidden="1">
      <c r="E26606" s="96"/>
    </row>
    <row r="26607" hidden="1">
      <c r="E26607" s="96"/>
    </row>
    <row r="26608" hidden="1">
      <c r="E26608" s="96"/>
    </row>
    <row r="26609" hidden="1">
      <c r="E26609" s="96"/>
    </row>
    <row r="26610" hidden="1">
      <c r="E26610" s="96"/>
    </row>
    <row r="26611" hidden="1">
      <c r="E26611" s="96"/>
    </row>
    <row r="26612" hidden="1">
      <c r="E26612" s="96"/>
    </row>
    <row r="26613" hidden="1">
      <c r="E26613" s="96"/>
    </row>
    <row r="26614" hidden="1">
      <c r="E26614" s="96"/>
    </row>
    <row r="26615" hidden="1">
      <c r="E26615" s="96"/>
    </row>
    <row r="26616" hidden="1">
      <c r="E26616" s="96"/>
    </row>
    <row r="26617" hidden="1">
      <c r="E26617" s="96"/>
    </row>
    <row r="26618" hidden="1">
      <c r="E26618" s="96"/>
    </row>
    <row r="26619" hidden="1">
      <c r="E26619" s="96"/>
    </row>
    <row r="26620" hidden="1">
      <c r="E26620" s="96"/>
    </row>
    <row r="26621" hidden="1">
      <c r="E26621" s="96"/>
    </row>
    <row r="26622" hidden="1">
      <c r="E26622" s="96"/>
    </row>
    <row r="26623" hidden="1">
      <c r="E26623" s="96"/>
    </row>
    <row r="26624" hidden="1">
      <c r="E26624" s="96"/>
    </row>
    <row r="26625" hidden="1">
      <c r="E26625" s="96"/>
    </row>
    <row r="26626" hidden="1">
      <c r="E26626" s="96"/>
    </row>
    <row r="26627" hidden="1">
      <c r="E26627" s="96"/>
    </row>
    <row r="26628" hidden="1">
      <c r="E26628" s="96"/>
    </row>
    <row r="26629" hidden="1">
      <c r="E26629" s="96"/>
    </row>
    <row r="26630" hidden="1">
      <c r="E26630" s="96"/>
    </row>
    <row r="26631" hidden="1">
      <c r="E26631" s="96"/>
    </row>
    <row r="26632" hidden="1">
      <c r="E26632" s="96"/>
    </row>
    <row r="26633" hidden="1">
      <c r="E26633" s="96"/>
    </row>
    <row r="26634" hidden="1">
      <c r="E26634" s="96"/>
    </row>
    <row r="26635" hidden="1">
      <c r="E26635" s="96"/>
    </row>
    <row r="26636" hidden="1">
      <c r="E26636" s="96"/>
    </row>
    <row r="26637" hidden="1">
      <c r="E26637" s="96"/>
    </row>
    <row r="26638" hidden="1">
      <c r="E26638" s="96"/>
    </row>
    <row r="26639" hidden="1">
      <c r="E26639" s="96"/>
    </row>
    <row r="26640" hidden="1">
      <c r="E26640" s="96"/>
    </row>
    <row r="26641" hidden="1">
      <c r="E26641" s="96"/>
    </row>
    <row r="26642" hidden="1">
      <c r="E26642" s="96"/>
    </row>
    <row r="26643" hidden="1">
      <c r="E26643" s="96"/>
    </row>
    <row r="26644" hidden="1">
      <c r="E26644" s="96"/>
    </row>
    <row r="26645" hidden="1">
      <c r="E26645" s="96"/>
    </row>
    <row r="26646" hidden="1">
      <c r="E26646" s="96"/>
    </row>
    <row r="26647" hidden="1">
      <c r="E26647" s="96"/>
    </row>
    <row r="26648" hidden="1">
      <c r="E26648" s="96"/>
    </row>
    <row r="26649" hidden="1">
      <c r="E26649" s="96"/>
    </row>
    <row r="26650" hidden="1">
      <c r="E26650" s="96"/>
    </row>
    <row r="26651" hidden="1">
      <c r="E26651" s="96"/>
    </row>
    <row r="26652" hidden="1">
      <c r="E26652" s="96"/>
    </row>
    <row r="26653" hidden="1">
      <c r="E26653" s="96"/>
    </row>
    <row r="26654" hidden="1">
      <c r="E26654" s="96"/>
    </row>
    <row r="26655" hidden="1">
      <c r="E26655" s="96"/>
    </row>
    <row r="26656" hidden="1">
      <c r="E26656" s="96"/>
    </row>
    <row r="26657" hidden="1">
      <c r="E26657" s="96"/>
    </row>
    <row r="26658" hidden="1">
      <c r="E26658" s="96"/>
    </row>
    <row r="26659" hidden="1">
      <c r="E26659" s="96"/>
    </row>
    <row r="26660" hidden="1">
      <c r="E26660" s="96"/>
    </row>
    <row r="26661" hidden="1">
      <c r="E26661" s="96"/>
    </row>
    <row r="26662" hidden="1">
      <c r="E26662" s="96"/>
    </row>
    <row r="26663" hidden="1">
      <c r="E26663" s="96"/>
    </row>
    <row r="26664" hidden="1">
      <c r="E26664" s="96"/>
    </row>
    <row r="26665" hidden="1">
      <c r="E26665" s="96"/>
    </row>
    <row r="26666" hidden="1">
      <c r="E26666" s="96"/>
    </row>
    <row r="26667" hidden="1">
      <c r="E26667" s="96"/>
    </row>
    <row r="26668" hidden="1">
      <c r="E26668" s="96"/>
    </row>
    <row r="26669" hidden="1">
      <c r="E26669" s="96"/>
    </row>
    <row r="26670" hidden="1">
      <c r="E26670" s="96"/>
    </row>
    <row r="26671" hidden="1">
      <c r="E26671" s="96"/>
    </row>
    <row r="26672" hidden="1">
      <c r="E26672" s="96"/>
    </row>
    <row r="26673" hidden="1">
      <c r="E26673" s="96"/>
    </row>
    <row r="26674" hidden="1">
      <c r="E26674" s="96"/>
    </row>
    <row r="26675" hidden="1">
      <c r="E26675" s="96"/>
    </row>
    <row r="26676" hidden="1">
      <c r="E26676" s="96"/>
    </row>
    <row r="26677" hidden="1">
      <c r="E26677" s="96"/>
    </row>
    <row r="26678" hidden="1">
      <c r="E26678" s="96"/>
    </row>
    <row r="26679" hidden="1">
      <c r="E26679" s="96"/>
    </row>
    <row r="26680" hidden="1">
      <c r="E26680" s="96"/>
    </row>
    <row r="26681" hidden="1">
      <c r="E26681" s="96"/>
    </row>
    <row r="26682" hidden="1">
      <c r="E26682" s="96"/>
    </row>
    <row r="26683" hidden="1">
      <c r="E26683" s="96"/>
    </row>
    <row r="26684" hidden="1">
      <c r="E26684" s="96"/>
    </row>
    <row r="26685" hidden="1">
      <c r="E26685" s="96"/>
    </row>
    <row r="26686" hidden="1">
      <c r="E26686" s="96"/>
    </row>
    <row r="26687" hidden="1">
      <c r="E26687" s="96"/>
    </row>
    <row r="26688" hidden="1">
      <c r="E26688" s="96"/>
    </row>
    <row r="26689" hidden="1">
      <c r="E26689" s="96"/>
    </row>
    <row r="26690" hidden="1">
      <c r="E26690" s="96"/>
    </row>
    <row r="26691" hidden="1">
      <c r="E26691" s="96"/>
    </row>
    <row r="26692" hidden="1">
      <c r="E26692" s="96"/>
    </row>
    <row r="26693" hidden="1">
      <c r="E26693" s="96"/>
    </row>
    <row r="26694" hidden="1">
      <c r="E26694" s="96"/>
    </row>
    <row r="26695" hidden="1">
      <c r="E26695" s="96"/>
    </row>
    <row r="26696" hidden="1">
      <c r="E26696" s="96"/>
    </row>
    <row r="26697" hidden="1">
      <c r="E26697" s="96"/>
    </row>
    <row r="26698" hidden="1">
      <c r="E26698" s="96"/>
    </row>
    <row r="26699" hidden="1">
      <c r="E26699" s="96"/>
    </row>
    <row r="26700" hidden="1">
      <c r="E26700" s="96"/>
    </row>
    <row r="26701" hidden="1">
      <c r="E26701" s="96"/>
    </row>
    <row r="26702" hidden="1">
      <c r="E26702" s="96"/>
    </row>
    <row r="26703" hidden="1">
      <c r="E26703" s="96"/>
    </row>
    <row r="26704" hidden="1">
      <c r="E26704" s="96"/>
    </row>
    <row r="26705" hidden="1">
      <c r="E26705" s="96"/>
    </row>
    <row r="26706" hidden="1">
      <c r="E26706" s="96"/>
    </row>
    <row r="26707" hidden="1">
      <c r="E26707" s="96"/>
    </row>
    <row r="26708" hidden="1">
      <c r="E26708" s="96"/>
    </row>
    <row r="26709" hidden="1">
      <c r="E26709" s="96"/>
    </row>
    <row r="26710" hidden="1">
      <c r="E26710" s="96"/>
    </row>
    <row r="26711" hidden="1">
      <c r="E26711" s="96"/>
    </row>
    <row r="26712" hidden="1">
      <c r="E26712" s="96"/>
    </row>
    <row r="26713" hidden="1">
      <c r="E26713" s="96"/>
    </row>
    <row r="26714" hidden="1">
      <c r="E26714" s="96"/>
    </row>
    <row r="26715" hidden="1">
      <c r="E26715" s="96"/>
    </row>
    <row r="26716" hidden="1">
      <c r="E26716" s="96"/>
    </row>
    <row r="26717" hidden="1">
      <c r="E26717" s="96"/>
    </row>
    <row r="26718" hidden="1">
      <c r="E26718" s="96"/>
    </row>
    <row r="26719" hidden="1">
      <c r="E26719" s="96"/>
    </row>
    <row r="26720" hidden="1">
      <c r="E26720" s="96"/>
    </row>
    <row r="26721" hidden="1">
      <c r="E26721" s="96"/>
    </row>
    <row r="26722" hidden="1">
      <c r="E26722" s="96"/>
    </row>
    <row r="26723" hidden="1">
      <c r="E26723" s="96"/>
    </row>
    <row r="26724" hidden="1">
      <c r="E26724" s="96"/>
    </row>
    <row r="26725" hidden="1">
      <c r="E26725" s="96"/>
    </row>
    <row r="26726" hidden="1">
      <c r="E26726" s="96"/>
    </row>
    <row r="26727" hidden="1">
      <c r="E26727" s="96"/>
    </row>
    <row r="26728" hidden="1">
      <c r="E26728" s="96"/>
    </row>
    <row r="26729" hidden="1">
      <c r="E26729" s="96"/>
    </row>
    <row r="26730" hidden="1">
      <c r="E26730" s="96"/>
    </row>
    <row r="26731" hidden="1">
      <c r="E26731" s="96"/>
    </row>
    <row r="26732" hidden="1">
      <c r="E26732" s="96"/>
    </row>
    <row r="26733" hidden="1">
      <c r="E26733" s="96"/>
    </row>
    <row r="26734" hidden="1">
      <c r="E26734" s="96"/>
    </row>
    <row r="26735" hidden="1">
      <c r="E26735" s="96"/>
    </row>
    <row r="26736" hidden="1">
      <c r="E26736" s="96"/>
    </row>
    <row r="26737" hidden="1">
      <c r="E26737" s="96"/>
    </row>
    <row r="26738" hidden="1">
      <c r="E26738" s="96"/>
    </row>
    <row r="26739" hidden="1">
      <c r="E26739" s="96"/>
    </row>
    <row r="26740" hidden="1">
      <c r="E26740" s="96"/>
    </row>
    <row r="26741" hidden="1">
      <c r="E26741" s="96"/>
    </row>
    <row r="26742" hidden="1">
      <c r="E26742" s="96"/>
    </row>
    <row r="26743" hidden="1">
      <c r="E26743" s="96"/>
    </row>
    <row r="26744" hidden="1">
      <c r="E26744" s="96"/>
    </row>
    <row r="26745" hidden="1">
      <c r="E26745" s="96"/>
    </row>
    <row r="26746" hidden="1">
      <c r="E26746" s="96"/>
    </row>
    <row r="26747" hidden="1">
      <c r="E26747" s="96"/>
    </row>
    <row r="26748" hidden="1">
      <c r="E26748" s="96"/>
    </row>
    <row r="26749" hidden="1">
      <c r="E26749" s="96"/>
    </row>
    <row r="26750" hidden="1">
      <c r="E26750" s="96"/>
    </row>
    <row r="26751" hidden="1">
      <c r="E26751" s="96"/>
    </row>
    <row r="26752" hidden="1">
      <c r="E26752" s="96"/>
    </row>
    <row r="26753" hidden="1">
      <c r="E26753" s="96"/>
    </row>
    <row r="26754" hidden="1">
      <c r="E26754" s="96"/>
    </row>
    <row r="26755" hidden="1">
      <c r="E26755" s="96"/>
    </row>
    <row r="26756" hidden="1">
      <c r="E26756" s="96"/>
    </row>
    <row r="26757" hidden="1">
      <c r="E26757" s="96"/>
    </row>
    <row r="26758" hidden="1">
      <c r="E26758" s="96"/>
    </row>
    <row r="26759" hidden="1">
      <c r="E26759" s="96"/>
    </row>
    <row r="26760" hidden="1">
      <c r="E26760" s="96"/>
    </row>
    <row r="26761" hidden="1">
      <c r="E26761" s="96"/>
    </row>
    <row r="26762" hidden="1">
      <c r="E26762" s="96"/>
    </row>
    <row r="26763" hidden="1">
      <c r="E26763" s="96"/>
    </row>
    <row r="26764" hidden="1">
      <c r="E26764" s="96"/>
    </row>
    <row r="26765" hidden="1">
      <c r="E26765" s="96"/>
    </row>
    <row r="26766" hidden="1">
      <c r="E26766" s="96"/>
    </row>
    <row r="26767" hidden="1">
      <c r="E26767" s="96"/>
    </row>
    <row r="26768" hidden="1">
      <c r="E26768" s="96"/>
    </row>
    <row r="26769" hidden="1">
      <c r="E26769" s="96"/>
    </row>
    <row r="26770" hidden="1">
      <c r="E26770" s="96"/>
    </row>
    <row r="26771" hidden="1">
      <c r="E26771" s="96"/>
    </row>
    <row r="26772" hidden="1">
      <c r="E26772" s="96"/>
    </row>
    <row r="26773" hidden="1">
      <c r="E26773" s="96"/>
    </row>
    <row r="26774" hidden="1">
      <c r="E26774" s="96"/>
    </row>
    <row r="26775" hidden="1">
      <c r="E26775" s="96"/>
    </row>
    <row r="26776" hidden="1">
      <c r="E26776" s="96"/>
    </row>
    <row r="26777" hidden="1">
      <c r="E26777" s="96"/>
    </row>
    <row r="26778" hidden="1">
      <c r="E26778" s="96"/>
    </row>
    <row r="26779" hidden="1">
      <c r="E26779" s="96"/>
    </row>
    <row r="26780" hidden="1">
      <c r="E26780" s="96"/>
    </row>
    <row r="26781" hidden="1">
      <c r="E26781" s="96"/>
    </row>
    <row r="26782" hidden="1">
      <c r="E26782" s="96"/>
    </row>
    <row r="26783" hidden="1">
      <c r="E26783" s="96"/>
    </row>
    <row r="26784" hidden="1">
      <c r="E26784" s="96"/>
    </row>
    <row r="26785" hidden="1">
      <c r="E26785" s="96"/>
    </row>
    <row r="26786" hidden="1">
      <c r="E26786" s="96"/>
    </row>
    <row r="26787" hidden="1">
      <c r="E26787" s="96"/>
    </row>
    <row r="26788" hidden="1">
      <c r="E26788" s="96"/>
    </row>
    <row r="26789" hidden="1">
      <c r="E26789" s="96"/>
    </row>
    <row r="26790" hidden="1">
      <c r="E26790" s="96"/>
    </row>
    <row r="26791" hidden="1">
      <c r="E26791" s="96"/>
    </row>
    <row r="26792" hidden="1">
      <c r="E26792" s="96"/>
    </row>
    <row r="26793" hidden="1">
      <c r="E26793" s="96"/>
    </row>
    <row r="26794" hidden="1">
      <c r="E26794" s="96"/>
    </row>
    <row r="26795" hidden="1">
      <c r="E26795" s="96"/>
    </row>
    <row r="26796" hidden="1">
      <c r="E26796" s="96"/>
    </row>
    <row r="26797" hidden="1">
      <c r="E26797" s="96"/>
    </row>
    <row r="26798" hidden="1">
      <c r="E26798" s="96"/>
    </row>
    <row r="26799" hidden="1">
      <c r="E26799" s="96"/>
    </row>
    <row r="26800" hidden="1">
      <c r="E26800" s="96"/>
    </row>
    <row r="26801" hidden="1">
      <c r="E26801" s="96"/>
    </row>
    <row r="26802" hidden="1">
      <c r="E26802" s="96"/>
    </row>
    <row r="26803" hidden="1">
      <c r="E26803" s="96"/>
    </row>
    <row r="26804" hidden="1">
      <c r="E26804" s="96"/>
    </row>
    <row r="26805" hidden="1">
      <c r="E26805" s="96"/>
    </row>
    <row r="26806" hidden="1">
      <c r="E26806" s="96"/>
    </row>
    <row r="26807" hidden="1">
      <c r="E26807" s="96"/>
    </row>
    <row r="26808" hidden="1">
      <c r="E26808" s="96"/>
    </row>
    <row r="26809" hidden="1">
      <c r="E26809" s="96"/>
    </row>
    <row r="26810" hidden="1">
      <c r="E26810" s="96"/>
    </row>
    <row r="26811" hidden="1">
      <c r="E26811" s="96"/>
    </row>
    <row r="26812" hidden="1">
      <c r="E26812" s="96"/>
    </row>
    <row r="26813" hidden="1">
      <c r="E26813" s="96"/>
    </row>
    <row r="26814" hidden="1">
      <c r="E26814" s="96"/>
    </row>
    <row r="26815" hidden="1">
      <c r="E26815" s="96"/>
    </row>
    <row r="26816" hidden="1">
      <c r="E26816" s="96"/>
    </row>
    <row r="26817" hidden="1">
      <c r="E26817" s="96"/>
    </row>
    <row r="26818" hidden="1">
      <c r="E26818" s="96"/>
    </row>
    <row r="26819" hidden="1">
      <c r="E26819" s="96"/>
    </row>
    <row r="26820" hidden="1">
      <c r="E26820" s="96"/>
    </row>
    <row r="26821" hidden="1">
      <c r="E26821" s="96"/>
    </row>
    <row r="26822" hidden="1">
      <c r="E26822" s="96"/>
    </row>
    <row r="26823" hidden="1">
      <c r="E26823" s="96"/>
    </row>
    <row r="26824" hidden="1">
      <c r="E26824" s="96"/>
    </row>
    <row r="26825" hidden="1">
      <c r="E26825" s="96"/>
    </row>
    <row r="26826" hidden="1">
      <c r="E26826" s="96"/>
    </row>
    <row r="26827" hidden="1">
      <c r="E26827" s="96"/>
    </row>
    <row r="26828" hidden="1">
      <c r="E26828" s="96"/>
    </row>
    <row r="26829" hidden="1">
      <c r="E26829" s="96"/>
    </row>
    <row r="26830" hidden="1">
      <c r="E26830" s="96"/>
    </row>
    <row r="26831" hidden="1">
      <c r="E26831" s="96"/>
    </row>
    <row r="26832" hidden="1">
      <c r="E26832" s="96"/>
    </row>
    <row r="26833" hidden="1">
      <c r="E26833" s="96"/>
    </row>
    <row r="26834" hidden="1">
      <c r="E26834" s="96"/>
    </row>
    <row r="26835" hidden="1">
      <c r="E26835" s="96"/>
    </row>
    <row r="26836" hidden="1">
      <c r="E26836" s="96"/>
    </row>
    <row r="26837" hidden="1">
      <c r="E26837" s="96"/>
    </row>
    <row r="26838" hidden="1">
      <c r="E26838" s="96"/>
    </row>
    <row r="26839" hidden="1">
      <c r="E26839" s="96"/>
    </row>
    <row r="26840" hidden="1">
      <c r="E26840" s="96"/>
    </row>
    <row r="26841" hidden="1">
      <c r="E26841" s="96"/>
    </row>
    <row r="26842" hidden="1">
      <c r="E26842" s="96"/>
    </row>
    <row r="26843" hidden="1">
      <c r="E26843" s="96"/>
    </row>
    <row r="26844" hidden="1">
      <c r="E26844" s="96"/>
    </row>
    <row r="26845" hidden="1">
      <c r="E26845" s="96"/>
    </row>
    <row r="26846" hidden="1">
      <c r="E26846" s="96"/>
    </row>
    <row r="26847" hidden="1">
      <c r="E26847" s="96"/>
    </row>
    <row r="26848" hidden="1">
      <c r="E26848" s="96"/>
    </row>
    <row r="26849" hidden="1">
      <c r="E26849" s="96"/>
    </row>
    <row r="26850" hidden="1">
      <c r="E26850" s="96"/>
    </row>
    <row r="26851" hidden="1">
      <c r="E26851" s="96"/>
    </row>
    <row r="26852" hidden="1">
      <c r="E26852" s="96"/>
    </row>
    <row r="26853" hidden="1">
      <c r="E26853" s="96"/>
    </row>
    <row r="26854" hidden="1">
      <c r="E26854" s="96"/>
    </row>
    <row r="26855" hidden="1">
      <c r="E26855" s="96"/>
    </row>
    <row r="26856" hidden="1">
      <c r="E26856" s="96"/>
    </row>
    <row r="26857" hidden="1">
      <c r="E26857" s="96"/>
    </row>
    <row r="26858" hidden="1">
      <c r="E26858" s="96"/>
    </row>
    <row r="26859" hidden="1">
      <c r="E26859" s="96"/>
    </row>
    <row r="26860" hidden="1">
      <c r="E26860" s="96"/>
    </row>
    <row r="26861" hidden="1">
      <c r="E26861" s="96"/>
    </row>
    <row r="26862" hidden="1">
      <c r="E26862" s="96"/>
    </row>
    <row r="26863" hidden="1">
      <c r="E26863" s="96"/>
    </row>
    <row r="26864" hidden="1">
      <c r="E26864" s="96"/>
    </row>
    <row r="26865" hidden="1">
      <c r="E26865" s="96"/>
    </row>
    <row r="26866" hidden="1">
      <c r="E26866" s="96"/>
    </row>
    <row r="26867" hidden="1">
      <c r="E26867" s="96"/>
    </row>
    <row r="26868" hidden="1">
      <c r="E26868" s="96"/>
    </row>
    <row r="26869" hidden="1">
      <c r="E26869" s="96"/>
    </row>
    <row r="26870" hidden="1">
      <c r="E26870" s="96"/>
    </row>
    <row r="26871" hidden="1">
      <c r="E26871" s="96"/>
    </row>
    <row r="26872" hidden="1">
      <c r="E26872" s="96"/>
    </row>
    <row r="26873" hidden="1">
      <c r="E26873" s="96"/>
    </row>
    <row r="26874" hidden="1">
      <c r="E26874" s="96"/>
    </row>
    <row r="26875" hidden="1">
      <c r="E26875" s="96"/>
    </row>
    <row r="26876" hidden="1">
      <c r="E26876" s="96"/>
    </row>
    <row r="26877" hidden="1">
      <c r="E26877" s="96"/>
    </row>
    <row r="26878" hidden="1">
      <c r="E26878" s="96"/>
    </row>
    <row r="26879" hidden="1">
      <c r="E26879" s="96"/>
    </row>
    <row r="26880" hidden="1">
      <c r="E26880" s="96"/>
    </row>
    <row r="26881" hidden="1">
      <c r="E26881" s="96"/>
    </row>
    <row r="26882" hidden="1">
      <c r="E26882" s="96"/>
    </row>
    <row r="26883" hidden="1">
      <c r="E26883" s="96"/>
    </row>
    <row r="26884" hidden="1">
      <c r="E26884" s="96"/>
    </row>
    <row r="26885" hidden="1">
      <c r="E26885" s="96"/>
    </row>
    <row r="26886" hidden="1">
      <c r="E26886" s="96"/>
    </row>
    <row r="26887" hidden="1">
      <c r="E26887" s="96"/>
    </row>
    <row r="26888" hidden="1">
      <c r="E26888" s="96"/>
    </row>
    <row r="26889" hidden="1">
      <c r="E26889" s="96"/>
    </row>
    <row r="26890" hidden="1">
      <c r="E26890" s="96"/>
    </row>
    <row r="26891" hidden="1">
      <c r="E26891" s="96"/>
    </row>
    <row r="26892" hidden="1">
      <c r="E26892" s="96"/>
    </row>
    <row r="26893" hidden="1">
      <c r="E26893" s="96"/>
    </row>
    <row r="26894" hidden="1">
      <c r="E26894" s="96"/>
    </row>
    <row r="26895" hidden="1">
      <c r="E26895" s="96"/>
    </row>
    <row r="26896" hidden="1">
      <c r="E26896" s="96"/>
    </row>
    <row r="26897" hidden="1">
      <c r="E26897" s="96"/>
    </row>
    <row r="26898" hidden="1">
      <c r="E26898" s="96"/>
    </row>
    <row r="26899" hidden="1">
      <c r="E26899" s="96"/>
    </row>
    <row r="26900" hidden="1">
      <c r="E26900" s="96"/>
    </row>
    <row r="26901" hidden="1">
      <c r="E26901" s="96"/>
    </row>
    <row r="26902" hidden="1">
      <c r="E26902" s="96"/>
    </row>
    <row r="26903" hidden="1">
      <c r="E26903" s="96"/>
    </row>
    <row r="26904" hidden="1">
      <c r="E26904" s="96"/>
    </row>
    <row r="26905" hidden="1">
      <c r="E26905" s="96"/>
    </row>
    <row r="26906" hidden="1">
      <c r="E26906" s="96"/>
    </row>
    <row r="26907" hidden="1">
      <c r="E26907" s="96"/>
    </row>
    <row r="26908" hidden="1">
      <c r="E26908" s="96"/>
    </row>
    <row r="26909" hidden="1">
      <c r="E26909" s="96"/>
    </row>
    <row r="26910" hidden="1">
      <c r="E26910" s="96"/>
    </row>
    <row r="26911" hidden="1">
      <c r="E26911" s="96"/>
    </row>
    <row r="26912" hidden="1">
      <c r="E26912" s="96"/>
    </row>
    <row r="26913" hidden="1">
      <c r="E26913" s="96"/>
    </row>
    <row r="26914" hidden="1">
      <c r="E26914" s="96"/>
    </row>
    <row r="26915" hidden="1">
      <c r="E26915" s="96"/>
    </row>
    <row r="26916" hidden="1">
      <c r="E26916" s="96"/>
    </row>
    <row r="26917" hidden="1">
      <c r="E26917" s="96"/>
    </row>
    <row r="26918" hidden="1">
      <c r="E26918" s="96"/>
    </row>
    <row r="26919" hidden="1">
      <c r="E26919" s="96"/>
    </row>
    <row r="26920" hidden="1">
      <c r="E26920" s="96"/>
    </row>
    <row r="26921" hidden="1">
      <c r="E26921" s="96"/>
    </row>
    <row r="26922" hidden="1">
      <c r="E26922" s="96"/>
    </row>
    <row r="26923" hidden="1">
      <c r="E26923" s="96"/>
    </row>
    <row r="26924" hidden="1">
      <c r="E26924" s="96"/>
    </row>
    <row r="26925" hidden="1">
      <c r="E26925" s="96"/>
    </row>
    <row r="26926" hidden="1">
      <c r="E26926" s="96"/>
    </row>
    <row r="26927" hidden="1">
      <c r="E26927" s="96"/>
    </row>
    <row r="26928" hidden="1">
      <c r="E26928" s="96"/>
    </row>
    <row r="26929" hidden="1">
      <c r="E26929" s="96"/>
    </row>
    <row r="26930" hidden="1">
      <c r="E26930" s="96"/>
    </row>
    <row r="26931" hidden="1">
      <c r="E26931" s="96"/>
    </row>
    <row r="26932" hidden="1">
      <c r="E26932" s="96"/>
    </row>
    <row r="26933" hidden="1">
      <c r="E26933" s="96"/>
    </row>
    <row r="26934" hidden="1">
      <c r="E26934" s="96"/>
    </row>
    <row r="26935" hidden="1">
      <c r="E26935" s="96"/>
    </row>
    <row r="26936" hidden="1">
      <c r="E26936" s="96"/>
    </row>
    <row r="26937" hidden="1">
      <c r="E26937" s="96"/>
    </row>
    <row r="26938" hidden="1">
      <c r="E26938" s="96"/>
    </row>
    <row r="26939" hidden="1">
      <c r="E26939" s="96"/>
    </row>
    <row r="26940" hidden="1">
      <c r="E26940" s="96"/>
    </row>
    <row r="26941" hidden="1">
      <c r="E26941" s="96"/>
    </row>
    <row r="26942" hidden="1">
      <c r="E26942" s="96"/>
    </row>
    <row r="26943" hidden="1">
      <c r="E26943" s="96"/>
    </row>
    <row r="26944" hidden="1">
      <c r="E26944" s="96"/>
    </row>
    <row r="26945" hidden="1">
      <c r="E26945" s="96"/>
    </row>
    <row r="26946" hidden="1">
      <c r="E26946" s="96"/>
    </row>
    <row r="26947" hidden="1">
      <c r="E26947" s="96"/>
    </row>
    <row r="26948" hidden="1">
      <c r="E26948" s="96"/>
    </row>
    <row r="26949" hidden="1">
      <c r="E26949" s="96"/>
    </row>
    <row r="26950" hidden="1">
      <c r="E26950" s="96"/>
    </row>
    <row r="26951" hidden="1">
      <c r="E26951" s="96"/>
    </row>
    <row r="26952" hidden="1">
      <c r="E26952" s="96"/>
    </row>
    <row r="26953" hidden="1">
      <c r="E26953" s="96"/>
    </row>
    <row r="26954" hidden="1">
      <c r="E26954" s="96"/>
    </row>
    <row r="26955" hidden="1">
      <c r="E26955" s="96"/>
    </row>
    <row r="26956" hidden="1">
      <c r="E26956" s="96"/>
    </row>
    <row r="26957" hidden="1">
      <c r="E26957" s="96"/>
    </row>
    <row r="26958" hidden="1">
      <c r="E26958" s="96"/>
    </row>
    <row r="26959" hidden="1">
      <c r="E26959" s="96"/>
    </row>
    <row r="26960" hidden="1">
      <c r="E26960" s="96"/>
    </row>
    <row r="26961" hidden="1">
      <c r="E26961" s="96"/>
    </row>
    <row r="26962" hidden="1">
      <c r="E26962" s="96"/>
    </row>
    <row r="26963" hidden="1">
      <c r="E26963" s="96"/>
    </row>
    <row r="26964" hidden="1">
      <c r="E26964" s="96"/>
    </row>
    <row r="26965" hidden="1">
      <c r="E26965" s="96"/>
    </row>
    <row r="26966" hidden="1">
      <c r="E26966" s="96"/>
    </row>
    <row r="26967" hidden="1">
      <c r="E26967" s="96"/>
    </row>
    <row r="26968" hidden="1">
      <c r="E26968" s="96"/>
    </row>
    <row r="26969" hidden="1">
      <c r="E26969" s="96"/>
    </row>
    <row r="26970" hidden="1">
      <c r="E26970" s="96"/>
    </row>
    <row r="26971" hidden="1">
      <c r="E26971" s="96"/>
    </row>
    <row r="26972" hidden="1">
      <c r="E26972" s="96"/>
    </row>
    <row r="26973" hidden="1">
      <c r="E26973" s="96"/>
    </row>
    <row r="26974" hidden="1">
      <c r="E26974" s="96"/>
    </row>
    <row r="26975" hidden="1">
      <c r="E26975" s="96"/>
    </row>
    <row r="26976" hidden="1">
      <c r="E26976" s="96"/>
    </row>
    <row r="26977" hidden="1">
      <c r="E26977" s="96"/>
    </row>
    <row r="26978" hidden="1">
      <c r="E26978" s="96"/>
    </row>
    <row r="26979" hidden="1">
      <c r="E26979" s="96"/>
    </row>
    <row r="26980" hidden="1">
      <c r="E26980" s="96"/>
    </row>
    <row r="26981" hidden="1">
      <c r="E26981" s="96"/>
    </row>
    <row r="26982" hidden="1">
      <c r="E26982" s="96"/>
    </row>
    <row r="26983" hidden="1">
      <c r="E26983" s="96"/>
    </row>
    <row r="26984" hidden="1">
      <c r="E26984" s="96"/>
    </row>
    <row r="26985" hidden="1">
      <c r="E26985" s="96"/>
    </row>
    <row r="26986" hidden="1">
      <c r="E26986" s="96"/>
    </row>
    <row r="26987" hidden="1">
      <c r="E26987" s="96"/>
    </row>
    <row r="26988" hidden="1">
      <c r="E26988" s="96"/>
    </row>
    <row r="26989" hidden="1">
      <c r="E26989" s="96"/>
    </row>
    <row r="26990" hidden="1">
      <c r="E26990" s="96"/>
    </row>
    <row r="26991" hidden="1">
      <c r="E26991" s="96"/>
    </row>
    <row r="26992" hidden="1">
      <c r="E26992" s="96"/>
    </row>
    <row r="26993" hidden="1">
      <c r="E26993" s="96"/>
    </row>
    <row r="26994" hidden="1">
      <c r="E26994" s="96"/>
    </row>
    <row r="26995" hidden="1">
      <c r="E26995" s="96"/>
    </row>
    <row r="26996" hidden="1">
      <c r="E26996" s="96"/>
    </row>
    <row r="26997" hidden="1">
      <c r="E26997" s="96"/>
    </row>
    <row r="26998" hidden="1">
      <c r="E26998" s="96"/>
    </row>
    <row r="26999" hidden="1">
      <c r="E26999" s="96"/>
    </row>
    <row r="27000" hidden="1">
      <c r="E27000" s="96"/>
    </row>
    <row r="27001" hidden="1">
      <c r="E27001" s="96"/>
    </row>
    <row r="27002" hidden="1">
      <c r="E27002" s="96"/>
    </row>
    <row r="27003" hidden="1">
      <c r="E27003" s="96"/>
    </row>
    <row r="27004" hidden="1">
      <c r="E27004" s="96"/>
    </row>
    <row r="27005" hidden="1">
      <c r="E27005" s="96"/>
    </row>
    <row r="27006" hidden="1">
      <c r="E27006" s="96"/>
    </row>
    <row r="27007" hidden="1">
      <c r="E27007" s="96"/>
    </row>
    <row r="27008" hidden="1">
      <c r="E27008" s="96"/>
    </row>
    <row r="27009" hidden="1">
      <c r="E27009" s="96"/>
    </row>
    <row r="27010" hidden="1">
      <c r="E27010" s="96"/>
    </row>
    <row r="27011" hidden="1">
      <c r="E27011" s="96"/>
    </row>
    <row r="27012" hidden="1">
      <c r="E27012" s="96"/>
    </row>
    <row r="27013" hidden="1">
      <c r="E27013" s="96"/>
    </row>
    <row r="27014" hidden="1">
      <c r="E27014" s="96"/>
    </row>
    <row r="27015" hidden="1">
      <c r="E27015" s="96"/>
    </row>
    <row r="27016" hidden="1">
      <c r="E27016" s="96"/>
    </row>
    <row r="27017" hidden="1">
      <c r="E27017" s="96"/>
    </row>
    <row r="27018" hidden="1">
      <c r="E27018" s="96"/>
    </row>
    <row r="27019" hidden="1">
      <c r="E27019" s="96"/>
    </row>
    <row r="27020" hidden="1">
      <c r="E27020" s="96"/>
    </row>
    <row r="27021" hidden="1">
      <c r="E27021" s="96"/>
    </row>
    <row r="27022" hidden="1">
      <c r="E27022" s="96"/>
    </row>
    <row r="27023" hidden="1">
      <c r="E27023" s="96"/>
    </row>
    <row r="27024" hidden="1">
      <c r="E27024" s="96"/>
    </row>
    <row r="27025" hidden="1">
      <c r="E27025" s="96"/>
    </row>
    <row r="27026" hidden="1">
      <c r="E27026" s="96"/>
    </row>
    <row r="27027" hidden="1">
      <c r="E27027" s="96"/>
    </row>
    <row r="27028" hidden="1">
      <c r="E27028" s="96"/>
    </row>
    <row r="27029" hidden="1">
      <c r="E27029" s="96"/>
    </row>
    <row r="27030" hidden="1">
      <c r="E27030" s="96"/>
    </row>
    <row r="27031" hidden="1">
      <c r="E27031" s="96"/>
    </row>
    <row r="27032" hidden="1">
      <c r="E27032" s="96"/>
    </row>
    <row r="27033" hidden="1">
      <c r="E27033" s="96"/>
    </row>
    <row r="27034" hidden="1">
      <c r="E27034" s="96"/>
    </row>
    <row r="27035" hidden="1">
      <c r="E27035" s="96"/>
    </row>
    <row r="27036" hidden="1">
      <c r="E27036" s="96"/>
    </row>
    <row r="27037" hidden="1">
      <c r="E27037" s="96"/>
    </row>
    <row r="27038" hidden="1">
      <c r="E27038" s="96"/>
    </row>
    <row r="27039" hidden="1">
      <c r="E27039" s="96"/>
    </row>
    <row r="27040" hidden="1">
      <c r="E27040" s="96"/>
    </row>
    <row r="27041" hidden="1">
      <c r="E27041" s="96"/>
    </row>
    <row r="27042" hidden="1">
      <c r="E27042" s="96"/>
    </row>
    <row r="27043" hidden="1">
      <c r="E27043" s="96"/>
    </row>
    <row r="27044" hidden="1">
      <c r="E27044" s="96"/>
    </row>
    <row r="27045" hidden="1">
      <c r="E27045" s="96"/>
    </row>
    <row r="27046" hidden="1">
      <c r="E27046" s="96"/>
    </row>
    <row r="27047" hidden="1">
      <c r="E27047" s="96"/>
    </row>
    <row r="27048" hidden="1">
      <c r="E27048" s="96"/>
    </row>
    <row r="27049" hidden="1">
      <c r="E27049" s="96"/>
    </row>
    <row r="27050" hidden="1">
      <c r="E27050" s="96"/>
    </row>
    <row r="27051" hidden="1">
      <c r="E27051" s="96"/>
    </row>
    <row r="27052" hidden="1">
      <c r="E27052" s="96"/>
    </row>
    <row r="27053" hidden="1">
      <c r="E27053" s="96"/>
    </row>
    <row r="27054" hidden="1">
      <c r="E27054" s="96"/>
    </row>
    <row r="27055" hidden="1">
      <c r="E27055" s="96"/>
    </row>
    <row r="27056" hidden="1">
      <c r="E27056" s="96"/>
    </row>
    <row r="27057" hidden="1">
      <c r="E27057" s="96"/>
    </row>
    <row r="27058" hidden="1">
      <c r="E27058" s="96"/>
    </row>
    <row r="27059" hidden="1">
      <c r="E27059" s="96"/>
    </row>
    <row r="27060" hidden="1">
      <c r="E27060" s="96"/>
    </row>
    <row r="27061" hidden="1">
      <c r="E27061" s="96"/>
    </row>
    <row r="27062" hidden="1">
      <c r="E27062" s="96"/>
    </row>
    <row r="27063" hidden="1">
      <c r="E27063" s="96"/>
    </row>
    <row r="27064" hidden="1">
      <c r="E27064" s="96"/>
    </row>
    <row r="27065" hidden="1">
      <c r="E27065" s="96"/>
    </row>
    <row r="27066" hidden="1">
      <c r="E27066" s="96"/>
    </row>
    <row r="27067" hidden="1">
      <c r="E27067" s="96"/>
    </row>
    <row r="27068" hidden="1">
      <c r="E27068" s="96"/>
    </row>
    <row r="27069" hidden="1">
      <c r="E27069" s="96"/>
    </row>
    <row r="27070" hidden="1">
      <c r="E27070" s="96"/>
    </row>
    <row r="27071" hidden="1">
      <c r="E27071" s="96"/>
    </row>
    <row r="27072" hidden="1">
      <c r="E27072" s="96"/>
    </row>
    <row r="27073" hidden="1">
      <c r="E27073" s="96"/>
    </row>
    <row r="27074" hidden="1">
      <c r="E27074" s="96"/>
    </row>
    <row r="27075" hidden="1">
      <c r="E27075" s="96"/>
    </row>
    <row r="27076" hidden="1">
      <c r="E27076" s="96"/>
    </row>
    <row r="27077" hidden="1">
      <c r="E27077" s="96"/>
    </row>
    <row r="27078" hidden="1">
      <c r="E27078" s="96"/>
    </row>
    <row r="27079" hidden="1">
      <c r="E27079" s="96"/>
    </row>
    <row r="27080" hidden="1">
      <c r="E27080" s="96"/>
    </row>
    <row r="27081" hidden="1">
      <c r="E27081" s="96"/>
    </row>
    <row r="27082" hidden="1">
      <c r="E27082" s="96"/>
    </row>
    <row r="27083" hidden="1">
      <c r="E27083" s="96"/>
    </row>
    <row r="27084" hidden="1">
      <c r="E27084" s="96"/>
    </row>
    <row r="27085" hidden="1">
      <c r="E27085" s="96"/>
    </row>
    <row r="27086" hidden="1">
      <c r="E27086" s="96"/>
    </row>
    <row r="27087" hidden="1">
      <c r="E27087" s="96"/>
    </row>
    <row r="27088" hidden="1">
      <c r="E27088" s="96"/>
    </row>
    <row r="27089" hidden="1">
      <c r="E27089" s="96"/>
    </row>
    <row r="27090" hidden="1">
      <c r="E27090" s="96"/>
    </row>
    <row r="27091" hidden="1">
      <c r="E27091" s="96"/>
    </row>
    <row r="27092" hidden="1">
      <c r="E27092" s="96"/>
    </row>
    <row r="27093" hidden="1">
      <c r="E27093" s="96"/>
    </row>
    <row r="27094" hidden="1">
      <c r="E27094" s="96"/>
    </row>
    <row r="27095" hidden="1">
      <c r="E27095" s="96"/>
    </row>
    <row r="27096" hidden="1">
      <c r="E27096" s="96"/>
    </row>
    <row r="27097" hidden="1">
      <c r="E27097" s="96"/>
    </row>
    <row r="27098" hidden="1">
      <c r="E27098" s="96"/>
    </row>
    <row r="27099" hidden="1">
      <c r="E27099" s="96"/>
    </row>
    <row r="27100" hidden="1">
      <c r="E27100" s="96"/>
    </row>
    <row r="27101" hidden="1">
      <c r="E27101" s="96"/>
    </row>
    <row r="27102" hidden="1">
      <c r="E27102" s="96"/>
    </row>
    <row r="27103" hidden="1">
      <c r="E27103" s="96"/>
    </row>
    <row r="27104" hidden="1">
      <c r="E27104" s="96"/>
    </row>
    <row r="27105" hidden="1">
      <c r="E27105" s="96"/>
    </row>
    <row r="27106" hidden="1">
      <c r="E27106" s="96"/>
    </row>
    <row r="27107" hidden="1">
      <c r="E27107" s="96"/>
    </row>
    <row r="27108" hidden="1">
      <c r="E27108" s="96"/>
    </row>
    <row r="27109" hidden="1">
      <c r="E27109" s="96"/>
    </row>
    <row r="27110" hidden="1">
      <c r="E27110" s="96"/>
    </row>
    <row r="27111" hidden="1">
      <c r="E27111" s="96"/>
    </row>
    <row r="27112" hidden="1">
      <c r="E27112" s="96"/>
    </row>
    <row r="27113" hidden="1">
      <c r="E27113" s="96"/>
    </row>
    <row r="27114" hidden="1">
      <c r="E27114" s="96"/>
    </row>
    <row r="27115" hidden="1">
      <c r="E27115" s="96"/>
    </row>
    <row r="27116" hidden="1">
      <c r="E27116" s="96"/>
    </row>
    <row r="27117" hidden="1">
      <c r="E27117" s="96"/>
    </row>
    <row r="27118" hidden="1">
      <c r="E27118" s="96"/>
    </row>
    <row r="27119" hidden="1">
      <c r="E27119" s="96"/>
    </row>
    <row r="27120" hidden="1">
      <c r="E27120" s="96"/>
    </row>
    <row r="27121" hidden="1">
      <c r="E27121" s="96"/>
    </row>
    <row r="27122" hidden="1">
      <c r="E27122" s="96"/>
    </row>
    <row r="27123" hidden="1">
      <c r="E27123" s="96"/>
    </row>
    <row r="27124" hidden="1">
      <c r="E27124" s="96"/>
    </row>
    <row r="27125" hidden="1">
      <c r="E27125" s="96"/>
    </row>
    <row r="27126" hidden="1">
      <c r="E27126" s="96"/>
    </row>
    <row r="27127" hidden="1">
      <c r="E27127" s="96"/>
    </row>
    <row r="27128" hidden="1">
      <c r="E27128" s="96"/>
    </row>
    <row r="27129" hidden="1">
      <c r="E27129" s="96"/>
    </row>
    <row r="27130" hidden="1">
      <c r="E27130" s="96"/>
    </row>
    <row r="27131" hidden="1">
      <c r="E27131" s="96"/>
    </row>
    <row r="27132" hidden="1">
      <c r="E27132" s="96"/>
    </row>
    <row r="27133" hidden="1">
      <c r="E27133" s="96"/>
    </row>
    <row r="27134" hidden="1">
      <c r="E27134" s="96"/>
    </row>
    <row r="27135" hidden="1">
      <c r="E27135" s="96"/>
    </row>
    <row r="27136" hidden="1">
      <c r="E27136" s="96"/>
    </row>
    <row r="27137" hidden="1">
      <c r="E27137" s="96"/>
    </row>
    <row r="27138" hidden="1">
      <c r="E27138" s="96"/>
    </row>
    <row r="27139" hidden="1">
      <c r="E27139" s="96"/>
    </row>
    <row r="27140" hidden="1">
      <c r="E27140" s="96"/>
    </row>
    <row r="27141" hidden="1">
      <c r="E27141" s="96"/>
    </row>
    <row r="27142" hidden="1">
      <c r="E27142" s="96"/>
    </row>
    <row r="27143" hidden="1">
      <c r="E27143" s="96"/>
    </row>
    <row r="27144" hidden="1">
      <c r="E27144" s="96"/>
    </row>
    <row r="27145" hidden="1">
      <c r="E27145" s="96"/>
    </row>
    <row r="27146" hidden="1">
      <c r="E27146" s="96"/>
    </row>
    <row r="27147" hidden="1">
      <c r="E27147" s="96"/>
    </row>
    <row r="27148" hidden="1">
      <c r="E27148" s="96"/>
    </row>
    <row r="27149" hidden="1">
      <c r="E27149" s="96"/>
    </row>
    <row r="27150" hidden="1">
      <c r="E27150" s="96"/>
    </row>
    <row r="27151" hidden="1">
      <c r="E27151" s="96"/>
    </row>
    <row r="27152" hidden="1">
      <c r="E27152" s="96"/>
    </row>
    <row r="27153" hidden="1">
      <c r="E27153" s="96"/>
    </row>
    <row r="27154" hidden="1">
      <c r="E27154" s="96"/>
    </row>
    <row r="27155" hidden="1">
      <c r="E27155" s="96"/>
    </row>
    <row r="27156" hidden="1">
      <c r="E27156" s="96"/>
    </row>
    <row r="27157" hidden="1">
      <c r="E27157" s="96"/>
    </row>
    <row r="27158" hidden="1">
      <c r="E27158" s="96"/>
    </row>
    <row r="27159" hidden="1">
      <c r="E27159" s="96"/>
    </row>
    <row r="27160" hidden="1">
      <c r="E27160" s="96"/>
    </row>
    <row r="27161" hidden="1">
      <c r="E27161" s="96"/>
    </row>
    <row r="27162" hidden="1">
      <c r="E27162" s="96"/>
    </row>
    <row r="27163" hidden="1">
      <c r="E27163" s="96"/>
    </row>
    <row r="27164" hidden="1">
      <c r="E27164" s="96"/>
    </row>
    <row r="27165" hidden="1">
      <c r="E27165" s="96"/>
    </row>
    <row r="27166" hidden="1">
      <c r="E27166" s="96"/>
    </row>
    <row r="27167" hidden="1">
      <c r="E27167" s="96"/>
    </row>
    <row r="27168" hidden="1">
      <c r="E27168" s="96"/>
    </row>
    <row r="27169" hidden="1">
      <c r="E27169" s="96"/>
    </row>
    <row r="27170" hidden="1">
      <c r="E27170" s="96"/>
    </row>
    <row r="27171" hidden="1">
      <c r="E27171" s="96"/>
    </row>
    <row r="27172" hidden="1">
      <c r="E27172" s="96"/>
    </row>
    <row r="27173" hidden="1">
      <c r="E27173" s="96"/>
    </row>
    <row r="27174" hidden="1">
      <c r="E27174" s="96"/>
    </row>
    <row r="27175" hidden="1">
      <c r="E27175" s="96"/>
    </row>
    <row r="27176" hidden="1">
      <c r="E27176" s="96"/>
    </row>
    <row r="27177" hidden="1">
      <c r="E27177" s="96"/>
    </row>
    <row r="27178" hidden="1">
      <c r="E27178" s="96"/>
    </row>
    <row r="27179" hidden="1">
      <c r="E27179" s="96"/>
    </row>
    <row r="27180" hidden="1">
      <c r="E27180" s="96"/>
    </row>
    <row r="27181" hidden="1">
      <c r="E27181" s="96"/>
    </row>
    <row r="27182" hidden="1">
      <c r="E27182" s="96"/>
    </row>
    <row r="27183" hidden="1">
      <c r="E27183" s="96"/>
    </row>
    <row r="27184" hidden="1">
      <c r="E27184" s="96"/>
    </row>
    <row r="27185" hidden="1">
      <c r="E27185" s="96"/>
    </row>
    <row r="27186" hidden="1">
      <c r="E27186" s="96"/>
    </row>
    <row r="27187" hidden="1">
      <c r="E27187" s="96"/>
    </row>
    <row r="27188" hidden="1">
      <c r="E27188" s="96"/>
    </row>
    <row r="27189" hidden="1">
      <c r="E27189" s="96"/>
    </row>
    <row r="27190" hidden="1">
      <c r="E27190" s="96"/>
    </row>
    <row r="27191" hidden="1">
      <c r="E27191" s="96"/>
    </row>
    <row r="27192" hidden="1">
      <c r="E27192" s="96"/>
    </row>
    <row r="27193" hidden="1">
      <c r="E27193" s="96"/>
    </row>
    <row r="27194" hidden="1">
      <c r="E27194" s="96"/>
    </row>
    <row r="27195" hidden="1">
      <c r="E27195" s="96"/>
    </row>
    <row r="27196" hidden="1">
      <c r="E27196" s="96"/>
    </row>
    <row r="27197" hidden="1">
      <c r="E27197" s="96"/>
    </row>
    <row r="27198" hidden="1">
      <c r="E27198" s="96"/>
    </row>
    <row r="27199" hidden="1">
      <c r="E27199" s="96"/>
    </row>
    <row r="27200" hidden="1">
      <c r="E27200" s="96"/>
    </row>
    <row r="27201" hidden="1">
      <c r="E27201" s="96"/>
    </row>
    <row r="27202" hidden="1">
      <c r="E27202" s="96"/>
    </row>
    <row r="27203" hidden="1">
      <c r="E27203" s="96"/>
    </row>
    <row r="27204" hidden="1">
      <c r="E27204" s="96"/>
    </row>
    <row r="27205" hidden="1">
      <c r="E27205" s="96"/>
    </row>
    <row r="27206" hidden="1">
      <c r="E27206" s="96"/>
    </row>
    <row r="27207" hidden="1">
      <c r="E27207" s="96"/>
    </row>
    <row r="27208" hidden="1">
      <c r="E27208" s="96"/>
    </row>
    <row r="27209" hidden="1">
      <c r="E27209" s="96"/>
    </row>
    <row r="27210" hidden="1">
      <c r="E27210" s="96"/>
    </row>
    <row r="27211" hidden="1">
      <c r="E27211" s="96"/>
    </row>
    <row r="27212" hidden="1">
      <c r="E27212" s="96"/>
    </row>
    <row r="27213" hidden="1">
      <c r="E27213" s="96"/>
    </row>
    <row r="27214" hidden="1">
      <c r="E27214" s="96"/>
    </row>
    <row r="27215" hidden="1">
      <c r="E27215" s="96"/>
    </row>
    <row r="27216" hidden="1">
      <c r="E27216" s="96"/>
    </row>
    <row r="27217" hidden="1">
      <c r="E27217" s="96"/>
    </row>
    <row r="27218" hidden="1">
      <c r="E27218" s="96"/>
    </row>
    <row r="27219" hidden="1">
      <c r="E27219" s="96"/>
    </row>
    <row r="27220" hidden="1">
      <c r="E27220" s="96"/>
    </row>
    <row r="27221" hidden="1">
      <c r="E27221" s="96"/>
    </row>
    <row r="27222" hidden="1">
      <c r="E27222" s="96"/>
    </row>
    <row r="27223" hidden="1">
      <c r="E27223" s="96"/>
    </row>
    <row r="27224" hidden="1">
      <c r="E27224" s="96"/>
    </row>
    <row r="27225" hidden="1">
      <c r="E27225" s="96"/>
    </row>
    <row r="27226" hidden="1">
      <c r="E27226" s="96"/>
    </row>
    <row r="27227" hidden="1">
      <c r="E27227" s="96"/>
    </row>
    <row r="27228" hidden="1">
      <c r="E27228" s="96"/>
    </row>
    <row r="27229" hidden="1">
      <c r="E27229" s="96"/>
    </row>
    <row r="27230" hidden="1">
      <c r="E27230" s="96"/>
    </row>
    <row r="27231" hidden="1">
      <c r="E27231" s="96"/>
    </row>
    <row r="27232" hidden="1">
      <c r="E27232" s="96"/>
    </row>
    <row r="27233" hidden="1">
      <c r="E27233" s="96"/>
    </row>
    <row r="27234" hidden="1">
      <c r="E27234" s="96"/>
    </row>
    <row r="27235" hidden="1">
      <c r="E27235" s="96"/>
    </row>
    <row r="27236" hidden="1">
      <c r="E27236" s="96"/>
    </row>
    <row r="27237" hidden="1">
      <c r="E27237" s="96"/>
    </row>
    <row r="27238" hidden="1">
      <c r="E27238" s="96"/>
    </row>
    <row r="27239" hidden="1">
      <c r="E27239" s="96"/>
    </row>
    <row r="27240" hidden="1">
      <c r="E27240" s="96"/>
    </row>
    <row r="27241" hidden="1">
      <c r="E27241" s="96"/>
    </row>
    <row r="27242" hidden="1">
      <c r="E27242" s="96"/>
    </row>
    <row r="27243" hidden="1">
      <c r="E27243" s="96"/>
    </row>
    <row r="27244" hidden="1">
      <c r="E27244" s="96"/>
    </row>
    <row r="27245" hidden="1">
      <c r="E27245" s="96"/>
    </row>
    <row r="27246" hidden="1">
      <c r="E27246" s="96"/>
    </row>
    <row r="27247" hidden="1">
      <c r="E27247" s="96"/>
    </row>
    <row r="27248" hidden="1">
      <c r="E27248" s="96"/>
    </row>
    <row r="27249" hidden="1">
      <c r="E27249" s="96"/>
    </row>
    <row r="27250" hidden="1">
      <c r="E27250" s="96"/>
    </row>
    <row r="27251" hidden="1">
      <c r="E27251" s="96"/>
    </row>
    <row r="27252" hidden="1">
      <c r="E27252" s="96"/>
    </row>
    <row r="27253" hidden="1">
      <c r="E27253" s="96"/>
    </row>
    <row r="27254" hidden="1">
      <c r="E27254" s="96"/>
    </row>
    <row r="27255" hidden="1">
      <c r="E27255" s="96"/>
    </row>
    <row r="27256" hidden="1">
      <c r="E27256" s="96"/>
    </row>
    <row r="27257" hidden="1">
      <c r="E27257" s="96"/>
    </row>
    <row r="27258" hidden="1">
      <c r="E27258" s="96"/>
    </row>
    <row r="27259" hidden="1">
      <c r="E27259" s="96"/>
    </row>
    <row r="27260" hidden="1">
      <c r="E27260" s="96"/>
    </row>
    <row r="27261" hidden="1">
      <c r="E27261" s="96"/>
    </row>
    <row r="27262" hidden="1">
      <c r="E27262" s="96"/>
    </row>
    <row r="27263" hidden="1">
      <c r="E27263" s="96"/>
    </row>
    <row r="27264" hidden="1">
      <c r="E27264" s="96"/>
    </row>
    <row r="27265" hidden="1">
      <c r="E27265" s="96"/>
    </row>
    <row r="27266" hidden="1">
      <c r="E27266" s="96"/>
    </row>
    <row r="27267" hidden="1">
      <c r="E27267" s="96"/>
    </row>
    <row r="27268" hidden="1">
      <c r="E27268" s="96"/>
    </row>
    <row r="27269" hidden="1">
      <c r="E27269" s="96"/>
    </row>
    <row r="27270" hidden="1">
      <c r="E27270" s="96"/>
    </row>
    <row r="27271" hidden="1">
      <c r="E27271" s="96"/>
    </row>
    <row r="27272" hidden="1">
      <c r="E27272" s="96"/>
    </row>
    <row r="27273" hidden="1">
      <c r="E27273" s="96"/>
    </row>
    <row r="27274" hidden="1">
      <c r="E27274" s="96"/>
    </row>
    <row r="27275" hidden="1">
      <c r="E27275" s="96"/>
    </row>
    <row r="27276" hidden="1">
      <c r="E27276" s="96"/>
    </row>
    <row r="27277" hidden="1">
      <c r="E27277" s="96"/>
    </row>
    <row r="27278" hidden="1">
      <c r="E27278" s="96"/>
    </row>
    <row r="27279" hidden="1">
      <c r="E27279" s="96"/>
    </row>
    <row r="27280" hidden="1">
      <c r="E27280" s="96"/>
    </row>
    <row r="27281" hidden="1">
      <c r="E27281" s="96"/>
    </row>
    <row r="27282" hidden="1">
      <c r="E27282" s="96"/>
    </row>
    <row r="27283" hidden="1">
      <c r="E27283" s="96"/>
    </row>
    <row r="27284" hidden="1">
      <c r="E27284" s="96"/>
    </row>
    <row r="27285" hidden="1">
      <c r="E27285" s="96"/>
    </row>
    <row r="27286" hidden="1">
      <c r="E27286" s="96"/>
    </row>
    <row r="27287" hidden="1">
      <c r="E27287" s="96"/>
    </row>
    <row r="27288" hidden="1">
      <c r="E27288" s="96"/>
    </row>
    <row r="27289" hidden="1">
      <c r="E27289" s="96"/>
    </row>
    <row r="27290" hidden="1">
      <c r="E27290" s="96"/>
    </row>
    <row r="27291" hidden="1">
      <c r="E27291" s="96"/>
    </row>
    <row r="27292" hidden="1">
      <c r="E27292" s="96"/>
    </row>
    <row r="27293" hidden="1">
      <c r="E27293" s="96"/>
    </row>
    <row r="27294" hidden="1">
      <c r="E27294" s="96"/>
    </row>
    <row r="27295" hidden="1">
      <c r="E27295" s="96"/>
    </row>
    <row r="27296" hidden="1">
      <c r="E27296" s="96"/>
    </row>
    <row r="27297" hidden="1">
      <c r="E27297" s="96"/>
    </row>
    <row r="27298" hidden="1">
      <c r="E27298" s="96"/>
    </row>
    <row r="27299" hidden="1">
      <c r="E27299" s="96"/>
    </row>
    <row r="27300" hidden="1">
      <c r="E27300" s="96"/>
    </row>
    <row r="27301" hidden="1">
      <c r="E27301" s="96"/>
    </row>
    <row r="27302" hidden="1">
      <c r="E27302" s="96"/>
    </row>
    <row r="27303" hidden="1">
      <c r="E27303" s="96"/>
    </row>
    <row r="27304" hidden="1">
      <c r="E27304" s="96"/>
    </row>
    <row r="27305" hidden="1">
      <c r="E27305" s="96"/>
    </row>
    <row r="27306" hidden="1">
      <c r="E27306" s="96"/>
    </row>
    <row r="27307" hidden="1">
      <c r="E27307" s="96"/>
    </row>
    <row r="27308" hidden="1">
      <c r="E27308" s="96"/>
    </row>
    <row r="27309" hidden="1">
      <c r="E27309" s="96"/>
    </row>
    <row r="27310" hidden="1">
      <c r="E27310" s="96"/>
    </row>
    <row r="27311" hidden="1">
      <c r="E27311" s="96"/>
    </row>
    <row r="27312" hidden="1">
      <c r="E27312" s="96"/>
    </row>
    <row r="27313" hidden="1">
      <c r="E27313" s="96"/>
    </row>
    <row r="27314" hidden="1">
      <c r="E27314" s="96"/>
    </row>
    <row r="27315" hidden="1">
      <c r="E27315" s="96"/>
    </row>
    <row r="27316" hidden="1">
      <c r="E27316" s="96"/>
    </row>
    <row r="27317" hidden="1">
      <c r="E27317" s="96"/>
    </row>
    <row r="27318" hidden="1">
      <c r="E27318" s="96"/>
    </row>
    <row r="27319" hidden="1">
      <c r="E27319" s="96"/>
    </row>
    <row r="27320" hidden="1">
      <c r="E27320" s="96"/>
    </row>
    <row r="27321" hidden="1">
      <c r="E27321" s="96"/>
    </row>
    <row r="27322" hidden="1">
      <c r="E27322" s="96"/>
    </row>
    <row r="27323" hidden="1">
      <c r="E27323" s="96"/>
    </row>
    <row r="27324" hidden="1">
      <c r="E27324" s="96"/>
    </row>
    <row r="27325" hidden="1">
      <c r="E27325" s="96"/>
    </row>
    <row r="27326" hidden="1">
      <c r="E27326" s="96"/>
    </row>
    <row r="27327" hidden="1">
      <c r="E27327" s="96"/>
    </row>
    <row r="27328" hidden="1">
      <c r="E27328" s="96"/>
    </row>
    <row r="27329" hidden="1">
      <c r="E27329" s="96"/>
    </row>
    <row r="27330" hidden="1">
      <c r="E27330" s="96"/>
    </row>
    <row r="27331" hidden="1">
      <c r="E27331" s="96"/>
    </row>
    <row r="27332" hidden="1">
      <c r="E27332" s="96"/>
    </row>
    <row r="27333" hidden="1">
      <c r="E27333" s="96"/>
    </row>
    <row r="27334" hidden="1">
      <c r="E27334" s="96"/>
    </row>
    <row r="27335" hidden="1">
      <c r="E27335" s="96"/>
    </row>
    <row r="27336" hidden="1">
      <c r="E27336" s="96"/>
    </row>
    <row r="27337" hidden="1">
      <c r="E27337" s="96"/>
    </row>
    <row r="27338" hidden="1">
      <c r="E27338" s="96"/>
    </row>
    <row r="27339" hidden="1">
      <c r="E27339" s="96"/>
    </row>
    <row r="27340" hidden="1">
      <c r="E27340" s="96"/>
    </row>
    <row r="27341" hidden="1">
      <c r="E27341" s="96"/>
    </row>
    <row r="27342" hidden="1">
      <c r="E27342" s="96"/>
    </row>
    <row r="27343" hidden="1">
      <c r="E27343" s="96"/>
    </row>
    <row r="27344" hidden="1">
      <c r="E27344" s="96"/>
    </row>
    <row r="27345" hidden="1">
      <c r="E27345" s="96"/>
    </row>
    <row r="27346" hidden="1">
      <c r="E27346" s="96"/>
    </row>
    <row r="27347" hidden="1">
      <c r="E27347" s="96"/>
    </row>
    <row r="27348" hidden="1">
      <c r="E27348" s="96"/>
    </row>
    <row r="27349" hidden="1">
      <c r="E27349" s="96"/>
    </row>
    <row r="27350" hidden="1">
      <c r="E27350" s="96"/>
    </row>
    <row r="27351" hidden="1">
      <c r="E27351" s="96"/>
    </row>
    <row r="27352" hidden="1">
      <c r="E27352" s="96"/>
    </row>
    <row r="27353" hidden="1">
      <c r="E27353" s="96"/>
    </row>
    <row r="27354" hidden="1">
      <c r="E27354" s="96"/>
    </row>
    <row r="27355" hidden="1">
      <c r="E27355" s="96"/>
    </row>
    <row r="27356" hidden="1">
      <c r="E27356" s="96"/>
    </row>
    <row r="27357" hidden="1">
      <c r="E27357" s="96"/>
    </row>
    <row r="27358" hidden="1">
      <c r="E27358" s="96"/>
    </row>
    <row r="27359" hidden="1">
      <c r="E27359" s="96"/>
    </row>
    <row r="27360" hidden="1">
      <c r="E27360" s="96"/>
    </row>
    <row r="27361" hidden="1">
      <c r="E27361" s="96"/>
    </row>
    <row r="27362" hidden="1">
      <c r="E27362" s="96"/>
    </row>
    <row r="27363" hidden="1">
      <c r="E27363" s="96"/>
    </row>
    <row r="27364" hidden="1">
      <c r="E27364" s="96"/>
    </row>
    <row r="27365" hidden="1">
      <c r="E27365" s="96"/>
    </row>
    <row r="27366" hidden="1">
      <c r="E27366" s="96"/>
    </row>
    <row r="27367" hidden="1">
      <c r="E27367" s="96"/>
    </row>
    <row r="27368" hidden="1">
      <c r="E27368" s="96"/>
    </row>
    <row r="27369" hidden="1">
      <c r="E27369" s="96"/>
    </row>
    <row r="27370" hidden="1">
      <c r="E27370" s="96"/>
    </row>
    <row r="27371" hidden="1">
      <c r="E27371" s="96"/>
    </row>
    <row r="27372" hidden="1">
      <c r="E27372" s="96"/>
    </row>
    <row r="27373" hidden="1">
      <c r="E27373" s="96"/>
    </row>
    <row r="27374" hidden="1">
      <c r="E27374" s="96"/>
    </row>
    <row r="27375" hidden="1">
      <c r="E27375" s="96"/>
    </row>
    <row r="27376" hidden="1">
      <c r="E27376" s="96"/>
    </row>
    <row r="27377" hidden="1">
      <c r="E27377" s="96"/>
    </row>
    <row r="27378" hidden="1">
      <c r="E27378" s="96"/>
    </row>
    <row r="27379" hidden="1">
      <c r="E27379" s="96"/>
    </row>
    <row r="27380" hidden="1">
      <c r="E27380" s="96"/>
    </row>
    <row r="27381" hidden="1">
      <c r="E27381" s="96"/>
    </row>
    <row r="27382" hidden="1">
      <c r="E27382" s="96"/>
    </row>
    <row r="27383" hidden="1">
      <c r="E27383" s="96"/>
    </row>
    <row r="27384" hidden="1">
      <c r="E27384" s="96"/>
    </row>
    <row r="27385" hidden="1">
      <c r="E27385" s="96"/>
    </row>
    <row r="27386" hidden="1">
      <c r="E27386" s="96"/>
    </row>
    <row r="27387" hidden="1">
      <c r="E27387" s="96"/>
    </row>
    <row r="27388" hidden="1">
      <c r="E27388" s="96"/>
    </row>
    <row r="27389" hidden="1">
      <c r="E27389" s="96"/>
    </row>
    <row r="27390" hidden="1">
      <c r="E27390" s="96"/>
    </row>
    <row r="27391" hidden="1">
      <c r="E27391" s="96"/>
    </row>
    <row r="27392" hidden="1">
      <c r="E27392" s="96"/>
    </row>
    <row r="27393" hidden="1">
      <c r="E27393" s="96"/>
    </row>
    <row r="27394" hidden="1">
      <c r="E27394" s="96"/>
    </row>
    <row r="27395" hidden="1">
      <c r="E27395" s="96"/>
    </row>
    <row r="27396" hidden="1">
      <c r="E27396" s="96"/>
    </row>
    <row r="27397" hidden="1">
      <c r="E27397" s="96"/>
    </row>
    <row r="27398" hidden="1">
      <c r="E27398" s="96"/>
    </row>
    <row r="27399" hidden="1">
      <c r="E27399" s="96"/>
    </row>
    <row r="27400" hidden="1">
      <c r="E27400" s="96"/>
    </row>
    <row r="27401" hidden="1">
      <c r="E27401" s="96"/>
    </row>
    <row r="27402" hidden="1">
      <c r="E27402" s="96"/>
    </row>
    <row r="27403" hidden="1">
      <c r="E27403" s="96"/>
    </row>
    <row r="27404" hidden="1">
      <c r="E27404" s="96"/>
    </row>
    <row r="27405" hidden="1">
      <c r="E27405" s="96"/>
    </row>
    <row r="27406" hidden="1">
      <c r="E27406" s="96"/>
    </row>
    <row r="27407" hidden="1">
      <c r="E27407" s="96"/>
    </row>
    <row r="27408" hidden="1">
      <c r="E27408" s="96"/>
    </row>
    <row r="27409" hidden="1">
      <c r="E27409" s="96"/>
    </row>
    <row r="27410" hidden="1">
      <c r="E27410" s="96"/>
    </row>
    <row r="27411" hidden="1">
      <c r="E27411" s="96"/>
    </row>
    <row r="27412" hidden="1">
      <c r="E27412" s="96"/>
    </row>
    <row r="27413" hidden="1">
      <c r="E27413" s="96"/>
    </row>
    <row r="27414" hidden="1">
      <c r="E27414" s="96"/>
    </row>
    <row r="27415" hidden="1">
      <c r="E27415" s="96"/>
    </row>
    <row r="27416" hidden="1">
      <c r="E27416" s="96"/>
    </row>
    <row r="27417" hidden="1">
      <c r="E27417" s="96"/>
    </row>
    <row r="27418" hidden="1">
      <c r="E27418" s="96"/>
    </row>
    <row r="27419" hidden="1">
      <c r="E27419" s="96"/>
    </row>
    <row r="27420" hidden="1">
      <c r="E27420" s="96"/>
    </row>
    <row r="27421" hidden="1">
      <c r="E27421" s="96"/>
    </row>
    <row r="27422" hidden="1">
      <c r="E27422" s="96"/>
    </row>
    <row r="27423" hidden="1">
      <c r="E27423" s="96"/>
    </row>
    <row r="27424" hidden="1">
      <c r="E27424" s="96"/>
    </row>
    <row r="27425" hidden="1">
      <c r="E27425" s="96"/>
    </row>
    <row r="27426" hidden="1">
      <c r="E27426" s="96"/>
    </row>
    <row r="27427" hidden="1">
      <c r="E27427" s="96"/>
    </row>
    <row r="27428" hidden="1">
      <c r="E27428" s="96"/>
    </row>
    <row r="27429" hidden="1">
      <c r="E27429" s="96"/>
    </row>
    <row r="27430" hidden="1">
      <c r="E27430" s="96"/>
    </row>
    <row r="27431" hidden="1">
      <c r="E27431" s="96"/>
    </row>
    <row r="27432" hidden="1">
      <c r="E27432" s="96"/>
    </row>
    <row r="27433" hidden="1">
      <c r="E27433" s="96"/>
    </row>
    <row r="27434" hidden="1">
      <c r="E27434" s="96"/>
    </row>
    <row r="27435" hidden="1">
      <c r="E27435" s="96"/>
    </row>
    <row r="27436" hidden="1">
      <c r="E27436" s="96"/>
    </row>
    <row r="27437" hidden="1">
      <c r="E27437" s="96"/>
    </row>
    <row r="27438" hidden="1">
      <c r="E27438" s="96"/>
    </row>
    <row r="27439" hidden="1">
      <c r="E27439" s="96"/>
    </row>
    <row r="27440" hidden="1">
      <c r="E27440" s="96"/>
    </row>
    <row r="27441" hidden="1">
      <c r="E27441" s="96"/>
    </row>
    <row r="27442" hidden="1">
      <c r="E27442" s="96"/>
    </row>
    <row r="27443" hidden="1">
      <c r="E27443" s="96"/>
    </row>
    <row r="27444" hidden="1">
      <c r="E27444" s="96"/>
    </row>
    <row r="27445" hidden="1">
      <c r="E27445" s="96"/>
    </row>
    <row r="27446" hidden="1">
      <c r="E27446" s="96"/>
    </row>
    <row r="27447" hidden="1">
      <c r="E27447" s="96"/>
    </row>
    <row r="27448" hidden="1">
      <c r="E27448" s="96"/>
    </row>
    <row r="27449" hidden="1">
      <c r="E27449" s="96"/>
    </row>
    <row r="27450" hidden="1">
      <c r="E27450" s="96"/>
    </row>
    <row r="27451" hidden="1">
      <c r="E27451" s="96"/>
    </row>
    <row r="27452" hidden="1">
      <c r="E27452" s="96"/>
    </row>
    <row r="27453" hidden="1">
      <c r="E27453" s="96"/>
    </row>
    <row r="27454" hidden="1">
      <c r="E27454" s="96"/>
    </row>
    <row r="27455" hidden="1">
      <c r="E27455" s="96"/>
    </row>
    <row r="27456" hidden="1">
      <c r="E27456" s="96"/>
    </row>
    <row r="27457" hidden="1">
      <c r="E27457" s="96"/>
    </row>
    <row r="27458" hidden="1">
      <c r="E27458" s="96"/>
    </row>
    <row r="27459" hidden="1">
      <c r="E27459" s="96"/>
    </row>
    <row r="27460" hidden="1">
      <c r="E27460" s="96"/>
    </row>
    <row r="27461" hidden="1">
      <c r="E27461" s="96"/>
    </row>
    <row r="27462" hidden="1">
      <c r="E27462" s="96"/>
    </row>
    <row r="27463" hidden="1">
      <c r="E27463" s="96"/>
    </row>
    <row r="27464" hidden="1">
      <c r="E27464" s="96"/>
    </row>
    <row r="27465" hidden="1">
      <c r="E27465" s="96"/>
    </row>
    <row r="27466" hidden="1">
      <c r="E27466" s="96"/>
    </row>
    <row r="27467" hidden="1">
      <c r="E27467" s="96"/>
    </row>
    <row r="27468" hidden="1">
      <c r="E27468" s="96"/>
    </row>
    <row r="27469" hidden="1">
      <c r="E27469" s="96"/>
    </row>
    <row r="27470" hidden="1">
      <c r="E27470" s="96"/>
    </row>
    <row r="27471" hidden="1">
      <c r="E27471" s="96"/>
    </row>
    <row r="27472" hidden="1">
      <c r="E27472" s="96"/>
    </row>
    <row r="27473" hidden="1">
      <c r="E27473" s="96"/>
    </row>
    <row r="27474" hidden="1">
      <c r="E27474" s="96"/>
    </row>
    <row r="27475" hidden="1">
      <c r="E27475" s="96"/>
    </row>
    <row r="27476" hidden="1">
      <c r="E27476" s="96"/>
    </row>
    <row r="27477" hidden="1">
      <c r="E27477" s="96"/>
    </row>
    <row r="27478" hidden="1">
      <c r="E27478" s="96"/>
    </row>
    <row r="27479" hidden="1">
      <c r="E27479" s="96"/>
    </row>
    <row r="27480" hidden="1">
      <c r="E27480" s="96"/>
    </row>
    <row r="27481" hidden="1">
      <c r="E27481" s="96"/>
    </row>
    <row r="27482" hidden="1">
      <c r="E27482" s="96"/>
    </row>
    <row r="27483" hidden="1">
      <c r="E27483" s="96"/>
    </row>
    <row r="27484" hidden="1">
      <c r="E27484" s="96"/>
    </row>
    <row r="27485" hidden="1">
      <c r="E27485" s="96"/>
    </row>
    <row r="27486" hidden="1">
      <c r="E27486" s="96"/>
    </row>
    <row r="27487" hidden="1">
      <c r="E27487" s="96"/>
    </row>
    <row r="27488" hidden="1">
      <c r="E27488" s="96"/>
    </row>
    <row r="27489" hidden="1">
      <c r="E27489" s="96"/>
    </row>
    <row r="27490" hidden="1">
      <c r="E27490" s="96"/>
    </row>
    <row r="27491" hidden="1">
      <c r="E27491" s="96"/>
    </row>
    <row r="27492" hidden="1">
      <c r="E27492" s="96"/>
    </row>
    <row r="27493" hidden="1">
      <c r="E27493" s="96"/>
    </row>
    <row r="27494" hidden="1">
      <c r="E27494" s="96"/>
    </row>
    <row r="27495" hidden="1">
      <c r="E27495" s="96"/>
    </row>
    <row r="27496" hidden="1">
      <c r="E27496" s="96"/>
    </row>
    <row r="27497" hidden="1">
      <c r="E27497" s="96"/>
    </row>
    <row r="27498" hidden="1">
      <c r="E27498" s="96"/>
    </row>
    <row r="27499" hidden="1">
      <c r="E27499" s="96"/>
    </row>
    <row r="27500" hidden="1">
      <c r="E27500" s="96"/>
    </row>
    <row r="27501" hidden="1">
      <c r="E27501" s="96"/>
    </row>
    <row r="27502" hidden="1">
      <c r="E27502" s="96"/>
    </row>
    <row r="27503" hidden="1">
      <c r="E27503" s="96"/>
    </row>
    <row r="27504" hidden="1">
      <c r="E27504" s="96"/>
    </row>
    <row r="27505" hidden="1">
      <c r="E27505" s="96"/>
    </row>
    <row r="27506" hidden="1">
      <c r="E27506" s="96"/>
    </row>
    <row r="27507" hidden="1">
      <c r="E27507" s="96"/>
    </row>
    <row r="27508" hidden="1">
      <c r="E27508" s="96"/>
    </row>
    <row r="27509" hidden="1">
      <c r="E27509" s="96"/>
    </row>
    <row r="27510" hidden="1">
      <c r="E27510" s="96"/>
    </row>
    <row r="27511" hidden="1">
      <c r="E27511" s="96"/>
    </row>
    <row r="27512" hidden="1">
      <c r="E27512" s="96"/>
    </row>
    <row r="27513" hidden="1">
      <c r="E27513" s="96"/>
    </row>
    <row r="27514" hidden="1">
      <c r="E27514" s="96"/>
    </row>
    <row r="27515" hidden="1">
      <c r="E27515" s="96"/>
    </row>
    <row r="27516" hidden="1">
      <c r="E27516" s="96"/>
    </row>
    <row r="27517" hidden="1">
      <c r="E27517" s="96"/>
    </row>
    <row r="27518" hidden="1">
      <c r="E27518" s="96"/>
    </row>
    <row r="27519" hidden="1">
      <c r="E27519" s="96"/>
    </row>
    <row r="27520" hidden="1">
      <c r="E27520" s="96"/>
    </row>
    <row r="27521" hidden="1">
      <c r="E27521" s="96"/>
    </row>
    <row r="27522" hidden="1">
      <c r="E27522" s="96"/>
    </row>
    <row r="27523" hidden="1">
      <c r="E27523" s="96"/>
    </row>
    <row r="27524" hidden="1">
      <c r="E27524" s="96"/>
    </row>
    <row r="27525" hidden="1">
      <c r="E27525" s="96"/>
    </row>
    <row r="27526" hidden="1">
      <c r="E27526" s="96"/>
    </row>
    <row r="27527" hidden="1">
      <c r="E27527" s="96"/>
    </row>
    <row r="27528" hidden="1">
      <c r="E27528" s="96"/>
    </row>
    <row r="27529" hidden="1">
      <c r="E27529" s="96"/>
    </row>
    <row r="27530" hidden="1">
      <c r="E27530" s="96"/>
    </row>
    <row r="27531" hidden="1">
      <c r="E27531" s="96"/>
    </row>
    <row r="27532" hidden="1">
      <c r="E27532" s="96"/>
    </row>
    <row r="27533" hidden="1">
      <c r="E27533" s="96"/>
    </row>
    <row r="27534" hidden="1">
      <c r="E27534" s="96"/>
    </row>
    <row r="27535" hidden="1">
      <c r="E27535" s="96"/>
    </row>
    <row r="27536" hidden="1">
      <c r="E27536" s="96"/>
    </row>
    <row r="27537" hidden="1">
      <c r="E27537" s="96"/>
    </row>
    <row r="27538" hidden="1">
      <c r="E27538" s="96"/>
    </row>
    <row r="27539" hidden="1">
      <c r="E27539" s="96"/>
    </row>
    <row r="27540" hidden="1">
      <c r="E27540" s="96"/>
    </row>
    <row r="27541" hidden="1">
      <c r="E27541" s="96"/>
    </row>
    <row r="27542" hidden="1">
      <c r="E27542" s="96"/>
    </row>
    <row r="27543" hidden="1">
      <c r="E27543" s="96"/>
    </row>
    <row r="27544" hidden="1">
      <c r="E27544" s="96"/>
    </row>
    <row r="27545" hidden="1">
      <c r="E27545" s="96"/>
    </row>
    <row r="27546" hidden="1">
      <c r="E27546" s="96"/>
    </row>
    <row r="27547" hidden="1">
      <c r="E27547" s="96"/>
    </row>
    <row r="27548" hidden="1">
      <c r="E27548" s="96"/>
    </row>
    <row r="27549" hidden="1">
      <c r="E27549" s="96"/>
    </row>
    <row r="27550" hidden="1">
      <c r="E27550" s="96"/>
    </row>
    <row r="27551" hidden="1">
      <c r="E27551" s="96"/>
    </row>
    <row r="27552" hidden="1">
      <c r="E27552" s="96"/>
    </row>
    <row r="27553" hidden="1">
      <c r="E27553" s="96"/>
    </row>
    <row r="27554" hidden="1">
      <c r="E27554" s="96"/>
    </row>
    <row r="27555" hidden="1">
      <c r="E27555" s="96"/>
    </row>
    <row r="27556" hidden="1">
      <c r="E27556" s="96"/>
    </row>
    <row r="27557" hidden="1">
      <c r="E27557" s="96"/>
    </row>
    <row r="27558" hidden="1">
      <c r="E27558" s="96"/>
    </row>
    <row r="27559" hidden="1">
      <c r="E27559" s="96"/>
    </row>
    <row r="27560" hidden="1">
      <c r="E27560" s="96"/>
    </row>
    <row r="27561" hidden="1">
      <c r="E27561" s="96"/>
    </row>
    <row r="27562" hidden="1">
      <c r="E27562" s="96"/>
    </row>
    <row r="27563" hidden="1">
      <c r="E27563" s="96"/>
    </row>
    <row r="27564" hidden="1">
      <c r="E27564" s="96"/>
    </row>
    <row r="27565" hidden="1">
      <c r="E27565" s="96"/>
    </row>
    <row r="27566" hidden="1">
      <c r="E27566" s="96"/>
    </row>
    <row r="27567" hidden="1">
      <c r="E27567" s="96"/>
    </row>
    <row r="27568" hidden="1">
      <c r="E27568" s="96"/>
    </row>
    <row r="27569" hidden="1">
      <c r="E27569" s="96"/>
    </row>
    <row r="27570" hidden="1">
      <c r="E27570" s="96"/>
    </row>
    <row r="27571" hidden="1">
      <c r="E27571" s="96"/>
    </row>
    <row r="27572" hidden="1">
      <c r="E27572" s="96"/>
    </row>
    <row r="27573" hidden="1">
      <c r="E27573" s="96"/>
    </row>
    <row r="27574" hidden="1">
      <c r="E27574" s="96"/>
    </row>
    <row r="27575" hidden="1">
      <c r="E27575" s="96"/>
    </row>
    <row r="27576" hidden="1">
      <c r="E27576" s="96"/>
    </row>
    <row r="27577" hidden="1">
      <c r="E27577" s="96"/>
    </row>
    <row r="27578" hidden="1">
      <c r="E27578" s="96"/>
    </row>
    <row r="27579" hidden="1">
      <c r="E27579" s="96"/>
    </row>
    <row r="27580" hidden="1">
      <c r="E27580" s="96"/>
    </row>
    <row r="27581" hidden="1">
      <c r="E27581" s="96"/>
    </row>
    <row r="27582" hidden="1">
      <c r="E27582" s="96"/>
    </row>
    <row r="27583" hidden="1">
      <c r="E27583" s="96"/>
    </row>
    <row r="27584" hidden="1">
      <c r="E27584" s="96"/>
    </row>
    <row r="27585" hidden="1">
      <c r="E27585" s="96"/>
    </row>
    <row r="27586" hidden="1">
      <c r="E27586" s="96"/>
    </row>
    <row r="27587" hidden="1">
      <c r="E27587" s="96"/>
    </row>
    <row r="27588" hidden="1">
      <c r="E27588" s="96"/>
    </row>
    <row r="27589" hidden="1">
      <c r="E27589" s="96"/>
    </row>
    <row r="27590" hidden="1">
      <c r="E27590" s="96"/>
    </row>
    <row r="27591" hidden="1">
      <c r="E27591" s="96"/>
    </row>
    <row r="27592" hidden="1">
      <c r="E27592" s="96"/>
    </row>
    <row r="27593" hidden="1">
      <c r="E27593" s="96"/>
    </row>
    <row r="27594" hidden="1">
      <c r="E27594" s="96"/>
    </row>
    <row r="27595" hidden="1">
      <c r="E27595" s="96"/>
    </row>
    <row r="27596" hidden="1">
      <c r="E27596" s="96"/>
    </row>
    <row r="27597" hidden="1">
      <c r="E27597" s="96"/>
    </row>
    <row r="27598" hidden="1">
      <c r="E27598" s="96"/>
    </row>
    <row r="27599" hidden="1">
      <c r="E27599" s="96"/>
    </row>
    <row r="27600" hidden="1">
      <c r="E27600" s="96"/>
    </row>
    <row r="27601" hidden="1">
      <c r="E27601" s="96"/>
    </row>
    <row r="27602" hidden="1">
      <c r="E27602" s="96"/>
    </row>
    <row r="27603" hidden="1">
      <c r="E27603" s="96"/>
    </row>
    <row r="27604" hidden="1">
      <c r="E27604" s="96"/>
    </row>
    <row r="27605" hidden="1">
      <c r="E27605" s="96"/>
    </row>
    <row r="27606" hidden="1">
      <c r="E27606" s="96"/>
    </row>
    <row r="27607" hidden="1">
      <c r="E27607" s="96"/>
    </row>
    <row r="27608" hidden="1">
      <c r="E27608" s="96"/>
    </row>
    <row r="27609" hidden="1">
      <c r="E27609" s="96"/>
    </row>
    <row r="27610" hidden="1">
      <c r="E27610" s="96"/>
    </row>
    <row r="27611" hidden="1">
      <c r="E27611" s="96"/>
    </row>
    <row r="27612" hidden="1">
      <c r="E27612" s="96"/>
    </row>
    <row r="27613" hidden="1">
      <c r="E27613" s="96"/>
    </row>
    <row r="27614" hidden="1">
      <c r="E27614" s="96"/>
    </row>
    <row r="27615" hidden="1">
      <c r="E27615" s="96"/>
    </row>
    <row r="27616" hidden="1">
      <c r="E27616" s="96"/>
    </row>
    <row r="27617" hidden="1">
      <c r="E27617" s="96"/>
    </row>
    <row r="27618" hidden="1">
      <c r="E27618" s="96"/>
    </row>
    <row r="27619" hidden="1">
      <c r="E27619" s="96"/>
    </row>
    <row r="27620" hidden="1">
      <c r="E27620" s="96"/>
    </row>
    <row r="27621" hidden="1">
      <c r="E27621" s="96"/>
    </row>
    <row r="27622" hidden="1">
      <c r="E27622" s="96"/>
    </row>
    <row r="27623" hidden="1">
      <c r="E27623" s="96"/>
    </row>
    <row r="27624" hidden="1">
      <c r="E27624" s="96"/>
    </row>
    <row r="27625" hidden="1">
      <c r="E27625" s="96"/>
    </row>
    <row r="27626" hidden="1">
      <c r="E27626" s="96"/>
    </row>
    <row r="27627" hidden="1">
      <c r="E27627" s="96"/>
    </row>
    <row r="27628" hidden="1">
      <c r="E27628" s="96"/>
    </row>
    <row r="27629" hidden="1">
      <c r="E27629" s="96"/>
    </row>
    <row r="27630" hidden="1">
      <c r="E27630" s="96"/>
    </row>
    <row r="27631" hidden="1">
      <c r="E27631" s="96"/>
    </row>
    <row r="27632" hidden="1">
      <c r="E27632" s="96"/>
    </row>
    <row r="27633" hidden="1">
      <c r="E27633" s="96"/>
    </row>
    <row r="27634" hidden="1">
      <c r="E27634" s="96"/>
    </row>
    <row r="27635" hidden="1">
      <c r="E27635" s="96"/>
    </row>
    <row r="27636" hidden="1">
      <c r="E27636" s="96"/>
    </row>
    <row r="27637" hidden="1">
      <c r="E27637" s="96"/>
    </row>
    <row r="27638" hidden="1">
      <c r="E27638" s="96"/>
    </row>
    <row r="27639" hidden="1">
      <c r="E27639" s="96"/>
    </row>
    <row r="27640" hidden="1">
      <c r="E27640" s="96"/>
    </row>
    <row r="27641" hidden="1">
      <c r="E27641" s="96"/>
    </row>
    <row r="27642" hidden="1">
      <c r="E27642" s="96"/>
    </row>
    <row r="27643" hidden="1">
      <c r="E27643" s="96"/>
    </row>
    <row r="27644" hidden="1">
      <c r="E27644" s="96"/>
    </row>
    <row r="27645" hidden="1">
      <c r="E27645" s="96"/>
    </row>
    <row r="27646" hidden="1">
      <c r="E27646" s="96"/>
    </row>
    <row r="27647" hidden="1">
      <c r="E27647" s="96"/>
    </row>
    <row r="27648" hidden="1">
      <c r="E27648" s="96"/>
    </row>
    <row r="27649" hidden="1">
      <c r="E27649" s="96"/>
    </row>
    <row r="27650" hidden="1">
      <c r="E27650" s="96"/>
    </row>
    <row r="27651" hidden="1">
      <c r="E27651" s="96"/>
    </row>
    <row r="27652" hidden="1">
      <c r="E27652" s="96"/>
    </row>
    <row r="27653" hidden="1">
      <c r="E27653" s="96"/>
    </row>
    <row r="27654" hidden="1">
      <c r="E27654" s="96"/>
    </row>
    <row r="27655" hidden="1">
      <c r="E27655" s="96"/>
    </row>
    <row r="27656" hidden="1">
      <c r="E27656" s="96"/>
    </row>
    <row r="27657" hidden="1">
      <c r="E27657" s="96"/>
    </row>
    <row r="27658" hidden="1">
      <c r="E27658" s="96"/>
    </row>
    <row r="27659" hidden="1">
      <c r="E27659" s="96"/>
    </row>
    <row r="27660" hidden="1">
      <c r="E27660" s="96"/>
    </row>
    <row r="27661" hidden="1">
      <c r="E27661" s="96"/>
    </row>
    <row r="27662" hidden="1">
      <c r="E27662" s="96"/>
    </row>
    <row r="27663" hidden="1">
      <c r="E27663" s="96"/>
    </row>
    <row r="27664" hidden="1">
      <c r="E27664" s="96"/>
    </row>
    <row r="27665" hidden="1">
      <c r="E27665" s="96"/>
    </row>
    <row r="27666" hidden="1">
      <c r="E27666" s="96"/>
    </row>
    <row r="27667" hidden="1">
      <c r="E27667" s="96"/>
    </row>
    <row r="27668" hidden="1">
      <c r="E27668" s="96"/>
    </row>
    <row r="27669" hidden="1">
      <c r="E27669" s="96"/>
    </row>
    <row r="27670" hidden="1">
      <c r="E27670" s="96"/>
    </row>
    <row r="27671" hidden="1">
      <c r="E27671" s="96"/>
    </row>
    <row r="27672" hidden="1">
      <c r="E27672" s="96"/>
    </row>
    <row r="27673" hidden="1">
      <c r="E27673" s="96"/>
    </row>
    <row r="27674" hidden="1">
      <c r="E27674" s="96"/>
    </row>
    <row r="27675" hidden="1">
      <c r="E27675" s="96"/>
    </row>
    <row r="27676" hidden="1">
      <c r="E27676" s="96"/>
    </row>
    <row r="27677" hidden="1">
      <c r="E27677" s="96"/>
    </row>
    <row r="27678" hidden="1">
      <c r="E27678" s="96"/>
    </row>
    <row r="27679" hidden="1">
      <c r="E27679" s="96"/>
    </row>
    <row r="27680" hidden="1">
      <c r="E27680" s="96"/>
    </row>
    <row r="27681" hidden="1">
      <c r="E27681" s="96"/>
    </row>
    <row r="27682" hidden="1">
      <c r="E27682" s="96"/>
    </row>
    <row r="27683" hidden="1">
      <c r="E27683" s="96"/>
    </row>
    <row r="27684" hidden="1">
      <c r="E27684" s="96"/>
    </row>
    <row r="27685" hidden="1">
      <c r="E27685" s="96"/>
    </row>
    <row r="27686" hidden="1">
      <c r="E27686" s="96"/>
    </row>
    <row r="27687" hidden="1">
      <c r="E27687" s="96"/>
    </row>
    <row r="27688" hidden="1">
      <c r="E27688" s="96"/>
    </row>
    <row r="27689" hidden="1">
      <c r="E27689" s="96"/>
    </row>
    <row r="27690" hidden="1">
      <c r="E27690" s="96"/>
    </row>
    <row r="27691" hidden="1">
      <c r="E27691" s="96"/>
    </row>
    <row r="27692" hidden="1">
      <c r="E27692" s="96"/>
    </row>
    <row r="27693" hidden="1">
      <c r="E27693" s="96"/>
    </row>
    <row r="27694" hidden="1">
      <c r="E27694" s="96"/>
    </row>
    <row r="27695" hidden="1">
      <c r="E27695" s="96"/>
    </row>
    <row r="27696" hidden="1">
      <c r="E27696" s="96"/>
    </row>
    <row r="27697" hidden="1">
      <c r="E27697" s="96"/>
    </row>
    <row r="27698" hidden="1">
      <c r="E27698" s="96"/>
    </row>
    <row r="27699" hidden="1">
      <c r="E27699" s="96"/>
    </row>
    <row r="27700" hidden="1">
      <c r="E27700" s="96"/>
    </row>
    <row r="27701" hidden="1">
      <c r="E27701" s="96"/>
    </row>
    <row r="27702" hidden="1">
      <c r="E27702" s="96"/>
    </row>
    <row r="27703" hidden="1">
      <c r="E27703" s="96"/>
    </row>
    <row r="27704" hidden="1">
      <c r="E27704" s="96"/>
    </row>
    <row r="27705" hidden="1">
      <c r="E27705" s="96"/>
    </row>
    <row r="27706" hidden="1">
      <c r="E27706" s="96"/>
    </row>
    <row r="27707" hidden="1">
      <c r="E27707" s="96"/>
    </row>
    <row r="27708" hidden="1">
      <c r="E27708" s="96"/>
    </row>
    <row r="27709" hidden="1">
      <c r="E27709" s="96"/>
    </row>
    <row r="27710" hidden="1">
      <c r="E27710" s="96"/>
    </row>
    <row r="27711" hidden="1">
      <c r="E27711" s="96"/>
    </row>
    <row r="27712" hidden="1">
      <c r="E27712" s="96"/>
    </row>
    <row r="27713" hidden="1">
      <c r="E27713" s="96"/>
    </row>
    <row r="27714" hidden="1">
      <c r="E27714" s="96"/>
    </row>
    <row r="27715" hidden="1">
      <c r="E27715" s="96"/>
    </row>
    <row r="27716" hidden="1">
      <c r="E27716" s="96"/>
    </row>
    <row r="27717" hidden="1">
      <c r="E27717" s="96"/>
    </row>
    <row r="27718" hidden="1">
      <c r="E27718" s="96"/>
    </row>
    <row r="27719" hidden="1">
      <c r="E27719" s="96"/>
    </row>
    <row r="27720" hidden="1">
      <c r="E27720" s="96"/>
    </row>
    <row r="27721" hidden="1">
      <c r="E27721" s="96"/>
    </row>
    <row r="27722" hidden="1">
      <c r="E27722" s="96"/>
    </row>
    <row r="27723" hidden="1">
      <c r="E27723" s="96"/>
    </row>
    <row r="27724" hidden="1">
      <c r="E27724" s="96"/>
    </row>
    <row r="27725" hidden="1">
      <c r="E27725" s="96"/>
    </row>
    <row r="27726" hidden="1">
      <c r="E27726" s="96"/>
    </row>
    <row r="27727" hidden="1">
      <c r="E27727" s="96"/>
    </row>
    <row r="27728" hidden="1">
      <c r="E27728" s="96"/>
    </row>
    <row r="27729" hidden="1">
      <c r="E27729" s="96"/>
    </row>
    <row r="27730" hidden="1">
      <c r="E27730" s="96"/>
    </row>
    <row r="27731" hidden="1">
      <c r="E27731" s="96"/>
    </row>
    <row r="27732" hidden="1">
      <c r="E27732" s="96"/>
    </row>
    <row r="27733" hidden="1">
      <c r="E27733" s="96"/>
    </row>
    <row r="27734" hidden="1">
      <c r="E27734" s="96"/>
    </row>
    <row r="27735" hidden="1">
      <c r="E27735" s="96"/>
    </row>
    <row r="27736" hidden="1">
      <c r="E27736" s="96"/>
    </row>
    <row r="27737" hidden="1">
      <c r="E27737" s="96"/>
    </row>
    <row r="27738" hidden="1">
      <c r="E27738" s="96"/>
    </row>
    <row r="27739" hidden="1">
      <c r="E27739" s="96"/>
    </row>
    <row r="27740" hidden="1">
      <c r="E27740" s="96"/>
    </row>
    <row r="27741" hidden="1">
      <c r="E27741" s="96"/>
    </row>
    <row r="27742" hidden="1">
      <c r="E27742" s="96"/>
    </row>
    <row r="27743" hidden="1">
      <c r="E27743" s="96"/>
    </row>
    <row r="27744" hidden="1">
      <c r="E27744" s="96"/>
    </row>
    <row r="27745" hidden="1">
      <c r="E27745" s="96"/>
    </row>
    <row r="27746" hidden="1">
      <c r="E27746" s="96"/>
    </row>
    <row r="27747" hidden="1">
      <c r="E27747" s="96"/>
    </row>
    <row r="27748" hidden="1">
      <c r="E27748" s="96"/>
    </row>
    <row r="27749" hidden="1">
      <c r="E27749" s="96"/>
    </row>
    <row r="27750" hidden="1">
      <c r="E27750" s="96"/>
    </row>
    <row r="27751" hidden="1">
      <c r="E27751" s="96"/>
    </row>
    <row r="27752" hidden="1">
      <c r="E27752" s="96"/>
    </row>
    <row r="27753" hidden="1">
      <c r="E27753" s="96"/>
    </row>
    <row r="27754" hidden="1">
      <c r="E27754" s="96"/>
    </row>
    <row r="27755" hidden="1">
      <c r="E27755" s="96"/>
    </row>
    <row r="27756" hidden="1">
      <c r="E27756" s="96"/>
    </row>
    <row r="27757" hidden="1">
      <c r="E27757" s="96"/>
    </row>
    <row r="27758" hidden="1">
      <c r="E27758" s="96"/>
    </row>
    <row r="27759" hidden="1">
      <c r="E27759" s="96"/>
    </row>
    <row r="27760" hidden="1">
      <c r="E27760" s="96"/>
    </row>
    <row r="27761" hidden="1">
      <c r="E27761" s="96"/>
    </row>
    <row r="27762" hidden="1">
      <c r="E27762" s="96"/>
    </row>
    <row r="27763" hidden="1">
      <c r="E27763" s="96"/>
    </row>
    <row r="27764" hidden="1">
      <c r="E27764" s="96"/>
    </row>
    <row r="27765" hidden="1">
      <c r="E27765" s="96"/>
    </row>
    <row r="27766" hidden="1">
      <c r="E27766" s="96"/>
    </row>
    <row r="27767" hidden="1">
      <c r="E27767" s="96"/>
    </row>
    <row r="27768" hidden="1">
      <c r="E27768" s="96"/>
    </row>
    <row r="27769" hidden="1">
      <c r="E27769" s="96"/>
    </row>
    <row r="27770" hidden="1">
      <c r="E27770" s="96"/>
    </row>
    <row r="27771" hidden="1">
      <c r="E27771" s="96"/>
    </row>
    <row r="27772" hidden="1">
      <c r="E27772" s="96"/>
    </row>
    <row r="27773" hidden="1">
      <c r="E27773" s="96"/>
    </row>
    <row r="27774" hidden="1">
      <c r="E27774" s="96"/>
    </row>
    <row r="27775" hidden="1">
      <c r="E27775" s="96"/>
    </row>
    <row r="27776" hidden="1">
      <c r="E27776" s="96"/>
    </row>
    <row r="27777" hidden="1">
      <c r="E27777" s="96"/>
    </row>
    <row r="27778" hidden="1">
      <c r="E27778" s="96"/>
    </row>
    <row r="27779" hidden="1">
      <c r="E27779" s="96"/>
    </row>
    <row r="27780" hidden="1">
      <c r="E27780" s="96"/>
    </row>
    <row r="27781" hidden="1">
      <c r="E27781" s="96"/>
    </row>
    <row r="27782" hidden="1">
      <c r="E27782" s="96"/>
    </row>
    <row r="27783" hidden="1">
      <c r="E27783" s="96"/>
    </row>
    <row r="27784" hidden="1">
      <c r="E27784" s="96"/>
    </row>
    <row r="27785" hidden="1">
      <c r="E27785" s="96"/>
    </row>
    <row r="27786" hidden="1">
      <c r="E27786" s="96"/>
    </row>
    <row r="27787" hidden="1">
      <c r="E27787" s="96"/>
    </row>
    <row r="27788" hidden="1">
      <c r="E27788" s="96"/>
    </row>
    <row r="27789" hidden="1">
      <c r="E27789" s="96"/>
    </row>
    <row r="27790" hidden="1">
      <c r="E27790" s="96"/>
    </row>
    <row r="27791" hidden="1">
      <c r="E27791" s="96"/>
    </row>
    <row r="27792" hidden="1">
      <c r="E27792" s="96"/>
    </row>
    <row r="27793" hidden="1">
      <c r="E27793" s="96"/>
    </row>
    <row r="27794" hidden="1">
      <c r="E27794" s="96"/>
    </row>
    <row r="27795" hidden="1">
      <c r="E27795" s="96"/>
    </row>
    <row r="27796" hidden="1">
      <c r="E27796" s="96"/>
    </row>
    <row r="27797" hidden="1">
      <c r="E27797" s="96"/>
    </row>
    <row r="27798" hidden="1">
      <c r="E27798" s="96"/>
    </row>
    <row r="27799" hidden="1">
      <c r="E27799" s="96"/>
    </row>
    <row r="27800" hidden="1">
      <c r="E27800" s="96"/>
    </row>
    <row r="27801" hidden="1">
      <c r="E27801" s="96"/>
    </row>
    <row r="27802" hidden="1">
      <c r="E27802" s="96"/>
    </row>
    <row r="27803" hidden="1">
      <c r="E27803" s="96"/>
    </row>
    <row r="27804" hidden="1">
      <c r="E27804" s="96"/>
    </row>
    <row r="27805" hidden="1">
      <c r="E27805" s="96"/>
    </row>
    <row r="27806" hidden="1">
      <c r="E27806" s="96"/>
    </row>
    <row r="27807" hidden="1">
      <c r="E27807" s="96"/>
    </row>
    <row r="27808" hidden="1">
      <c r="E27808" s="96"/>
    </row>
    <row r="27809" hidden="1">
      <c r="E27809" s="96"/>
    </row>
    <row r="27810" hidden="1">
      <c r="E27810" s="96"/>
    </row>
    <row r="27811" hidden="1">
      <c r="E27811" s="96"/>
    </row>
    <row r="27812" hidden="1">
      <c r="E27812" s="96"/>
    </row>
    <row r="27813" hidden="1">
      <c r="E27813" s="96"/>
    </row>
    <row r="27814" hidden="1">
      <c r="E27814" s="96"/>
    </row>
    <row r="27815" hidden="1">
      <c r="E27815" s="96"/>
    </row>
    <row r="27816" hidden="1">
      <c r="E27816" s="96"/>
    </row>
    <row r="27817" hidden="1">
      <c r="E27817" s="96"/>
    </row>
    <row r="27818" hidden="1">
      <c r="E27818" s="96"/>
    </row>
    <row r="27819" hidden="1">
      <c r="E27819" s="96"/>
    </row>
    <row r="27820" hidden="1">
      <c r="E27820" s="96"/>
    </row>
    <row r="27821" hidden="1">
      <c r="E27821" s="96"/>
    </row>
    <row r="27822" hidden="1">
      <c r="E27822" s="96"/>
    </row>
    <row r="27823" hidden="1">
      <c r="E27823" s="96"/>
    </row>
    <row r="27824" hidden="1">
      <c r="E27824" s="96"/>
    </row>
    <row r="27825" hidden="1">
      <c r="E27825" s="96"/>
    </row>
    <row r="27826" hidden="1">
      <c r="E27826" s="96"/>
    </row>
    <row r="27827" hidden="1">
      <c r="E27827" s="96"/>
    </row>
    <row r="27828" hidden="1">
      <c r="E27828" s="96"/>
    </row>
    <row r="27829" hidden="1">
      <c r="E27829" s="96"/>
    </row>
    <row r="27830" hidden="1">
      <c r="E27830" s="96"/>
    </row>
    <row r="27831" hidden="1">
      <c r="E27831" s="96"/>
    </row>
    <row r="27832" hidden="1">
      <c r="E27832" s="96"/>
    </row>
    <row r="27833" hidden="1">
      <c r="E27833" s="96"/>
    </row>
    <row r="27834" hidden="1">
      <c r="E27834" s="96"/>
    </row>
    <row r="27835" hidden="1">
      <c r="E27835" s="96"/>
    </row>
    <row r="27836" hidden="1">
      <c r="E27836" s="96"/>
    </row>
    <row r="27837" hidden="1">
      <c r="E27837" s="96"/>
    </row>
    <row r="27838" hidden="1">
      <c r="E27838" s="96"/>
    </row>
    <row r="27839" hidden="1">
      <c r="E27839" s="96"/>
    </row>
    <row r="27840" hidden="1">
      <c r="E27840" s="96"/>
    </row>
    <row r="27841" hidden="1">
      <c r="E27841" s="96"/>
    </row>
    <row r="27842" hidden="1">
      <c r="E27842" s="96"/>
    </row>
    <row r="27843" hidden="1">
      <c r="E27843" s="96"/>
    </row>
    <row r="27844" hidden="1">
      <c r="E27844" s="96"/>
    </row>
    <row r="27845" hidden="1">
      <c r="E27845" s="96"/>
    </row>
    <row r="27846" hidden="1">
      <c r="E27846" s="96"/>
    </row>
    <row r="27847" hidden="1">
      <c r="E27847" s="96"/>
    </row>
    <row r="27848" hidden="1">
      <c r="E27848" s="96"/>
    </row>
    <row r="27849" hidden="1">
      <c r="E27849" s="96"/>
    </row>
    <row r="27850" hidden="1">
      <c r="E27850" s="96"/>
    </row>
    <row r="27851" hidden="1">
      <c r="E27851" s="96"/>
    </row>
    <row r="27852" hidden="1">
      <c r="E27852" s="96"/>
    </row>
    <row r="27853" hidden="1">
      <c r="E27853" s="96"/>
    </row>
    <row r="27854" hidden="1">
      <c r="E27854" s="96"/>
    </row>
    <row r="27855" hidden="1">
      <c r="E27855" s="96"/>
    </row>
    <row r="27856" hidden="1">
      <c r="E27856" s="96"/>
    </row>
    <row r="27857" hidden="1">
      <c r="E27857" s="96"/>
    </row>
    <row r="27858" hidden="1">
      <c r="E27858" s="96"/>
    </row>
    <row r="27859" hidden="1">
      <c r="E27859" s="96"/>
    </row>
    <row r="27860" hidden="1">
      <c r="E27860" s="96"/>
    </row>
    <row r="27861" hidden="1">
      <c r="E27861" s="96"/>
    </row>
    <row r="27862" hidden="1">
      <c r="E27862" s="96"/>
    </row>
    <row r="27863" hidden="1">
      <c r="E27863" s="96"/>
    </row>
    <row r="27864" hidden="1">
      <c r="E27864" s="96"/>
    </row>
    <row r="27865" hidden="1">
      <c r="E27865" s="96"/>
    </row>
    <row r="27866" hidden="1">
      <c r="E27866" s="96"/>
    </row>
    <row r="27867" hidden="1">
      <c r="E27867" s="96"/>
    </row>
    <row r="27868" hidden="1">
      <c r="E27868" s="96"/>
    </row>
    <row r="27869" hidden="1">
      <c r="E27869" s="96"/>
    </row>
    <row r="27870" hidden="1">
      <c r="E27870" s="96"/>
    </row>
    <row r="27871" hidden="1">
      <c r="E27871" s="96"/>
    </row>
    <row r="27872" hidden="1">
      <c r="E27872" s="96"/>
    </row>
    <row r="27873" hidden="1">
      <c r="E27873" s="96"/>
    </row>
    <row r="27874" hidden="1">
      <c r="E27874" s="96"/>
    </row>
    <row r="27875" hidden="1">
      <c r="E27875" s="96"/>
    </row>
    <row r="27876" hidden="1">
      <c r="E27876" s="96"/>
    </row>
    <row r="27877" hidden="1">
      <c r="E27877" s="96"/>
    </row>
    <row r="27878" hidden="1">
      <c r="E27878" s="96"/>
    </row>
    <row r="27879" hidden="1">
      <c r="E27879" s="96"/>
    </row>
    <row r="27880" hidden="1">
      <c r="E27880" s="96"/>
    </row>
    <row r="27881" hidden="1">
      <c r="E27881" s="96"/>
    </row>
    <row r="27882" hidden="1">
      <c r="E27882" s="96"/>
    </row>
    <row r="27883" hidden="1">
      <c r="E27883" s="96"/>
    </row>
    <row r="27884" hidden="1">
      <c r="E27884" s="96"/>
    </row>
    <row r="27885" hidden="1">
      <c r="E27885" s="96"/>
    </row>
    <row r="27886" hidden="1">
      <c r="E27886" s="96"/>
    </row>
    <row r="27887" hidden="1">
      <c r="E27887" s="96"/>
    </row>
    <row r="27888" hidden="1">
      <c r="E27888" s="96"/>
    </row>
    <row r="27889" hidden="1">
      <c r="E27889" s="96"/>
    </row>
    <row r="27890" hidden="1">
      <c r="E27890" s="96"/>
    </row>
    <row r="27891" hidden="1">
      <c r="E27891" s="96"/>
    </row>
    <row r="27892" hidden="1">
      <c r="E27892" s="96"/>
    </row>
    <row r="27893" hidden="1">
      <c r="E27893" s="96"/>
    </row>
    <row r="27894" hidden="1">
      <c r="E27894" s="96"/>
    </row>
    <row r="27895" hidden="1">
      <c r="E27895" s="96"/>
    </row>
    <row r="27896" hidden="1">
      <c r="E27896" s="96"/>
    </row>
    <row r="27897" hidden="1">
      <c r="E27897" s="96"/>
    </row>
    <row r="27898" hidden="1">
      <c r="E27898" s="96"/>
    </row>
    <row r="27899" hidden="1">
      <c r="E27899" s="96"/>
    </row>
    <row r="27900" hidden="1">
      <c r="E27900" s="96"/>
    </row>
    <row r="27901" hidden="1">
      <c r="E27901" s="96"/>
    </row>
    <row r="27902" hidden="1">
      <c r="E27902" s="96"/>
    </row>
    <row r="27903" hidden="1">
      <c r="E27903" s="96"/>
    </row>
    <row r="27904" hidden="1">
      <c r="E27904" s="96"/>
    </row>
    <row r="27905" hidden="1">
      <c r="E27905" s="96"/>
    </row>
    <row r="27906" hidden="1">
      <c r="E27906" s="96"/>
    </row>
    <row r="27907" hidden="1">
      <c r="E27907" s="96"/>
    </row>
    <row r="27908" hidden="1">
      <c r="E27908" s="96"/>
    </row>
    <row r="27909" hidden="1">
      <c r="E27909" s="96"/>
    </row>
    <row r="27910" hidden="1">
      <c r="E27910" s="96"/>
    </row>
    <row r="27911" hidden="1">
      <c r="E27911" s="96"/>
    </row>
    <row r="27912" hidden="1">
      <c r="E27912" s="96"/>
    </row>
    <row r="27913" hidden="1">
      <c r="E27913" s="96"/>
    </row>
    <row r="27914" hidden="1">
      <c r="E27914" s="96"/>
    </row>
    <row r="27915" hidden="1">
      <c r="E27915" s="96"/>
    </row>
    <row r="27916" hidden="1">
      <c r="E27916" s="96"/>
    </row>
    <row r="27917" hidden="1">
      <c r="E27917" s="96"/>
    </row>
    <row r="27918" hidden="1">
      <c r="E27918" s="96"/>
    </row>
    <row r="27919" hidden="1">
      <c r="E27919" s="96"/>
    </row>
    <row r="27920" hidden="1">
      <c r="E27920" s="96"/>
    </row>
    <row r="27921" hidden="1">
      <c r="E27921" s="96"/>
    </row>
    <row r="27922" hidden="1">
      <c r="E27922" s="96"/>
    </row>
    <row r="27923" hidden="1">
      <c r="E27923" s="96"/>
    </row>
    <row r="27924" hidden="1">
      <c r="E27924" s="96"/>
    </row>
    <row r="27925" hidden="1">
      <c r="E27925" s="96"/>
    </row>
    <row r="27926" hidden="1">
      <c r="E27926" s="96"/>
    </row>
    <row r="27927" hidden="1">
      <c r="E27927" s="96"/>
    </row>
    <row r="27928" hidden="1">
      <c r="E27928" s="96"/>
    </row>
    <row r="27929" hidden="1">
      <c r="E27929" s="96"/>
    </row>
    <row r="27930" hidden="1">
      <c r="E27930" s="96"/>
    </row>
    <row r="27931" hidden="1">
      <c r="E27931" s="96"/>
    </row>
    <row r="27932" hidden="1">
      <c r="E27932" s="96"/>
    </row>
    <row r="27933" hidden="1">
      <c r="E27933" s="96"/>
    </row>
    <row r="27934" hidden="1">
      <c r="E27934" s="96"/>
    </row>
    <row r="27935" hidden="1">
      <c r="E27935" s="96"/>
    </row>
    <row r="27936" hidden="1">
      <c r="E27936" s="96"/>
    </row>
    <row r="27937" hidden="1">
      <c r="E27937" s="96"/>
    </row>
    <row r="27938" hidden="1">
      <c r="E27938" s="96"/>
    </row>
    <row r="27939" hidden="1">
      <c r="E27939" s="96"/>
    </row>
    <row r="27940" hidden="1">
      <c r="E27940" s="96"/>
    </row>
    <row r="27941" hidden="1">
      <c r="E27941" s="96"/>
    </row>
    <row r="27942" hidden="1">
      <c r="E27942" s="96"/>
    </row>
    <row r="27943" hidden="1">
      <c r="E27943" s="96"/>
    </row>
    <row r="27944" hidden="1">
      <c r="E27944" s="96"/>
    </row>
    <row r="27945" hidden="1">
      <c r="E27945" s="96"/>
    </row>
    <row r="27946" hidden="1">
      <c r="E27946" s="96"/>
    </row>
    <row r="27947" hidden="1">
      <c r="E27947" s="96"/>
    </row>
    <row r="27948" hidden="1">
      <c r="E27948" s="96"/>
    </row>
    <row r="27949" hidden="1">
      <c r="E27949" s="96"/>
    </row>
    <row r="27950" hidden="1">
      <c r="E27950" s="96"/>
    </row>
    <row r="27951" hidden="1">
      <c r="E27951" s="96"/>
    </row>
    <row r="27952" hidden="1">
      <c r="E27952" s="96"/>
    </row>
    <row r="27953" hidden="1">
      <c r="E27953" s="96"/>
    </row>
    <row r="27954" hidden="1">
      <c r="E27954" s="96"/>
    </row>
    <row r="27955" hidden="1">
      <c r="E27955" s="96"/>
    </row>
    <row r="27956" hidden="1">
      <c r="E27956" s="96"/>
    </row>
    <row r="27957" hidden="1">
      <c r="E27957" s="96"/>
    </row>
    <row r="27958" hidden="1">
      <c r="E27958" s="96"/>
    </row>
    <row r="27959" hidden="1">
      <c r="E27959" s="96"/>
    </row>
    <row r="27960" hidden="1">
      <c r="E27960" s="96"/>
    </row>
    <row r="27961" hidden="1">
      <c r="E27961" s="96"/>
    </row>
    <row r="27962" hidden="1">
      <c r="E27962" s="96"/>
    </row>
    <row r="27963" hidden="1">
      <c r="E27963" s="96"/>
    </row>
    <row r="27964" hidden="1">
      <c r="E27964" s="96"/>
    </row>
    <row r="27965" hidden="1">
      <c r="E27965" s="96"/>
    </row>
    <row r="27966" hidden="1">
      <c r="E27966" s="96"/>
    </row>
    <row r="27967" hidden="1">
      <c r="E27967" s="96"/>
    </row>
    <row r="27968" hidden="1">
      <c r="E27968" s="96"/>
    </row>
    <row r="27969" hidden="1">
      <c r="E27969" s="96"/>
    </row>
    <row r="27970" hidden="1">
      <c r="E27970" s="96"/>
    </row>
    <row r="27971" hidden="1">
      <c r="E27971" s="96"/>
    </row>
    <row r="27972" hidden="1">
      <c r="E27972" s="96"/>
    </row>
    <row r="27973" hidden="1">
      <c r="E27973" s="96"/>
    </row>
    <row r="27974" hidden="1">
      <c r="E27974" s="96"/>
    </row>
    <row r="27975" hidden="1">
      <c r="E27975" s="96"/>
    </row>
    <row r="27976" hidden="1">
      <c r="E27976" s="96"/>
    </row>
    <row r="27977" hidden="1">
      <c r="E27977" s="96"/>
    </row>
    <row r="27978" hidden="1">
      <c r="E27978" s="96"/>
    </row>
    <row r="27979" hidden="1">
      <c r="E27979" s="96"/>
    </row>
    <row r="27980" hidden="1">
      <c r="E27980" s="96"/>
    </row>
    <row r="27981" hidden="1">
      <c r="E27981" s="96"/>
    </row>
    <row r="27982" hidden="1">
      <c r="E27982" s="96"/>
    </row>
    <row r="27983" hidden="1">
      <c r="E27983" s="96"/>
    </row>
    <row r="27984" hidden="1">
      <c r="E27984" s="96"/>
    </row>
    <row r="27985" hidden="1">
      <c r="E27985" s="96"/>
    </row>
    <row r="27986" hidden="1">
      <c r="E27986" s="96"/>
    </row>
    <row r="27987" hidden="1">
      <c r="E27987" s="96"/>
    </row>
    <row r="27988" hidden="1">
      <c r="E27988" s="96"/>
    </row>
    <row r="27989" hidden="1">
      <c r="E27989" s="96"/>
    </row>
    <row r="27990" hidden="1">
      <c r="E27990" s="96"/>
    </row>
    <row r="27991" hidden="1">
      <c r="E27991" s="96"/>
    </row>
    <row r="27992" hidden="1">
      <c r="E27992" s="96"/>
    </row>
    <row r="27993" hidden="1">
      <c r="E27993" s="96"/>
    </row>
    <row r="27994" hidden="1">
      <c r="E27994" s="96"/>
    </row>
    <row r="27995" hidden="1">
      <c r="E27995" s="96"/>
    </row>
    <row r="27996" hidden="1">
      <c r="E27996" s="96"/>
    </row>
    <row r="27997" hidden="1">
      <c r="E27997" s="96"/>
    </row>
    <row r="27998" hidden="1">
      <c r="E27998" s="96"/>
    </row>
    <row r="27999" hidden="1">
      <c r="E27999" s="96"/>
    </row>
    <row r="28000" hidden="1">
      <c r="E28000" s="96"/>
    </row>
    <row r="28001" hidden="1">
      <c r="E28001" s="96"/>
    </row>
    <row r="28002" hidden="1">
      <c r="E28002" s="96"/>
    </row>
    <row r="28003" hidden="1">
      <c r="E28003" s="96"/>
    </row>
    <row r="28004" hidden="1">
      <c r="E28004" s="96"/>
    </row>
    <row r="28005" hidden="1">
      <c r="E28005" s="96"/>
    </row>
    <row r="28006" hidden="1">
      <c r="E28006" s="96"/>
    </row>
    <row r="28007" hidden="1">
      <c r="E28007" s="96"/>
    </row>
    <row r="28008" hidden="1">
      <c r="E28008" s="96"/>
    </row>
    <row r="28009" hidden="1">
      <c r="E28009" s="96"/>
    </row>
    <row r="28010" hidden="1">
      <c r="E28010" s="96"/>
    </row>
    <row r="28011" hidden="1">
      <c r="E28011" s="96"/>
    </row>
    <row r="28012" hidden="1">
      <c r="E28012" s="96"/>
    </row>
    <row r="28013" hidden="1">
      <c r="E28013" s="96"/>
    </row>
    <row r="28014" hidden="1">
      <c r="E28014" s="96"/>
    </row>
    <row r="28015" hidden="1">
      <c r="E28015" s="96"/>
    </row>
    <row r="28016" hidden="1">
      <c r="E28016" s="96"/>
    </row>
    <row r="28017" hidden="1">
      <c r="E28017" s="96"/>
    </row>
    <row r="28018" hidden="1">
      <c r="E28018" s="96"/>
    </row>
    <row r="28019" hidden="1">
      <c r="E28019" s="96"/>
    </row>
    <row r="28020" hidden="1">
      <c r="E28020" s="96"/>
    </row>
    <row r="28021" hidden="1">
      <c r="E28021" s="96"/>
    </row>
    <row r="28022" hidden="1">
      <c r="E28022" s="96"/>
    </row>
    <row r="28023" hidden="1">
      <c r="E28023" s="96"/>
    </row>
    <row r="28024" hidden="1">
      <c r="E28024" s="96"/>
    </row>
    <row r="28025" hidden="1">
      <c r="E28025" s="96"/>
    </row>
    <row r="28026" hidden="1">
      <c r="E28026" s="96"/>
    </row>
    <row r="28027" hidden="1">
      <c r="E28027" s="96"/>
    </row>
    <row r="28028" hidden="1">
      <c r="E28028" s="96"/>
    </row>
    <row r="28029" hidden="1">
      <c r="E28029" s="96"/>
    </row>
    <row r="28030" hidden="1">
      <c r="E28030" s="96"/>
    </row>
    <row r="28031" hidden="1">
      <c r="E28031" s="96"/>
    </row>
    <row r="28032" hidden="1">
      <c r="E28032" s="96"/>
    </row>
    <row r="28033" hidden="1">
      <c r="E28033" s="96"/>
    </row>
    <row r="28034" hidden="1">
      <c r="E28034" s="96"/>
    </row>
    <row r="28035" hidden="1">
      <c r="E28035" s="96"/>
    </row>
    <row r="28036" hidden="1">
      <c r="E28036" s="96"/>
    </row>
    <row r="28037" hidden="1">
      <c r="E28037" s="96"/>
    </row>
    <row r="28038" hidden="1">
      <c r="E28038" s="96"/>
    </row>
    <row r="28039" hidden="1">
      <c r="E28039" s="96"/>
    </row>
    <row r="28040" hidden="1">
      <c r="E28040" s="96"/>
    </row>
    <row r="28041" hidden="1">
      <c r="E28041" s="96"/>
    </row>
    <row r="28042" hidden="1">
      <c r="E28042" s="96"/>
    </row>
    <row r="28043" hidden="1">
      <c r="E28043" s="96"/>
    </row>
    <row r="28044" hidden="1">
      <c r="E28044" s="96"/>
    </row>
    <row r="28045" hidden="1">
      <c r="E28045" s="96"/>
    </row>
    <row r="28046" hidden="1">
      <c r="E28046" s="96"/>
    </row>
    <row r="28047" hidden="1">
      <c r="E28047" s="96"/>
    </row>
    <row r="28048" hidden="1">
      <c r="E28048" s="96"/>
    </row>
    <row r="28049" hidden="1">
      <c r="E28049" s="96"/>
    </row>
    <row r="28050" hidden="1">
      <c r="E28050" s="96"/>
    </row>
    <row r="28051" hidden="1">
      <c r="E28051" s="96"/>
    </row>
    <row r="28052" hidden="1">
      <c r="E28052" s="96"/>
    </row>
    <row r="28053" hidden="1">
      <c r="E28053" s="96"/>
    </row>
    <row r="28054" hidden="1">
      <c r="E28054" s="96"/>
    </row>
    <row r="28055" hidden="1">
      <c r="E28055" s="96"/>
    </row>
    <row r="28056" hidden="1">
      <c r="E28056" s="96"/>
    </row>
    <row r="28057" hidden="1">
      <c r="E28057" s="96"/>
    </row>
    <row r="28058" hidden="1">
      <c r="E28058" s="96"/>
    </row>
    <row r="28059" hidden="1">
      <c r="E28059" s="96"/>
    </row>
    <row r="28060" hidden="1">
      <c r="E28060" s="96"/>
    </row>
    <row r="28061" hidden="1">
      <c r="E28061" s="96"/>
    </row>
    <row r="28062" hidden="1">
      <c r="E28062" s="96"/>
    </row>
    <row r="28063" hidden="1">
      <c r="E28063" s="96"/>
    </row>
    <row r="28064" hidden="1">
      <c r="E28064" s="96"/>
    </row>
    <row r="28065" hidden="1">
      <c r="E28065" s="96"/>
    </row>
    <row r="28066" hidden="1">
      <c r="E28066" s="96"/>
    </row>
    <row r="28067" hidden="1">
      <c r="E28067" s="96"/>
    </row>
    <row r="28068" hidden="1">
      <c r="E28068" s="96"/>
    </row>
    <row r="28069" hidden="1">
      <c r="E28069" s="96"/>
    </row>
    <row r="28070" hidden="1">
      <c r="E28070" s="96"/>
    </row>
    <row r="28071" hidden="1">
      <c r="E28071" s="96"/>
    </row>
    <row r="28072" hidden="1">
      <c r="E28072" s="96"/>
    </row>
    <row r="28073" hidden="1">
      <c r="E28073" s="96"/>
    </row>
    <row r="28074" hidden="1">
      <c r="E28074" s="96"/>
    </row>
    <row r="28075" hidden="1">
      <c r="E28075" s="96"/>
    </row>
    <row r="28076" hidden="1">
      <c r="E28076" s="96"/>
    </row>
    <row r="28077" hidden="1">
      <c r="E28077" s="96"/>
    </row>
    <row r="28078" hidden="1">
      <c r="E28078" s="96"/>
    </row>
    <row r="28079" hidden="1">
      <c r="E28079" s="96"/>
    </row>
    <row r="28080" hidden="1">
      <c r="E28080" s="96"/>
    </row>
    <row r="28081" hidden="1">
      <c r="E28081" s="96"/>
    </row>
    <row r="28082" hidden="1">
      <c r="E28082" s="96"/>
    </row>
    <row r="28083" hidden="1">
      <c r="E28083" s="96"/>
    </row>
    <row r="28084" hidden="1">
      <c r="E28084" s="96"/>
    </row>
    <row r="28085" hidden="1">
      <c r="E28085" s="96"/>
    </row>
    <row r="28086" hidden="1">
      <c r="E28086" s="96"/>
    </row>
    <row r="28087" hidden="1">
      <c r="E28087" s="96"/>
    </row>
    <row r="28088" hidden="1">
      <c r="E28088" s="96"/>
    </row>
    <row r="28089" hidden="1">
      <c r="E28089" s="96"/>
    </row>
    <row r="28090" hidden="1">
      <c r="E28090" s="96"/>
    </row>
    <row r="28091" hidden="1">
      <c r="E28091" s="96"/>
    </row>
    <row r="28092" hidden="1">
      <c r="E28092" s="96"/>
    </row>
    <row r="28093" hidden="1">
      <c r="E28093" s="96"/>
    </row>
    <row r="28094" hidden="1">
      <c r="E28094" s="96"/>
    </row>
    <row r="28095" hidden="1">
      <c r="E28095" s="96"/>
    </row>
    <row r="28096" hidden="1">
      <c r="E28096" s="96"/>
    </row>
    <row r="28097" hidden="1">
      <c r="E28097" s="96"/>
    </row>
    <row r="28098" hidden="1">
      <c r="E28098" s="96"/>
    </row>
    <row r="28099" hidden="1">
      <c r="E28099" s="96"/>
    </row>
    <row r="28100" hidden="1">
      <c r="E28100" s="96"/>
    </row>
    <row r="28101" hidden="1">
      <c r="E28101" s="96"/>
    </row>
    <row r="28102" hidden="1">
      <c r="E28102" s="96"/>
    </row>
    <row r="28103" hidden="1">
      <c r="E28103" s="96"/>
    </row>
    <row r="28104" hidden="1">
      <c r="E28104" s="96"/>
    </row>
    <row r="28105" hidden="1">
      <c r="E28105" s="96"/>
    </row>
    <row r="28106" hidden="1">
      <c r="E28106" s="96"/>
    </row>
    <row r="28107" hidden="1">
      <c r="E28107" s="96"/>
    </row>
    <row r="28108" hidden="1">
      <c r="E28108" s="96"/>
    </row>
    <row r="28109" hidden="1">
      <c r="E28109" s="96"/>
    </row>
    <row r="28110" hidden="1">
      <c r="E28110" s="96"/>
    </row>
    <row r="28111" hidden="1">
      <c r="E28111" s="96"/>
    </row>
    <row r="28112" hidden="1">
      <c r="E28112" s="96"/>
    </row>
    <row r="28113" hidden="1">
      <c r="E28113" s="96"/>
    </row>
    <row r="28114" hidden="1">
      <c r="E28114" s="96"/>
    </row>
    <row r="28115" hidden="1">
      <c r="E28115" s="96"/>
    </row>
    <row r="28116" hidden="1">
      <c r="E28116" s="96"/>
    </row>
    <row r="28117" hidden="1">
      <c r="E28117" s="96"/>
    </row>
    <row r="28118" hidden="1">
      <c r="E28118" s="96"/>
    </row>
    <row r="28119" hidden="1">
      <c r="E28119" s="96"/>
    </row>
    <row r="28120" hidden="1">
      <c r="E28120" s="96"/>
    </row>
    <row r="28121" hidden="1">
      <c r="E28121" s="96"/>
    </row>
    <row r="28122" hidden="1">
      <c r="E28122" s="96"/>
    </row>
    <row r="28123" hidden="1">
      <c r="E28123" s="96"/>
    </row>
    <row r="28124" hidden="1">
      <c r="E28124" s="96"/>
    </row>
    <row r="28125" hidden="1">
      <c r="E28125" s="96"/>
    </row>
    <row r="28126" hidden="1">
      <c r="E28126" s="96"/>
    </row>
    <row r="28127" hidden="1">
      <c r="E28127" s="96"/>
    </row>
    <row r="28128" hidden="1">
      <c r="E28128" s="96"/>
    </row>
    <row r="28129" hidden="1">
      <c r="E28129" s="96"/>
    </row>
    <row r="28130" hidden="1">
      <c r="E28130" s="96"/>
    </row>
    <row r="28131" hidden="1">
      <c r="E28131" s="96"/>
    </row>
    <row r="28132" hidden="1">
      <c r="E28132" s="96"/>
    </row>
    <row r="28133" hidden="1">
      <c r="E28133" s="96"/>
    </row>
    <row r="28134" hidden="1">
      <c r="E28134" s="96"/>
    </row>
    <row r="28135" hidden="1">
      <c r="E28135" s="96"/>
    </row>
    <row r="28136" hidden="1">
      <c r="E28136" s="96"/>
    </row>
    <row r="28137" hidden="1">
      <c r="E28137" s="96"/>
    </row>
    <row r="28138" hidden="1">
      <c r="E28138" s="96"/>
    </row>
    <row r="28139" hidden="1">
      <c r="E28139" s="96"/>
    </row>
    <row r="28140" hidden="1">
      <c r="E28140" s="96"/>
    </row>
    <row r="28141" hidden="1">
      <c r="E28141" s="96"/>
    </row>
    <row r="28142" hidden="1">
      <c r="E28142" s="96"/>
    </row>
    <row r="28143" hidden="1">
      <c r="E28143" s="96"/>
    </row>
    <row r="28144" hidden="1">
      <c r="E28144" s="96"/>
    </row>
    <row r="28145" hidden="1">
      <c r="E28145" s="96"/>
    </row>
    <row r="28146" hidden="1">
      <c r="E28146" s="96"/>
    </row>
    <row r="28147" hidden="1">
      <c r="E28147" s="96"/>
    </row>
    <row r="28148" hidden="1">
      <c r="E28148" s="96"/>
    </row>
    <row r="28149" hidden="1">
      <c r="E28149" s="96"/>
    </row>
    <row r="28150" hidden="1">
      <c r="E28150" s="96"/>
    </row>
    <row r="28151" hidden="1">
      <c r="E28151" s="96"/>
    </row>
    <row r="28152" hidden="1">
      <c r="E28152" s="96"/>
    </row>
    <row r="28153" hidden="1">
      <c r="E28153" s="96"/>
    </row>
    <row r="28154" hidden="1">
      <c r="E28154" s="96"/>
    </row>
    <row r="28155" hidden="1">
      <c r="E28155" s="96"/>
    </row>
    <row r="28156" hidden="1">
      <c r="E28156" s="96"/>
    </row>
    <row r="28157" hidden="1">
      <c r="E28157" s="96"/>
    </row>
    <row r="28158" hidden="1">
      <c r="E28158" s="96"/>
    </row>
    <row r="28159" hidden="1">
      <c r="E28159" s="96"/>
    </row>
    <row r="28160" hidden="1">
      <c r="E28160" s="96"/>
    </row>
    <row r="28161" hidden="1">
      <c r="E28161" s="96"/>
    </row>
    <row r="28162" hidden="1">
      <c r="E28162" s="96"/>
    </row>
    <row r="28163" hidden="1">
      <c r="E28163" s="96"/>
    </row>
    <row r="28164" hidden="1">
      <c r="E28164" s="96"/>
    </row>
    <row r="28165" hidden="1">
      <c r="E28165" s="96"/>
    </row>
    <row r="28166" hidden="1">
      <c r="E28166" s="96"/>
    </row>
    <row r="28167" hidden="1">
      <c r="E28167" s="96"/>
    </row>
    <row r="28168" hidden="1">
      <c r="E28168" s="96"/>
    </row>
    <row r="28169" hidden="1">
      <c r="E28169" s="96"/>
    </row>
    <row r="28170" hidden="1">
      <c r="E28170" s="96"/>
    </row>
    <row r="28171" hidden="1">
      <c r="E28171" s="96"/>
    </row>
    <row r="28172" hidden="1">
      <c r="E28172" s="96"/>
    </row>
    <row r="28173" hidden="1">
      <c r="E28173" s="96"/>
    </row>
    <row r="28174" hidden="1">
      <c r="E28174" s="96"/>
    </row>
    <row r="28175" hidden="1">
      <c r="E28175" s="96"/>
    </row>
    <row r="28176" hidden="1">
      <c r="E28176" s="96"/>
    </row>
    <row r="28177" hidden="1">
      <c r="E28177" s="96"/>
    </row>
    <row r="28178" hidden="1">
      <c r="E28178" s="96"/>
    </row>
    <row r="28179" hidden="1">
      <c r="E28179" s="96"/>
    </row>
    <row r="28180" hidden="1">
      <c r="E28180" s="96"/>
    </row>
    <row r="28181" hidden="1">
      <c r="E28181" s="96"/>
    </row>
    <row r="28182" hidden="1">
      <c r="E28182" s="96"/>
    </row>
    <row r="28183" hidden="1">
      <c r="E28183" s="96"/>
    </row>
    <row r="28184" hidden="1">
      <c r="E28184" s="96"/>
    </row>
    <row r="28185" hidden="1">
      <c r="E28185" s="96"/>
    </row>
    <row r="28186" hidden="1">
      <c r="E28186" s="96"/>
    </row>
    <row r="28187" hidden="1">
      <c r="E28187" s="96"/>
    </row>
    <row r="28188" hidden="1">
      <c r="E28188" s="96"/>
    </row>
    <row r="28189" hidden="1">
      <c r="E28189" s="96"/>
    </row>
    <row r="28190" hidden="1">
      <c r="E28190" s="96"/>
    </row>
    <row r="28191" hidden="1">
      <c r="E28191" s="96"/>
    </row>
    <row r="28192" hidden="1">
      <c r="E28192" s="96"/>
    </row>
    <row r="28193" hidden="1">
      <c r="E28193" s="96"/>
    </row>
    <row r="28194" hidden="1">
      <c r="E28194" s="96"/>
    </row>
    <row r="28195" hidden="1">
      <c r="E28195" s="96"/>
    </row>
    <row r="28196" hidden="1">
      <c r="E28196" s="96"/>
    </row>
    <row r="28197" hidden="1">
      <c r="E28197" s="96"/>
    </row>
    <row r="28198" hidden="1">
      <c r="E28198" s="96"/>
    </row>
    <row r="28199" hidden="1">
      <c r="E28199" s="96"/>
    </row>
    <row r="28200" hidden="1">
      <c r="E28200" s="96"/>
    </row>
    <row r="28201" hidden="1">
      <c r="E28201" s="96"/>
    </row>
    <row r="28202" hidden="1">
      <c r="E28202" s="96"/>
    </row>
    <row r="28203" hidden="1">
      <c r="E28203" s="96"/>
    </row>
    <row r="28204" hidden="1">
      <c r="E28204" s="96"/>
    </row>
    <row r="28205" hidden="1">
      <c r="E28205" s="96"/>
    </row>
    <row r="28206" hidden="1">
      <c r="E28206" s="96"/>
    </row>
    <row r="28207" hidden="1">
      <c r="E28207" s="96"/>
    </row>
    <row r="28208" hidden="1">
      <c r="E28208" s="96"/>
    </row>
    <row r="28209" hidden="1">
      <c r="E28209" s="96"/>
    </row>
    <row r="28210" hidden="1">
      <c r="E28210" s="96"/>
    </row>
    <row r="28211" hidden="1">
      <c r="E28211" s="96"/>
    </row>
    <row r="28212" hidden="1">
      <c r="E28212" s="96"/>
    </row>
    <row r="28213" hidden="1">
      <c r="E28213" s="96"/>
    </row>
    <row r="28214" hidden="1">
      <c r="E28214" s="96"/>
    </row>
    <row r="28215" hidden="1">
      <c r="E28215" s="96"/>
    </row>
    <row r="28216" hidden="1">
      <c r="E28216" s="96"/>
    </row>
    <row r="28217" hidden="1">
      <c r="E28217" s="96"/>
    </row>
    <row r="28218" hidden="1">
      <c r="E28218" s="96"/>
    </row>
    <row r="28219" hidden="1">
      <c r="E28219" s="96"/>
    </row>
    <row r="28220" hidden="1">
      <c r="E28220" s="96"/>
    </row>
    <row r="28221" hidden="1">
      <c r="E28221" s="96"/>
    </row>
    <row r="28222" hidden="1">
      <c r="E28222" s="96"/>
    </row>
    <row r="28223" hidden="1">
      <c r="E28223" s="96"/>
    </row>
    <row r="28224" hidden="1">
      <c r="E28224" s="96"/>
    </row>
    <row r="28225" hidden="1">
      <c r="E28225" s="96"/>
    </row>
    <row r="28226" hidden="1">
      <c r="E28226" s="96"/>
    </row>
    <row r="28227" hidden="1">
      <c r="E28227" s="96"/>
    </row>
    <row r="28228" hidden="1">
      <c r="E28228" s="96"/>
    </row>
    <row r="28229" hidden="1">
      <c r="E28229" s="96"/>
    </row>
    <row r="28230" hidden="1">
      <c r="E28230" s="96"/>
    </row>
    <row r="28231" hidden="1">
      <c r="E28231" s="96"/>
    </row>
    <row r="28232" hidden="1">
      <c r="E28232" s="96"/>
    </row>
    <row r="28233" hidden="1">
      <c r="E28233" s="96"/>
    </row>
    <row r="28234" hidden="1">
      <c r="E28234" s="96"/>
    </row>
    <row r="28235" hidden="1">
      <c r="E28235" s="96"/>
    </row>
    <row r="28236" hidden="1">
      <c r="E28236" s="96"/>
    </row>
    <row r="28237" hidden="1">
      <c r="E28237" s="96"/>
    </row>
    <row r="28238" hidden="1">
      <c r="E28238" s="96"/>
    </row>
    <row r="28239" hidden="1">
      <c r="E28239" s="96"/>
    </row>
    <row r="28240" hidden="1">
      <c r="E28240" s="96"/>
    </row>
    <row r="28241" hidden="1">
      <c r="E28241" s="96"/>
    </row>
    <row r="28242" hidden="1">
      <c r="E28242" s="96"/>
    </row>
    <row r="28243" hidden="1">
      <c r="E28243" s="96"/>
    </row>
    <row r="28244" hidden="1">
      <c r="E28244" s="96"/>
    </row>
    <row r="28245" hidden="1">
      <c r="E28245" s="96"/>
    </row>
    <row r="28246" hidden="1">
      <c r="E28246" s="96"/>
    </row>
    <row r="28247" hidden="1">
      <c r="E28247" s="96"/>
    </row>
    <row r="28248" hidden="1">
      <c r="E28248" s="96"/>
    </row>
    <row r="28249" hidden="1">
      <c r="E28249" s="96"/>
    </row>
    <row r="28250" hidden="1">
      <c r="E28250" s="96"/>
    </row>
    <row r="28251" hidden="1">
      <c r="E28251" s="96"/>
    </row>
    <row r="28252" hidden="1">
      <c r="E28252" s="96"/>
    </row>
    <row r="28253" hidden="1">
      <c r="E28253" s="96"/>
    </row>
    <row r="28254" hidden="1">
      <c r="E28254" s="96"/>
    </row>
    <row r="28255" hidden="1">
      <c r="E28255" s="96"/>
    </row>
    <row r="28256" hidden="1">
      <c r="E28256" s="96"/>
    </row>
    <row r="28257" hidden="1">
      <c r="E28257" s="96"/>
    </row>
    <row r="28258" hidden="1">
      <c r="E28258" s="96"/>
    </row>
    <row r="28259" hidden="1">
      <c r="E28259" s="96"/>
    </row>
    <row r="28260" hidden="1">
      <c r="E28260" s="96"/>
    </row>
    <row r="28261" hidden="1">
      <c r="E28261" s="96"/>
    </row>
    <row r="28262" hidden="1">
      <c r="E28262" s="96"/>
    </row>
    <row r="28263" hidden="1">
      <c r="E28263" s="96"/>
    </row>
    <row r="28264" hidden="1">
      <c r="E28264" s="96"/>
    </row>
    <row r="28265" hidden="1">
      <c r="E28265" s="96"/>
    </row>
    <row r="28266" hidden="1">
      <c r="E28266" s="96"/>
    </row>
    <row r="28267" hidden="1">
      <c r="E28267" s="96"/>
    </row>
    <row r="28268" hidden="1">
      <c r="E28268" s="96"/>
    </row>
    <row r="28269" hidden="1">
      <c r="E28269" s="96"/>
    </row>
    <row r="28270" hidden="1">
      <c r="E28270" s="96"/>
    </row>
    <row r="28271" hidden="1">
      <c r="E28271" s="96"/>
    </row>
    <row r="28272" hidden="1">
      <c r="E28272" s="96"/>
    </row>
    <row r="28273" hidden="1">
      <c r="E28273" s="96"/>
    </row>
    <row r="28274" hidden="1">
      <c r="E28274" s="96"/>
    </row>
    <row r="28275" hidden="1">
      <c r="E28275" s="96"/>
    </row>
    <row r="28276" hidden="1">
      <c r="E28276" s="96"/>
    </row>
    <row r="28277" hidden="1">
      <c r="E28277" s="96"/>
    </row>
    <row r="28278" hidden="1">
      <c r="E28278" s="96"/>
    </row>
    <row r="28279" hidden="1">
      <c r="E28279" s="96"/>
    </row>
    <row r="28280" hidden="1">
      <c r="E28280" s="96"/>
    </row>
    <row r="28281" hidden="1">
      <c r="E28281" s="96"/>
    </row>
    <row r="28282" hidden="1">
      <c r="E28282" s="96"/>
    </row>
    <row r="28283" hidden="1">
      <c r="E28283" s="96"/>
    </row>
    <row r="28284" hidden="1">
      <c r="E28284" s="96"/>
    </row>
    <row r="28285" hidden="1">
      <c r="E28285" s="96"/>
    </row>
    <row r="28286" hidden="1">
      <c r="E28286" s="96"/>
    </row>
    <row r="28287" hidden="1">
      <c r="E28287" s="96"/>
    </row>
    <row r="28288" hidden="1">
      <c r="E28288" s="96"/>
    </row>
    <row r="28289" hidden="1">
      <c r="E28289" s="96"/>
    </row>
    <row r="28290" hidden="1">
      <c r="E28290" s="96"/>
    </row>
    <row r="28291" hidden="1">
      <c r="E28291" s="96"/>
    </row>
    <row r="28292" hidden="1">
      <c r="E28292" s="96"/>
    </row>
    <row r="28293" hidden="1">
      <c r="E28293" s="96"/>
    </row>
    <row r="28294" hidden="1">
      <c r="E28294" s="96"/>
    </row>
    <row r="28295" hidden="1">
      <c r="E28295" s="96"/>
    </row>
    <row r="28296" hidden="1">
      <c r="E28296" s="96"/>
    </row>
    <row r="28297" hidden="1">
      <c r="E28297" s="96"/>
    </row>
    <row r="28298" hidden="1">
      <c r="E28298" s="96"/>
    </row>
    <row r="28299" hidden="1">
      <c r="E28299" s="96"/>
    </row>
    <row r="28300" hidden="1">
      <c r="E28300" s="96"/>
    </row>
    <row r="28301" hidden="1">
      <c r="E28301" s="96"/>
    </row>
    <row r="28302" hidden="1">
      <c r="E28302" s="96"/>
    </row>
    <row r="28303" hidden="1">
      <c r="E28303" s="96"/>
    </row>
    <row r="28304" hidden="1">
      <c r="E28304" s="96"/>
    </row>
    <row r="28305" hidden="1">
      <c r="E28305" s="96"/>
    </row>
    <row r="28306" hidden="1">
      <c r="E28306" s="96"/>
    </row>
    <row r="28307" hidden="1">
      <c r="E28307" s="96"/>
    </row>
    <row r="28308" hidden="1">
      <c r="E28308" s="96"/>
    </row>
    <row r="28309" hidden="1">
      <c r="E28309" s="96"/>
    </row>
    <row r="28310" hidden="1">
      <c r="E28310" s="96"/>
    </row>
    <row r="28311" hidden="1">
      <c r="E28311" s="96"/>
    </row>
    <row r="28312" hidden="1">
      <c r="E28312" s="96"/>
    </row>
    <row r="28313" hidden="1">
      <c r="E28313" s="96"/>
    </row>
    <row r="28314" hidden="1">
      <c r="E28314" s="96"/>
    </row>
    <row r="28315" hidden="1">
      <c r="E28315" s="96"/>
    </row>
    <row r="28316" hidden="1">
      <c r="E28316" s="96"/>
    </row>
    <row r="28317" hidden="1">
      <c r="E28317" s="96"/>
    </row>
    <row r="28318" hidden="1">
      <c r="E28318" s="96"/>
    </row>
    <row r="28319" hidden="1">
      <c r="E28319" s="96"/>
    </row>
    <row r="28320" hidden="1">
      <c r="E28320" s="96"/>
    </row>
    <row r="28321" hidden="1">
      <c r="E28321" s="96"/>
    </row>
    <row r="28322" hidden="1">
      <c r="E28322" s="96"/>
    </row>
    <row r="28323" hidden="1">
      <c r="E28323" s="96"/>
    </row>
    <row r="28324" hidden="1">
      <c r="E28324" s="96"/>
    </row>
    <row r="28325" hidden="1">
      <c r="E28325" s="96"/>
    </row>
    <row r="28326" hidden="1">
      <c r="E28326" s="96"/>
    </row>
    <row r="28327" hidden="1">
      <c r="E28327" s="96"/>
    </row>
    <row r="28328" hidden="1">
      <c r="E28328" s="96"/>
    </row>
    <row r="28329" hidden="1">
      <c r="E28329" s="96"/>
    </row>
    <row r="28330" hidden="1">
      <c r="E28330" s="96"/>
    </row>
    <row r="28331" hidden="1">
      <c r="E28331" s="96"/>
    </row>
    <row r="28332" hidden="1">
      <c r="E28332" s="96"/>
    </row>
    <row r="28333" hidden="1">
      <c r="E28333" s="96"/>
    </row>
    <row r="28334" hidden="1">
      <c r="E28334" s="96"/>
    </row>
    <row r="28335" hidden="1">
      <c r="E28335" s="96"/>
    </row>
    <row r="28336" hidden="1">
      <c r="E28336" s="96"/>
    </row>
    <row r="28337" hidden="1">
      <c r="E28337" s="96"/>
    </row>
    <row r="28338" hidden="1">
      <c r="E28338" s="96"/>
    </row>
    <row r="28339" hidden="1">
      <c r="E28339" s="96"/>
    </row>
    <row r="28340" hidden="1">
      <c r="E28340" s="96"/>
    </row>
    <row r="28341" hidden="1">
      <c r="E28341" s="96"/>
    </row>
    <row r="28342" hidden="1">
      <c r="E28342" s="96"/>
    </row>
    <row r="28343" hidden="1">
      <c r="E28343" s="96"/>
    </row>
    <row r="28344" hidden="1">
      <c r="E28344" s="96"/>
    </row>
    <row r="28345" hidden="1">
      <c r="E28345" s="96"/>
    </row>
    <row r="28346" hidden="1">
      <c r="E28346" s="96"/>
    </row>
    <row r="28347" hidden="1">
      <c r="E28347" s="96"/>
    </row>
    <row r="28348" hidden="1">
      <c r="E28348" s="96"/>
    </row>
    <row r="28349" hidden="1">
      <c r="E28349" s="96"/>
    </row>
    <row r="28350" hidden="1">
      <c r="E28350" s="96"/>
    </row>
    <row r="28351" hidden="1">
      <c r="E28351" s="96"/>
    </row>
    <row r="28352" hidden="1">
      <c r="E28352" s="96"/>
    </row>
    <row r="28353" hidden="1">
      <c r="E28353" s="96"/>
    </row>
    <row r="28354" hidden="1">
      <c r="E28354" s="96"/>
    </row>
    <row r="28355" hidden="1">
      <c r="E28355" s="96"/>
    </row>
    <row r="28356" hidden="1">
      <c r="E28356" s="96"/>
    </row>
    <row r="28357" hidden="1">
      <c r="E28357" s="96"/>
    </row>
    <row r="28358" hidden="1">
      <c r="E28358" s="96"/>
    </row>
    <row r="28359" hidden="1">
      <c r="E28359" s="96"/>
    </row>
    <row r="28360" hidden="1">
      <c r="E28360" s="96"/>
    </row>
    <row r="28361" hidden="1">
      <c r="E28361" s="96"/>
    </row>
    <row r="28362" hidden="1">
      <c r="E28362" s="96"/>
    </row>
    <row r="28363" hidden="1">
      <c r="E28363" s="96"/>
    </row>
    <row r="28364" hidden="1">
      <c r="E28364" s="96"/>
    </row>
    <row r="28365" hidden="1">
      <c r="E28365" s="96"/>
    </row>
    <row r="28366" hidden="1">
      <c r="E28366" s="96"/>
    </row>
    <row r="28367" hidden="1">
      <c r="E28367" s="96"/>
    </row>
    <row r="28368" hidden="1">
      <c r="E28368" s="96"/>
    </row>
    <row r="28369" hidden="1">
      <c r="E28369" s="96"/>
    </row>
    <row r="28370" hidden="1">
      <c r="E28370" s="96"/>
    </row>
    <row r="28371" hidden="1">
      <c r="E28371" s="96"/>
    </row>
    <row r="28372" hidden="1">
      <c r="E28372" s="96"/>
    </row>
    <row r="28373" hidden="1">
      <c r="E28373" s="96"/>
    </row>
    <row r="28374" hidden="1">
      <c r="E28374" s="96"/>
    </row>
    <row r="28375" hidden="1">
      <c r="E28375" s="96"/>
    </row>
    <row r="28376" hidden="1">
      <c r="E28376" s="96"/>
    </row>
    <row r="28377" hidden="1">
      <c r="E28377" s="96"/>
    </row>
    <row r="28378" hidden="1">
      <c r="E28378" s="96"/>
    </row>
    <row r="28379" hidden="1">
      <c r="E28379" s="96"/>
    </row>
    <row r="28380" hidden="1">
      <c r="E28380" s="96"/>
    </row>
    <row r="28381" hidden="1">
      <c r="E28381" s="96"/>
    </row>
    <row r="28382" hidden="1">
      <c r="E28382" s="96"/>
    </row>
    <row r="28383" hidden="1">
      <c r="E28383" s="96"/>
    </row>
    <row r="28384" hidden="1">
      <c r="E28384" s="96"/>
    </row>
    <row r="28385" hidden="1">
      <c r="E28385" s="96"/>
    </row>
    <row r="28386" hidden="1">
      <c r="E28386" s="96"/>
    </row>
    <row r="28387" hidden="1">
      <c r="E28387" s="96"/>
    </row>
    <row r="28388" hidden="1">
      <c r="E28388" s="96"/>
    </row>
    <row r="28389" hidden="1">
      <c r="E28389" s="96"/>
    </row>
    <row r="28390" hidden="1">
      <c r="E28390" s="96"/>
    </row>
    <row r="28391" hidden="1">
      <c r="E28391" s="96"/>
    </row>
    <row r="28392" hidden="1">
      <c r="E28392" s="96"/>
    </row>
    <row r="28393" hidden="1">
      <c r="E28393" s="96"/>
    </row>
    <row r="28394" hidden="1">
      <c r="E28394" s="96"/>
    </row>
    <row r="28395" hidden="1">
      <c r="E28395" s="96"/>
    </row>
    <row r="28396" hidden="1">
      <c r="E28396" s="96"/>
    </row>
    <row r="28397" hidden="1">
      <c r="E28397" s="96"/>
    </row>
    <row r="28398" hidden="1">
      <c r="E28398" s="96"/>
    </row>
    <row r="28399" hidden="1">
      <c r="E28399" s="96"/>
    </row>
    <row r="28400" hidden="1">
      <c r="E28400" s="96"/>
    </row>
    <row r="28401" hidden="1">
      <c r="E28401" s="96"/>
    </row>
    <row r="28402" hidden="1">
      <c r="E28402" s="96"/>
    </row>
    <row r="28403" hidden="1">
      <c r="E28403" s="96"/>
    </row>
    <row r="28404" hidden="1">
      <c r="E28404" s="96"/>
    </row>
    <row r="28405" hidden="1">
      <c r="E28405" s="96"/>
    </row>
    <row r="28406" hidden="1">
      <c r="E28406" s="96"/>
    </row>
    <row r="28407" hidden="1">
      <c r="E28407" s="96"/>
    </row>
    <row r="28408" hidden="1">
      <c r="E28408" s="96"/>
    </row>
    <row r="28409" hidden="1">
      <c r="E28409" s="96"/>
    </row>
    <row r="28410" hidden="1">
      <c r="E28410" s="96"/>
    </row>
    <row r="28411" hidden="1">
      <c r="E28411" s="96"/>
    </row>
    <row r="28412" hidden="1">
      <c r="E28412" s="96"/>
    </row>
    <row r="28413" hidden="1">
      <c r="E28413" s="96"/>
    </row>
    <row r="28414" hidden="1">
      <c r="E28414" s="96"/>
    </row>
    <row r="28415" hidden="1">
      <c r="E28415" s="96"/>
    </row>
    <row r="28416" hidden="1">
      <c r="E28416" s="96"/>
    </row>
    <row r="28417" hidden="1">
      <c r="E28417" s="96"/>
    </row>
    <row r="28418" hidden="1">
      <c r="E28418" s="96"/>
    </row>
    <row r="28419" hidden="1">
      <c r="E28419" s="96"/>
    </row>
    <row r="28420" hidden="1">
      <c r="E28420" s="96"/>
    </row>
    <row r="28421" hidden="1">
      <c r="E28421" s="96"/>
    </row>
    <row r="28422" hidden="1">
      <c r="E28422" s="96"/>
    </row>
    <row r="28423" hidden="1">
      <c r="E28423" s="96"/>
    </row>
    <row r="28424" hidden="1">
      <c r="E28424" s="96"/>
    </row>
    <row r="28425" hidden="1">
      <c r="E28425" s="96"/>
    </row>
    <row r="28426" hidden="1">
      <c r="E28426" s="96"/>
    </row>
    <row r="28427" hidden="1">
      <c r="E28427" s="96"/>
    </row>
    <row r="28428" hidden="1">
      <c r="E28428" s="96"/>
    </row>
    <row r="28429" hidden="1">
      <c r="E28429" s="96"/>
    </row>
    <row r="28430" hidden="1">
      <c r="E28430" s="96"/>
    </row>
    <row r="28431" hidden="1">
      <c r="E28431" s="96"/>
    </row>
    <row r="28432" hidden="1">
      <c r="E28432" s="96"/>
    </row>
    <row r="28433" hidden="1">
      <c r="E28433" s="96"/>
    </row>
    <row r="28434" hidden="1">
      <c r="E28434" s="96"/>
    </row>
    <row r="28435" hidden="1">
      <c r="E28435" s="96"/>
    </row>
    <row r="28436" hidden="1">
      <c r="E28436" s="96"/>
    </row>
    <row r="28437" hidden="1">
      <c r="E28437" s="96"/>
    </row>
    <row r="28438" hidden="1">
      <c r="E28438" s="96"/>
    </row>
    <row r="28439" hidden="1">
      <c r="E28439" s="96"/>
    </row>
    <row r="28440" hidden="1">
      <c r="E28440" s="96"/>
    </row>
    <row r="28441" hidden="1">
      <c r="E28441" s="96"/>
    </row>
    <row r="28442" hidden="1">
      <c r="E28442" s="96"/>
    </row>
    <row r="28443" hidden="1">
      <c r="E28443" s="96"/>
    </row>
    <row r="28444" hidden="1">
      <c r="E28444" s="96"/>
    </row>
    <row r="28445" hidden="1">
      <c r="E28445" s="96"/>
    </row>
    <row r="28446" hidden="1">
      <c r="E28446" s="96"/>
    </row>
    <row r="28447" hidden="1">
      <c r="E28447" s="96"/>
    </row>
    <row r="28448" hidden="1">
      <c r="E28448" s="96"/>
    </row>
    <row r="28449" hidden="1">
      <c r="E28449" s="96"/>
    </row>
    <row r="28450" hidden="1">
      <c r="E28450" s="96"/>
    </row>
    <row r="28451" hidden="1">
      <c r="E28451" s="96"/>
    </row>
    <row r="28452" hidden="1">
      <c r="E28452" s="96"/>
    </row>
    <row r="28453" hidden="1">
      <c r="E28453" s="96"/>
    </row>
    <row r="28454" hidden="1">
      <c r="E28454" s="96"/>
    </row>
    <row r="28455" hidden="1">
      <c r="E28455" s="96"/>
    </row>
    <row r="28456" hidden="1">
      <c r="E28456" s="96"/>
    </row>
    <row r="28457" hidden="1">
      <c r="E28457" s="96"/>
    </row>
    <row r="28458" hidden="1">
      <c r="E28458" s="96"/>
    </row>
    <row r="28459" hidden="1">
      <c r="E28459" s="96"/>
    </row>
    <row r="28460" hidden="1">
      <c r="E28460" s="96"/>
    </row>
    <row r="28461" hidden="1">
      <c r="E28461" s="96"/>
    </row>
    <row r="28462" hidden="1">
      <c r="E28462" s="96"/>
    </row>
    <row r="28463" hidden="1">
      <c r="E28463" s="96"/>
    </row>
    <row r="28464" hidden="1">
      <c r="E28464" s="96"/>
    </row>
    <row r="28465" hidden="1">
      <c r="E28465" s="96"/>
    </row>
    <row r="28466" hidden="1">
      <c r="E28466" s="96"/>
    </row>
    <row r="28467" hidden="1">
      <c r="E28467" s="96"/>
    </row>
    <row r="28468" hidden="1">
      <c r="E28468" s="96"/>
    </row>
    <row r="28469" hidden="1">
      <c r="E28469" s="96"/>
    </row>
    <row r="28470" hidden="1">
      <c r="E28470" s="96"/>
    </row>
    <row r="28471" hidden="1">
      <c r="E28471" s="96"/>
    </row>
    <row r="28472" hidden="1">
      <c r="E28472" s="96"/>
    </row>
    <row r="28473" hidden="1">
      <c r="E28473" s="96"/>
    </row>
    <row r="28474" hidden="1">
      <c r="E28474" s="96"/>
    </row>
    <row r="28475" hidden="1">
      <c r="E28475" s="96"/>
    </row>
    <row r="28476" hidden="1">
      <c r="E28476" s="96"/>
    </row>
    <row r="28477" hidden="1">
      <c r="E28477" s="96"/>
    </row>
    <row r="28478" hidden="1">
      <c r="E28478" s="96"/>
    </row>
    <row r="28479" hidden="1">
      <c r="E28479" s="96"/>
    </row>
    <row r="28480" hidden="1">
      <c r="E28480" s="96"/>
    </row>
    <row r="28481" hidden="1">
      <c r="E28481" s="96"/>
    </row>
    <row r="28482" hidden="1">
      <c r="E28482" s="96"/>
    </row>
    <row r="28483" hidden="1">
      <c r="E28483" s="96"/>
    </row>
    <row r="28484" hidden="1">
      <c r="E28484" s="96"/>
    </row>
    <row r="28485" hidden="1">
      <c r="E28485" s="96"/>
    </row>
    <row r="28486" hidden="1">
      <c r="E28486" s="96"/>
    </row>
    <row r="28487" hidden="1">
      <c r="E28487" s="96"/>
    </row>
    <row r="28488" hidden="1">
      <c r="E28488" s="96"/>
    </row>
    <row r="28489" hidden="1">
      <c r="E28489" s="96"/>
    </row>
    <row r="28490" hidden="1">
      <c r="E28490" s="96"/>
    </row>
    <row r="28491" hidden="1">
      <c r="E28491" s="96"/>
    </row>
    <row r="28492" hidden="1">
      <c r="E28492" s="96"/>
    </row>
    <row r="28493" hidden="1">
      <c r="E28493" s="96"/>
    </row>
    <row r="28494" hidden="1">
      <c r="E28494" s="96"/>
    </row>
    <row r="28495" hidden="1">
      <c r="E28495" s="96"/>
    </row>
    <row r="28496" hidden="1">
      <c r="E28496" s="96"/>
    </row>
    <row r="28497" hidden="1">
      <c r="E28497" s="96"/>
    </row>
    <row r="28498" hidden="1">
      <c r="E28498" s="96"/>
    </row>
    <row r="28499" hidden="1">
      <c r="E28499" s="96"/>
    </row>
    <row r="28500" hidden="1">
      <c r="E28500" s="96"/>
    </row>
    <row r="28501" hidden="1">
      <c r="E28501" s="96"/>
    </row>
    <row r="28502" hidden="1">
      <c r="E28502" s="96"/>
    </row>
    <row r="28503" hidden="1">
      <c r="E28503" s="96"/>
    </row>
    <row r="28504" hidden="1">
      <c r="E28504" s="96"/>
    </row>
    <row r="28505" hidden="1">
      <c r="E28505" s="96"/>
    </row>
    <row r="28506" hidden="1">
      <c r="E28506" s="96"/>
    </row>
    <row r="28507" hidden="1">
      <c r="E28507" s="96"/>
    </row>
    <row r="28508" hidden="1">
      <c r="E28508" s="96"/>
    </row>
    <row r="28509" hidden="1">
      <c r="E28509" s="96"/>
    </row>
    <row r="28510" hidden="1">
      <c r="E28510" s="96"/>
    </row>
    <row r="28511" hidden="1">
      <c r="E28511" s="96"/>
    </row>
    <row r="28512" hidden="1">
      <c r="E28512" s="96"/>
    </row>
    <row r="28513" hidden="1">
      <c r="E28513" s="96"/>
    </row>
    <row r="28514" hidden="1">
      <c r="E28514" s="96"/>
    </row>
    <row r="28515" hidden="1">
      <c r="E28515" s="96"/>
    </row>
    <row r="28516" hidden="1">
      <c r="E28516" s="96"/>
    </row>
    <row r="28517" hidden="1">
      <c r="E28517" s="96"/>
    </row>
    <row r="28518" hidden="1">
      <c r="E28518" s="96"/>
    </row>
    <row r="28519" hidden="1">
      <c r="E28519" s="96"/>
    </row>
    <row r="28520" hidden="1">
      <c r="E28520" s="96"/>
    </row>
    <row r="28521" hidden="1">
      <c r="E28521" s="96"/>
    </row>
    <row r="28522" hidden="1">
      <c r="E28522" s="96"/>
    </row>
    <row r="28523" hidden="1">
      <c r="E28523" s="96"/>
    </row>
    <row r="28524" hidden="1">
      <c r="E28524" s="96"/>
    </row>
    <row r="28525" hidden="1">
      <c r="E28525" s="96"/>
    </row>
    <row r="28526" hidden="1">
      <c r="E28526" s="96"/>
    </row>
    <row r="28527" hidden="1">
      <c r="E28527" s="96"/>
    </row>
    <row r="28528" hidden="1">
      <c r="E28528" s="96"/>
    </row>
    <row r="28529" hidden="1">
      <c r="E28529" s="96"/>
    </row>
    <row r="28530" hidden="1">
      <c r="E28530" s="96"/>
    </row>
    <row r="28531" hidden="1">
      <c r="E28531" s="96"/>
    </row>
    <row r="28532" hidden="1">
      <c r="E28532" s="96"/>
    </row>
    <row r="28533" hidden="1">
      <c r="E28533" s="96"/>
    </row>
    <row r="28534" hidden="1">
      <c r="E28534" s="96"/>
    </row>
    <row r="28535" hidden="1">
      <c r="E28535" s="96"/>
    </row>
    <row r="28536" hidden="1">
      <c r="E28536" s="96"/>
    </row>
    <row r="28537" hidden="1">
      <c r="E28537" s="96"/>
    </row>
    <row r="28538" hidden="1">
      <c r="E28538" s="96"/>
    </row>
    <row r="28539" hidden="1">
      <c r="E28539" s="96"/>
    </row>
    <row r="28540" hidden="1">
      <c r="E28540" s="96"/>
    </row>
    <row r="28541" hidden="1">
      <c r="E28541" s="96"/>
    </row>
    <row r="28542" hidden="1">
      <c r="E28542" s="96"/>
    </row>
    <row r="28543" hidden="1">
      <c r="E28543" s="96"/>
    </row>
    <row r="28544" hidden="1">
      <c r="E28544" s="96"/>
    </row>
    <row r="28545" hidden="1">
      <c r="E28545" s="96"/>
    </row>
    <row r="28546" hidden="1">
      <c r="E28546" s="96"/>
    </row>
    <row r="28547" hidden="1">
      <c r="E28547" s="96"/>
    </row>
    <row r="28548" hidden="1">
      <c r="E28548" s="96"/>
    </row>
    <row r="28549" hidden="1">
      <c r="E28549" s="96"/>
    </row>
    <row r="28550" hidden="1">
      <c r="E28550" s="96"/>
    </row>
    <row r="28551" hidden="1">
      <c r="E28551" s="96"/>
    </row>
    <row r="28552" hidden="1">
      <c r="E28552" s="96"/>
    </row>
    <row r="28553" hidden="1">
      <c r="E28553" s="96"/>
    </row>
    <row r="28554" hidden="1">
      <c r="E28554" s="96"/>
    </row>
    <row r="28555" hidden="1">
      <c r="E28555" s="96"/>
    </row>
    <row r="28556" hidden="1">
      <c r="E28556" s="96"/>
    </row>
    <row r="28557" hidden="1">
      <c r="E28557" s="96"/>
    </row>
    <row r="28558" hidden="1">
      <c r="E28558" s="96"/>
    </row>
    <row r="28559" hidden="1">
      <c r="E28559" s="96"/>
    </row>
    <row r="28560" hidden="1">
      <c r="E28560" s="96"/>
    </row>
    <row r="28561" hidden="1">
      <c r="E28561" s="96"/>
    </row>
    <row r="28562" hidden="1">
      <c r="E28562" s="96"/>
    </row>
    <row r="28563" hidden="1">
      <c r="E28563" s="96"/>
    </row>
    <row r="28564" hidden="1">
      <c r="E28564" s="96"/>
    </row>
    <row r="28565" hidden="1">
      <c r="E28565" s="96"/>
    </row>
    <row r="28566" hidden="1">
      <c r="E28566" s="96"/>
    </row>
    <row r="28567" hidden="1">
      <c r="E28567" s="96"/>
    </row>
    <row r="28568" hidden="1">
      <c r="E28568" s="96"/>
    </row>
    <row r="28569" hidden="1">
      <c r="E28569" s="96"/>
    </row>
    <row r="28570" hidden="1">
      <c r="E28570" s="96"/>
    </row>
    <row r="28571" hidden="1">
      <c r="E28571" s="96"/>
    </row>
    <row r="28572" hidden="1">
      <c r="E28572" s="96"/>
    </row>
    <row r="28573" hidden="1">
      <c r="E28573" s="96"/>
    </row>
    <row r="28574" hidden="1">
      <c r="E28574" s="96"/>
    </row>
    <row r="28575" hidden="1">
      <c r="E28575" s="96"/>
    </row>
    <row r="28576" hidden="1">
      <c r="E28576" s="96"/>
    </row>
    <row r="28577" hidden="1">
      <c r="E28577" s="96"/>
    </row>
    <row r="28578" hidden="1">
      <c r="E28578" s="96"/>
    </row>
    <row r="28579" hidden="1">
      <c r="E28579" s="96"/>
    </row>
    <row r="28580" hidden="1">
      <c r="E28580" s="96"/>
    </row>
    <row r="28581" hidden="1">
      <c r="E28581" s="96"/>
    </row>
    <row r="28582" hidden="1">
      <c r="E28582" s="96"/>
    </row>
    <row r="28583" hidden="1">
      <c r="E28583" s="96"/>
    </row>
    <row r="28584" hidden="1">
      <c r="E28584" s="96"/>
    </row>
    <row r="28585" hidden="1">
      <c r="E28585" s="96"/>
    </row>
    <row r="28586" hidden="1">
      <c r="E28586" s="96"/>
    </row>
    <row r="28587" hidden="1">
      <c r="E28587" s="96"/>
    </row>
    <row r="28588" hidden="1">
      <c r="E28588" s="96"/>
    </row>
    <row r="28589" hidden="1">
      <c r="E28589" s="96"/>
    </row>
    <row r="28590" hidden="1">
      <c r="E28590" s="96"/>
    </row>
    <row r="28591" hidden="1">
      <c r="E28591" s="96"/>
    </row>
    <row r="28592" hidden="1">
      <c r="E28592" s="96"/>
    </row>
    <row r="28593" hidden="1">
      <c r="E28593" s="96"/>
    </row>
    <row r="28594" hidden="1">
      <c r="E28594" s="96"/>
    </row>
    <row r="28595" hidden="1">
      <c r="E28595" s="96"/>
    </row>
    <row r="28596" hidden="1">
      <c r="E28596" s="96"/>
    </row>
    <row r="28597" hidden="1">
      <c r="E28597" s="96"/>
    </row>
    <row r="28598" hidden="1">
      <c r="E28598" s="96"/>
    </row>
    <row r="28599" hidden="1">
      <c r="E28599" s="96"/>
    </row>
    <row r="28600" hidden="1">
      <c r="E28600" s="96"/>
    </row>
    <row r="28601" hidden="1">
      <c r="E28601" s="96"/>
    </row>
    <row r="28602" hidden="1">
      <c r="E28602" s="96"/>
    </row>
    <row r="28603" hidden="1">
      <c r="E28603" s="96"/>
    </row>
    <row r="28604" hidden="1">
      <c r="E28604" s="96"/>
    </row>
    <row r="28605" hidden="1">
      <c r="E28605" s="96"/>
    </row>
    <row r="28606" hidden="1">
      <c r="E28606" s="96"/>
    </row>
    <row r="28607" hidden="1">
      <c r="E28607" s="96"/>
    </row>
    <row r="28608" hidden="1">
      <c r="E28608" s="96"/>
    </row>
    <row r="28609" hidden="1">
      <c r="E28609" s="96"/>
    </row>
    <row r="28610" hidden="1">
      <c r="E28610" s="96"/>
    </row>
    <row r="28611" hidden="1">
      <c r="E28611" s="96"/>
    </row>
    <row r="28612" hidden="1">
      <c r="E28612" s="96"/>
    </row>
    <row r="28613" hidden="1">
      <c r="E28613" s="96"/>
    </row>
    <row r="28614" hidden="1">
      <c r="E28614" s="96"/>
    </row>
    <row r="28615" hidden="1">
      <c r="E28615" s="96"/>
    </row>
    <row r="28616" hidden="1">
      <c r="E28616" s="96"/>
    </row>
    <row r="28617" hidden="1">
      <c r="E28617" s="96"/>
    </row>
    <row r="28618" hidden="1">
      <c r="E28618" s="96"/>
    </row>
    <row r="28619" hidden="1">
      <c r="E28619" s="96"/>
    </row>
    <row r="28620" hidden="1">
      <c r="E28620" s="96"/>
    </row>
    <row r="28621" hidden="1">
      <c r="E28621" s="96"/>
    </row>
    <row r="28622" hidden="1">
      <c r="E28622" s="96"/>
    </row>
    <row r="28623" hidden="1">
      <c r="E28623" s="96"/>
    </row>
    <row r="28624" hidden="1">
      <c r="E28624" s="96"/>
    </row>
    <row r="28625" hidden="1">
      <c r="E28625" s="96"/>
    </row>
    <row r="28626" hidden="1">
      <c r="E28626" s="96"/>
    </row>
    <row r="28627" hidden="1">
      <c r="E28627" s="96"/>
    </row>
    <row r="28628" hidden="1">
      <c r="E28628" s="96"/>
    </row>
    <row r="28629" hidden="1">
      <c r="E28629" s="96"/>
    </row>
    <row r="28630" hidden="1">
      <c r="E28630" s="96"/>
    </row>
    <row r="28631" hidden="1">
      <c r="E28631" s="96"/>
    </row>
    <row r="28632" hidden="1">
      <c r="E28632" s="96"/>
    </row>
    <row r="28633" hidden="1">
      <c r="E28633" s="96"/>
    </row>
    <row r="28634" hidden="1">
      <c r="E28634" s="96"/>
    </row>
    <row r="28635" hidden="1">
      <c r="E28635" s="96"/>
    </row>
    <row r="28636" hidden="1">
      <c r="E28636" s="96"/>
    </row>
    <row r="28637" hidden="1">
      <c r="E28637" s="96"/>
    </row>
    <row r="28638" hidden="1">
      <c r="E28638" s="96"/>
    </row>
    <row r="28639" hidden="1">
      <c r="E28639" s="96"/>
    </row>
    <row r="28640" hidden="1">
      <c r="E28640" s="96"/>
    </row>
    <row r="28641" hidden="1">
      <c r="E28641" s="96"/>
    </row>
    <row r="28642" hidden="1">
      <c r="E28642" s="96"/>
    </row>
    <row r="28643" hidden="1">
      <c r="E28643" s="96"/>
    </row>
    <row r="28644" hidden="1">
      <c r="E28644" s="96"/>
    </row>
    <row r="28645" hidden="1">
      <c r="E28645" s="96"/>
    </row>
    <row r="28646" hidden="1">
      <c r="E28646" s="96"/>
    </row>
    <row r="28647" hidden="1">
      <c r="E28647" s="96"/>
    </row>
    <row r="28648" hidden="1">
      <c r="E28648" s="96"/>
    </row>
    <row r="28649" hidden="1">
      <c r="E28649" s="96"/>
    </row>
    <row r="28650" hidden="1">
      <c r="E28650" s="96"/>
    </row>
    <row r="28651" hidden="1">
      <c r="E28651" s="96"/>
    </row>
    <row r="28652" hidden="1">
      <c r="E28652" s="96"/>
    </row>
    <row r="28653" hidden="1">
      <c r="E28653" s="96"/>
    </row>
    <row r="28654" hidden="1">
      <c r="E28654" s="96"/>
    </row>
    <row r="28655" hidden="1">
      <c r="E28655" s="96"/>
    </row>
    <row r="28656" hidden="1">
      <c r="E28656" s="96"/>
    </row>
    <row r="28657" hidden="1">
      <c r="E28657" s="96"/>
    </row>
    <row r="28658" hidden="1">
      <c r="E28658" s="96"/>
    </row>
    <row r="28659" hidden="1">
      <c r="E28659" s="96"/>
    </row>
    <row r="28660" hidden="1">
      <c r="E28660" s="96"/>
    </row>
    <row r="28661" hidden="1">
      <c r="E28661" s="96"/>
    </row>
    <row r="28662" hidden="1">
      <c r="E28662" s="96"/>
    </row>
    <row r="28663" hidden="1">
      <c r="E28663" s="96"/>
    </row>
    <row r="28664" hidden="1">
      <c r="E28664" s="96"/>
    </row>
    <row r="28665" hidden="1">
      <c r="E28665" s="96"/>
    </row>
    <row r="28666" hidden="1">
      <c r="E28666" s="96"/>
    </row>
    <row r="28667" hidden="1">
      <c r="E28667" s="96"/>
    </row>
    <row r="28668" hidden="1">
      <c r="E28668" s="96"/>
    </row>
    <row r="28669" hidden="1">
      <c r="E28669" s="96"/>
    </row>
    <row r="28670" hidden="1">
      <c r="E28670" s="96"/>
    </row>
    <row r="28671" hidden="1">
      <c r="E28671" s="96"/>
    </row>
    <row r="28672" hidden="1">
      <c r="E28672" s="96"/>
    </row>
    <row r="28673" hidden="1">
      <c r="E28673" s="96"/>
    </row>
    <row r="28674" hidden="1">
      <c r="E28674" s="96"/>
    </row>
    <row r="28675" hidden="1">
      <c r="E28675" s="96"/>
    </row>
    <row r="28676" hidden="1">
      <c r="E28676" s="96"/>
    </row>
    <row r="28677" hidden="1">
      <c r="E28677" s="96"/>
    </row>
    <row r="28678" hidden="1">
      <c r="E28678" s="96"/>
    </row>
    <row r="28679" hidden="1">
      <c r="E28679" s="96"/>
    </row>
    <row r="28680" hidden="1">
      <c r="E28680" s="96"/>
    </row>
    <row r="28681" hidden="1">
      <c r="E28681" s="96"/>
    </row>
    <row r="28682" hidden="1">
      <c r="E28682" s="96"/>
    </row>
    <row r="28683" hidden="1">
      <c r="E28683" s="96"/>
    </row>
    <row r="28684" hidden="1">
      <c r="E28684" s="96"/>
    </row>
    <row r="28685" hidden="1">
      <c r="E28685" s="96"/>
    </row>
    <row r="28686" hidden="1">
      <c r="E28686" s="96"/>
    </row>
    <row r="28687" hidden="1">
      <c r="E28687" s="96"/>
    </row>
    <row r="28688" hidden="1">
      <c r="E28688" s="96"/>
    </row>
    <row r="28689" hidden="1">
      <c r="E28689" s="96"/>
    </row>
    <row r="28690" hidden="1">
      <c r="E28690" s="96"/>
    </row>
    <row r="28691" hidden="1">
      <c r="E28691" s="96"/>
    </row>
    <row r="28692" hidden="1">
      <c r="E28692" s="96"/>
    </row>
    <row r="28693" hidden="1">
      <c r="E28693" s="96"/>
    </row>
    <row r="28694" hidden="1">
      <c r="E28694" s="96"/>
    </row>
    <row r="28695" hidden="1">
      <c r="E28695" s="96"/>
    </row>
    <row r="28696" hidden="1">
      <c r="E28696" s="96"/>
    </row>
    <row r="28697" hidden="1">
      <c r="E28697" s="96"/>
    </row>
    <row r="28698" hidden="1">
      <c r="E28698" s="96"/>
    </row>
    <row r="28699" hidden="1">
      <c r="E28699" s="96"/>
    </row>
    <row r="28700" hidden="1">
      <c r="E28700" s="96"/>
    </row>
    <row r="28701" hidden="1">
      <c r="E28701" s="96"/>
    </row>
    <row r="28702" hidden="1">
      <c r="E28702" s="96"/>
    </row>
    <row r="28703" hidden="1">
      <c r="E28703" s="96"/>
    </row>
    <row r="28704" hidden="1">
      <c r="E28704" s="96"/>
    </row>
    <row r="28705" hidden="1">
      <c r="E28705" s="96"/>
    </row>
    <row r="28706" hidden="1">
      <c r="E28706" s="96"/>
    </row>
    <row r="28707" hidden="1">
      <c r="E28707" s="96"/>
    </row>
    <row r="28708" hidden="1">
      <c r="E28708" s="96"/>
    </row>
    <row r="28709" hidden="1">
      <c r="E28709" s="96"/>
    </row>
    <row r="28710" hidden="1">
      <c r="E28710" s="96"/>
    </row>
    <row r="28711" hidden="1">
      <c r="E28711" s="96"/>
    </row>
    <row r="28712" hidden="1">
      <c r="E28712" s="96"/>
    </row>
    <row r="28713" hidden="1">
      <c r="E28713" s="96"/>
    </row>
    <row r="28714" hidden="1">
      <c r="E28714" s="96"/>
    </row>
    <row r="28715" hidden="1">
      <c r="E28715" s="96"/>
    </row>
    <row r="28716" hidden="1">
      <c r="E28716" s="96"/>
    </row>
    <row r="28717" hidden="1">
      <c r="E28717" s="96"/>
    </row>
    <row r="28718" hidden="1">
      <c r="E28718" s="96"/>
    </row>
    <row r="28719" hidden="1">
      <c r="E28719" s="96"/>
    </row>
    <row r="28720" hidden="1">
      <c r="E28720" s="96"/>
    </row>
    <row r="28721" hidden="1">
      <c r="E28721" s="96"/>
    </row>
    <row r="28722" hidden="1">
      <c r="E28722" s="96"/>
    </row>
    <row r="28723" hidden="1">
      <c r="E28723" s="96"/>
    </row>
    <row r="28724" hidden="1">
      <c r="E28724" s="96"/>
    </row>
    <row r="28725" hidden="1">
      <c r="E28725" s="96"/>
    </row>
    <row r="28726" hidden="1">
      <c r="E28726" s="96"/>
    </row>
    <row r="28727" hidden="1">
      <c r="E28727" s="96"/>
    </row>
    <row r="28728" hidden="1">
      <c r="E28728" s="96"/>
    </row>
    <row r="28729" hidden="1">
      <c r="E28729" s="96"/>
    </row>
    <row r="28730" hidden="1">
      <c r="E28730" s="96"/>
    </row>
    <row r="28731" hidden="1">
      <c r="E28731" s="96"/>
    </row>
    <row r="28732" hidden="1">
      <c r="E28732" s="96"/>
    </row>
    <row r="28733" hidden="1">
      <c r="E28733" s="96"/>
    </row>
    <row r="28734" hidden="1">
      <c r="E28734" s="96"/>
    </row>
    <row r="28735" hidden="1">
      <c r="E28735" s="96"/>
    </row>
    <row r="28736" hidden="1">
      <c r="E28736" s="96"/>
    </row>
    <row r="28737" hidden="1">
      <c r="E28737" s="96"/>
    </row>
    <row r="28738" hidden="1">
      <c r="E28738" s="96"/>
    </row>
    <row r="28739" hidden="1">
      <c r="E28739" s="96"/>
    </row>
    <row r="28740" hidden="1">
      <c r="E28740" s="96"/>
    </row>
    <row r="28741" hidden="1">
      <c r="E28741" s="96"/>
    </row>
    <row r="28742" hidden="1">
      <c r="E28742" s="96"/>
    </row>
    <row r="28743" hidden="1">
      <c r="E28743" s="96"/>
    </row>
    <row r="28744" hidden="1">
      <c r="E28744" s="96"/>
    </row>
    <row r="28745" hidden="1">
      <c r="E28745" s="96"/>
    </row>
    <row r="28746" hidden="1">
      <c r="E28746" s="96"/>
    </row>
    <row r="28747" hidden="1">
      <c r="E28747" s="96"/>
    </row>
    <row r="28748" hidden="1">
      <c r="E28748" s="96"/>
    </row>
    <row r="28749" hidden="1">
      <c r="E28749" s="96"/>
    </row>
    <row r="28750" hidden="1">
      <c r="E28750" s="96"/>
    </row>
    <row r="28751" hidden="1">
      <c r="E28751" s="96"/>
    </row>
    <row r="28752" hidden="1">
      <c r="E28752" s="96"/>
    </row>
    <row r="28753" hidden="1">
      <c r="E28753" s="96"/>
    </row>
    <row r="28754" hidden="1">
      <c r="E28754" s="96"/>
    </row>
    <row r="28755" hidden="1">
      <c r="E28755" s="96"/>
    </row>
    <row r="28756" hidden="1">
      <c r="E28756" s="96"/>
    </row>
    <row r="28757" hidden="1">
      <c r="E28757" s="96"/>
    </row>
    <row r="28758" hidden="1">
      <c r="E28758" s="96"/>
    </row>
    <row r="28759" hidden="1">
      <c r="E28759" s="96"/>
    </row>
    <row r="28760" hidden="1">
      <c r="E28760" s="96"/>
    </row>
    <row r="28761" hidden="1">
      <c r="E28761" s="96"/>
    </row>
    <row r="28762" hidden="1">
      <c r="E28762" s="96"/>
    </row>
    <row r="28763" hidden="1">
      <c r="E28763" s="96"/>
    </row>
    <row r="28764" hidden="1">
      <c r="E28764" s="96"/>
    </row>
    <row r="28765" hidden="1">
      <c r="E28765" s="96"/>
    </row>
    <row r="28766" hidden="1">
      <c r="E28766" s="96"/>
    </row>
    <row r="28767" hidden="1">
      <c r="E28767" s="96"/>
    </row>
    <row r="28768" hidden="1">
      <c r="E28768" s="96"/>
    </row>
    <row r="28769" hidden="1">
      <c r="E28769" s="96"/>
    </row>
    <row r="28770" hidden="1">
      <c r="E28770" s="96"/>
    </row>
    <row r="28771" hidden="1">
      <c r="E28771" s="96"/>
    </row>
    <row r="28772" hidden="1">
      <c r="E28772" s="96"/>
    </row>
    <row r="28773" hidden="1">
      <c r="E28773" s="96"/>
    </row>
    <row r="28774" hidden="1">
      <c r="E28774" s="96"/>
    </row>
    <row r="28775" hidden="1">
      <c r="E28775" s="96"/>
    </row>
    <row r="28776" hidden="1">
      <c r="E28776" s="96"/>
    </row>
    <row r="28777" hidden="1">
      <c r="E28777" s="96"/>
    </row>
    <row r="28778" hidden="1">
      <c r="E28778" s="96"/>
    </row>
    <row r="28779" hidden="1">
      <c r="E28779" s="96"/>
    </row>
    <row r="28780" hidden="1">
      <c r="E28780" s="96"/>
    </row>
    <row r="28781" hidden="1">
      <c r="E28781" s="96"/>
    </row>
    <row r="28782" hidden="1">
      <c r="E28782" s="96"/>
    </row>
    <row r="28783" hidden="1">
      <c r="E28783" s="96"/>
    </row>
    <row r="28784" hidden="1">
      <c r="E28784" s="96"/>
    </row>
    <row r="28785" hidden="1">
      <c r="E28785" s="96"/>
    </row>
    <row r="28786" hidden="1">
      <c r="E28786" s="96"/>
    </row>
    <row r="28787" hidden="1">
      <c r="E28787" s="96"/>
    </row>
    <row r="28788" hidden="1">
      <c r="E28788" s="96"/>
    </row>
    <row r="28789" hidden="1">
      <c r="E28789" s="96"/>
    </row>
    <row r="28790" hidden="1">
      <c r="E28790" s="96"/>
    </row>
    <row r="28791" hidden="1">
      <c r="E28791" s="96"/>
    </row>
    <row r="28792" hidden="1">
      <c r="E28792" s="96"/>
    </row>
    <row r="28793" hidden="1">
      <c r="E28793" s="96"/>
    </row>
    <row r="28794" hidden="1">
      <c r="E28794" s="96"/>
    </row>
    <row r="28795" hidden="1">
      <c r="E28795" s="96"/>
    </row>
    <row r="28796" hidden="1">
      <c r="E28796" s="96"/>
    </row>
    <row r="28797" hidden="1">
      <c r="E28797" s="96"/>
    </row>
    <row r="28798" hidden="1">
      <c r="E28798" s="96"/>
    </row>
    <row r="28799" hidden="1">
      <c r="E28799" s="96"/>
    </row>
    <row r="28800" hidden="1">
      <c r="E28800" s="96"/>
    </row>
    <row r="28801" hidden="1">
      <c r="E28801" s="96"/>
    </row>
    <row r="28802" hidden="1">
      <c r="E28802" s="96"/>
    </row>
    <row r="28803" hidden="1">
      <c r="E28803" s="96"/>
    </row>
    <row r="28804" hidden="1">
      <c r="E28804" s="96"/>
    </row>
    <row r="28805" hidden="1">
      <c r="E28805" s="96"/>
    </row>
    <row r="28806" hidden="1">
      <c r="E28806" s="96"/>
    </row>
    <row r="28807" hidden="1">
      <c r="E28807" s="96"/>
    </row>
    <row r="28808" hidden="1">
      <c r="E28808" s="96"/>
    </row>
    <row r="28809" hidden="1">
      <c r="E28809" s="96"/>
    </row>
    <row r="28810" hidden="1">
      <c r="E28810" s="96"/>
    </row>
    <row r="28811" hidden="1">
      <c r="E28811" s="96"/>
    </row>
    <row r="28812" hidden="1">
      <c r="E28812" s="96"/>
    </row>
    <row r="28813" hidden="1">
      <c r="E28813" s="96"/>
    </row>
    <row r="28814" hidden="1">
      <c r="E28814" s="96"/>
    </row>
    <row r="28815" hidden="1">
      <c r="E28815" s="96"/>
    </row>
    <row r="28816" hidden="1">
      <c r="E28816" s="96"/>
    </row>
    <row r="28817" hidden="1">
      <c r="E28817" s="96"/>
    </row>
    <row r="28818" hidden="1">
      <c r="E28818" s="96"/>
    </row>
    <row r="28819" hidden="1">
      <c r="E28819" s="96"/>
    </row>
    <row r="28820" hidden="1">
      <c r="E28820" s="96"/>
    </row>
    <row r="28821" hidden="1">
      <c r="E28821" s="96"/>
    </row>
    <row r="28822" hidden="1">
      <c r="E28822" s="96"/>
    </row>
    <row r="28823" hidden="1">
      <c r="E28823" s="96"/>
    </row>
    <row r="28824" hidden="1">
      <c r="E28824" s="96"/>
    </row>
    <row r="28825" hidden="1">
      <c r="E28825" s="96"/>
    </row>
    <row r="28826" hidden="1">
      <c r="E28826" s="96"/>
    </row>
    <row r="28827" hidden="1">
      <c r="E28827" s="96"/>
    </row>
    <row r="28828" hidden="1">
      <c r="E28828" s="96"/>
    </row>
    <row r="28829" hidden="1">
      <c r="E28829" s="96"/>
    </row>
    <row r="28830" hidden="1">
      <c r="E28830" s="96"/>
    </row>
    <row r="28831" hidden="1">
      <c r="E28831" s="96"/>
    </row>
    <row r="28832" hidden="1">
      <c r="E28832" s="96"/>
    </row>
    <row r="28833" hidden="1">
      <c r="E28833" s="96"/>
    </row>
    <row r="28834" hidden="1">
      <c r="E28834" s="96"/>
    </row>
    <row r="28835" hidden="1">
      <c r="E28835" s="96"/>
    </row>
    <row r="28836" hidden="1">
      <c r="E28836" s="96"/>
    </row>
    <row r="28837" hidden="1">
      <c r="E28837" s="96"/>
    </row>
    <row r="28838" hidden="1">
      <c r="E28838" s="96"/>
    </row>
    <row r="28839" hidden="1">
      <c r="E28839" s="96"/>
    </row>
    <row r="28840" hidden="1">
      <c r="E28840" s="96"/>
    </row>
    <row r="28841" hidden="1">
      <c r="E28841" s="96"/>
    </row>
    <row r="28842" hidden="1">
      <c r="E28842" s="96"/>
    </row>
    <row r="28843" hidden="1">
      <c r="E28843" s="96"/>
    </row>
    <row r="28844" hidden="1">
      <c r="E28844" s="96"/>
    </row>
    <row r="28845" hidden="1">
      <c r="E28845" s="96"/>
    </row>
    <row r="28846" hidden="1">
      <c r="E28846" s="96"/>
    </row>
    <row r="28847" hidden="1">
      <c r="E28847" s="96"/>
    </row>
    <row r="28848" hidden="1">
      <c r="E28848" s="96"/>
    </row>
    <row r="28849" hidden="1">
      <c r="E28849" s="96"/>
    </row>
    <row r="28850" hidden="1">
      <c r="E28850" s="96"/>
    </row>
    <row r="28851" hidden="1">
      <c r="E28851" s="96"/>
    </row>
    <row r="28852" hidden="1">
      <c r="E28852" s="96"/>
    </row>
    <row r="28853" hidden="1">
      <c r="E28853" s="96"/>
    </row>
    <row r="28854" hidden="1">
      <c r="E28854" s="96"/>
    </row>
    <row r="28855" hidden="1">
      <c r="E28855" s="96"/>
    </row>
    <row r="28856" hidden="1">
      <c r="E28856" s="96"/>
    </row>
    <row r="28857" hidden="1">
      <c r="E28857" s="96"/>
    </row>
    <row r="28858" hidden="1">
      <c r="E28858" s="96"/>
    </row>
    <row r="28859" hidden="1">
      <c r="E28859" s="96"/>
    </row>
    <row r="28860" hidden="1">
      <c r="E28860" s="96"/>
    </row>
    <row r="28861" hidden="1">
      <c r="E28861" s="96"/>
    </row>
    <row r="28862" hidden="1">
      <c r="E28862" s="96"/>
    </row>
    <row r="28863" hidden="1">
      <c r="E28863" s="96"/>
    </row>
    <row r="28864" hidden="1">
      <c r="E28864" s="96"/>
    </row>
    <row r="28865" hidden="1">
      <c r="E28865" s="96"/>
    </row>
    <row r="28866" hidden="1">
      <c r="E28866" s="96"/>
    </row>
    <row r="28867" hidden="1">
      <c r="E28867" s="96"/>
    </row>
    <row r="28868" hidden="1">
      <c r="E28868" s="96"/>
    </row>
    <row r="28869" hidden="1">
      <c r="E28869" s="96"/>
    </row>
    <row r="28870" hidden="1">
      <c r="E28870" s="96"/>
    </row>
    <row r="28871" hidden="1">
      <c r="E28871" s="96"/>
    </row>
    <row r="28872" hidden="1">
      <c r="E28872" s="96"/>
    </row>
    <row r="28873" hidden="1">
      <c r="E28873" s="96"/>
    </row>
    <row r="28874" hidden="1">
      <c r="E28874" s="96"/>
    </row>
    <row r="28875" hidden="1">
      <c r="E28875" s="96"/>
    </row>
    <row r="28876" hidden="1">
      <c r="E28876" s="96"/>
    </row>
    <row r="28877" hidden="1">
      <c r="E28877" s="96"/>
    </row>
    <row r="28878" hidden="1">
      <c r="E28878" s="96"/>
    </row>
    <row r="28879" hidden="1">
      <c r="E28879" s="96"/>
    </row>
    <row r="28880" hidden="1">
      <c r="E28880" s="96"/>
    </row>
    <row r="28881" hidden="1">
      <c r="E28881" s="96"/>
    </row>
    <row r="28882" hidden="1">
      <c r="E28882" s="96"/>
    </row>
    <row r="28883" hidden="1">
      <c r="E28883" s="96"/>
    </row>
    <row r="28884" hidden="1">
      <c r="E28884" s="96"/>
    </row>
    <row r="28885" hidden="1">
      <c r="E28885" s="96"/>
    </row>
    <row r="28886" hidden="1">
      <c r="E28886" s="96"/>
    </row>
    <row r="28887" hidden="1">
      <c r="E28887" s="96"/>
    </row>
    <row r="28888" hidden="1">
      <c r="E28888" s="96"/>
    </row>
    <row r="28889" hidden="1">
      <c r="E28889" s="96"/>
    </row>
    <row r="28890" hidden="1">
      <c r="E28890" s="96"/>
    </row>
    <row r="28891" hidden="1">
      <c r="E28891" s="96"/>
    </row>
    <row r="28892" hidden="1">
      <c r="E28892" s="96"/>
    </row>
    <row r="28893" hidden="1">
      <c r="E28893" s="96"/>
    </row>
    <row r="28894" hidden="1">
      <c r="E28894" s="96"/>
    </row>
    <row r="28895" hidden="1">
      <c r="E28895" s="96"/>
    </row>
    <row r="28896" hidden="1">
      <c r="E28896" s="96"/>
    </row>
    <row r="28897" hidden="1">
      <c r="E28897" s="96"/>
    </row>
    <row r="28898" hidden="1">
      <c r="E28898" s="96"/>
    </row>
    <row r="28899" hidden="1">
      <c r="E28899" s="96"/>
    </row>
    <row r="28900" hidden="1">
      <c r="E28900" s="96"/>
    </row>
    <row r="28901" hidden="1">
      <c r="E28901" s="96"/>
    </row>
    <row r="28902" hidden="1">
      <c r="E28902" s="96"/>
    </row>
    <row r="28903" hidden="1">
      <c r="E28903" s="96"/>
    </row>
    <row r="28904" hidden="1">
      <c r="E28904" s="96"/>
    </row>
    <row r="28905" hidden="1">
      <c r="E28905" s="96"/>
    </row>
    <row r="28906" hidden="1">
      <c r="E28906" s="96"/>
    </row>
    <row r="28907" hidden="1">
      <c r="E28907" s="96"/>
    </row>
    <row r="28908" hidden="1">
      <c r="E28908" s="96"/>
    </row>
    <row r="28909" hidden="1">
      <c r="E28909" s="96"/>
    </row>
    <row r="28910" hidden="1">
      <c r="E28910" s="96"/>
    </row>
    <row r="28911" hidden="1">
      <c r="E28911" s="96"/>
    </row>
    <row r="28912" hidden="1">
      <c r="E28912" s="96"/>
    </row>
    <row r="28913" hidden="1">
      <c r="E28913" s="96"/>
    </row>
    <row r="28914" hidden="1">
      <c r="E28914" s="96"/>
    </row>
    <row r="28915" hidden="1">
      <c r="E28915" s="96"/>
    </row>
    <row r="28916" hidden="1">
      <c r="E28916" s="96"/>
    </row>
    <row r="28917" hidden="1">
      <c r="E28917" s="96"/>
    </row>
    <row r="28918" hidden="1">
      <c r="E28918" s="96"/>
    </row>
    <row r="28919" hidden="1">
      <c r="E28919" s="96"/>
    </row>
    <row r="28920" hidden="1">
      <c r="E28920" s="96"/>
    </row>
    <row r="28921" hidden="1">
      <c r="E28921" s="96"/>
    </row>
    <row r="28922" hidden="1">
      <c r="E28922" s="96"/>
    </row>
    <row r="28923" hidden="1">
      <c r="E28923" s="96"/>
    </row>
    <row r="28924" hidden="1">
      <c r="E28924" s="96"/>
    </row>
    <row r="28925" hidden="1">
      <c r="E28925" s="96"/>
    </row>
    <row r="28926" hidden="1">
      <c r="E28926" s="96"/>
    </row>
    <row r="28927" hidden="1">
      <c r="E28927" s="96"/>
    </row>
    <row r="28928" hidden="1">
      <c r="E28928" s="96"/>
    </row>
    <row r="28929" hidden="1">
      <c r="E28929" s="96"/>
    </row>
    <row r="28930" hidden="1">
      <c r="E28930" s="96"/>
    </row>
    <row r="28931" hidden="1">
      <c r="E28931" s="96"/>
    </row>
    <row r="28932" hidden="1">
      <c r="E28932" s="96"/>
    </row>
    <row r="28933" hidden="1">
      <c r="E28933" s="96"/>
    </row>
    <row r="28934" hidden="1">
      <c r="E28934" s="96"/>
    </row>
    <row r="28935" hidden="1">
      <c r="E28935" s="96"/>
    </row>
    <row r="28936" hidden="1">
      <c r="E28936" s="96"/>
    </row>
    <row r="28937" hidden="1">
      <c r="E28937" s="96"/>
    </row>
    <row r="28938" hidden="1">
      <c r="E28938" s="96"/>
    </row>
    <row r="28939" hidden="1">
      <c r="E28939" s="96"/>
    </row>
    <row r="28940" hidden="1">
      <c r="E28940" s="96"/>
    </row>
    <row r="28941" hidden="1">
      <c r="E28941" s="96"/>
    </row>
    <row r="28942" hidden="1">
      <c r="E28942" s="96"/>
    </row>
    <row r="28943" hidden="1">
      <c r="E28943" s="96"/>
    </row>
    <row r="28944" hidden="1">
      <c r="E28944" s="96"/>
    </row>
    <row r="28945" hidden="1">
      <c r="E28945" s="96"/>
    </row>
    <row r="28946" hidden="1">
      <c r="E28946" s="96"/>
    </row>
    <row r="28947" hidden="1">
      <c r="E28947" s="96"/>
    </row>
    <row r="28948" hidden="1">
      <c r="E28948" s="96"/>
    </row>
    <row r="28949" hidden="1">
      <c r="E28949" s="96"/>
    </row>
    <row r="28950" hidden="1">
      <c r="E28950" s="96"/>
    </row>
    <row r="28951" hidden="1">
      <c r="E28951" s="96"/>
    </row>
    <row r="28952" hidden="1">
      <c r="E28952" s="96"/>
    </row>
    <row r="28953" hidden="1">
      <c r="E28953" s="96"/>
    </row>
    <row r="28954" hidden="1">
      <c r="E28954" s="96"/>
    </row>
    <row r="28955" hidden="1">
      <c r="E28955" s="96"/>
    </row>
    <row r="28956" hidden="1">
      <c r="E28956" s="96"/>
    </row>
    <row r="28957" hidden="1">
      <c r="E28957" s="96"/>
    </row>
    <row r="28958" hidden="1">
      <c r="E28958" s="96"/>
    </row>
    <row r="28959" hidden="1">
      <c r="E28959" s="96"/>
    </row>
    <row r="28960" hidden="1">
      <c r="E28960" s="96"/>
    </row>
    <row r="28961" hidden="1">
      <c r="E28961" s="96"/>
    </row>
    <row r="28962" hidden="1">
      <c r="E28962" s="96"/>
    </row>
    <row r="28963" hidden="1">
      <c r="E28963" s="96"/>
    </row>
    <row r="28964" hidden="1">
      <c r="E28964" s="96"/>
    </row>
    <row r="28965" hidden="1">
      <c r="E28965" s="96"/>
    </row>
    <row r="28966" hidden="1">
      <c r="E28966" s="96"/>
    </row>
    <row r="28967" hidden="1">
      <c r="E28967" s="96"/>
    </row>
    <row r="28968" hidden="1">
      <c r="E28968" s="96"/>
    </row>
    <row r="28969" hidden="1">
      <c r="E28969" s="96"/>
    </row>
    <row r="28970" hidden="1">
      <c r="E28970" s="96"/>
    </row>
    <row r="28971" hidden="1">
      <c r="E28971" s="96"/>
    </row>
    <row r="28972" hidden="1">
      <c r="E28972" s="96"/>
    </row>
    <row r="28973" hidden="1">
      <c r="E28973" s="96"/>
    </row>
    <row r="28974" hidden="1">
      <c r="E28974" s="96"/>
    </row>
    <row r="28975" hidden="1">
      <c r="E28975" s="96"/>
    </row>
    <row r="28976" hidden="1">
      <c r="E28976" s="96"/>
    </row>
    <row r="28977" hidden="1">
      <c r="E28977" s="96"/>
    </row>
    <row r="28978" hidden="1">
      <c r="E28978" s="96"/>
    </row>
    <row r="28979" hidden="1">
      <c r="E28979" s="96"/>
    </row>
    <row r="28980" hidden="1">
      <c r="E28980" s="96"/>
    </row>
    <row r="28981" hidden="1">
      <c r="E28981" s="96"/>
    </row>
    <row r="28982" hidden="1">
      <c r="E28982" s="96"/>
    </row>
    <row r="28983" hidden="1">
      <c r="E28983" s="96"/>
    </row>
    <row r="28984" hidden="1">
      <c r="E28984" s="96"/>
    </row>
    <row r="28985" hidden="1">
      <c r="E28985" s="96"/>
    </row>
    <row r="28986" hidden="1">
      <c r="E28986" s="96"/>
    </row>
    <row r="28987" hidden="1">
      <c r="E28987" s="96"/>
    </row>
    <row r="28988" hidden="1">
      <c r="E28988" s="96"/>
    </row>
    <row r="28989" hidden="1">
      <c r="E28989" s="96"/>
    </row>
    <row r="28990" hidden="1">
      <c r="E28990" s="96"/>
    </row>
    <row r="28991" hidden="1">
      <c r="E28991" s="96"/>
    </row>
    <row r="28992" hidden="1">
      <c r="E28992" s="96"/>
    </row>
    <row r="28993" hidden="1">
      <c r="E28993" s="96"/>
    </row>
    <row r="28994" hidden="1">
      <c r="E28994" s="96"/>
    </row>
    <row r="28995" hidden="1">
      <c r="E28995" s="96"/>
    </row>
    <row r="28996" hidden="1">
      <c r="E28996" s="96"/>
    </row>
    <row r="28997" hidden="1">
      <c r="E28997" s="96"/>
    </row>
    <row r="28998" hidden="1">
      <c r="E28998" s="96"/>
    </row>
    <row r="28999" hidden="1">
      <c r="E28999" s="96"/>
    </row>
    <row r="29000" hidden="1">
      <c r="E29000" s="96"/>
    </row>
    <row r="29001" hidden="1">
      <c r="E29001" s="96"/>
    </row>
    <row r="29002" hidden="1">
      <c r="E29002" s="96"/>
    </row>
    <row r="29003" hidden="1">
      <c r="E29003" s="96"/>
    </row>
    <row r="29004" hidden="1">
      <c r="E29004" s="96"/>
    </row>
    <row r="29005" hidden="1">
      <c r="E29005" s="96"/>
    </row>
    <row r="29006" hidden="1">
      <c r="E29006" s="96"/>
    </row>
    <row r="29007" hidden="1">
      <c r="E29007" s="96"/>
    </row>
    <row r="29008" hidden="1">
      <c r="E29008" s="96"/>
    </row>
    <row r="29009" hidden="1">
      <c r="E29009" s="96"/>
    </row>
    <row r="29010" hidden="1">
      <c r="E29010" s="96"/>
    </row>
    <row r="29011" hidden="1">
      <c r="E29011" s="96"/>
    </row>
    <row r="29012" hidden="1">
      <c r="E29012" s="96"/>
    </row>
    <row r="29013" hidden="1">
      <c r="E29013" s="96"/>
    </row>
    <row r="29014" hidden="1">
      <c r="E29014" s="96"/>
    </row>
    <row r="29015" hidden="1">
      <c r="E29015" s="96"/>
    </row>
    <row r="29016" hidden="1">
      <c r="E29016" s="96"/>
    </row>
    <row r="29017" hidden="1">
      <c r="E29017" s="96"/>
    </row>
    <row r="29018" hidden="1">
      <c r="E29018" s="96"/>
    </row>
    <row r="29019" hidden="1">
      <c r="E29019" s="96"/>
    </row>
    <row r="29020" hidden="1">
      <c r="E29020" s="96"/>
    </row>
    <row r="29021" hidden="1">
      <c r="E29021" s="96"/>
    </row>
    <row r="29022" hidden="1">
      <c r="E29022" s="96"/>
    </row>
    <row r="29023" hidden="1">
      <c r="E29023" s="96"/>
    </row>
    <row r="29024" hidden="1">
      <c r="E29024" s="96"/>
    </row>
    <row r="29025" hidden="1">
      <c r="E29025" s="96"/>
    </row>
    <row r="29026" hidden="1">
      <c r="E29026" s="96"/>
    </row>
    <row r="29027" hidden="1">
      <c r="E29027" s="96"/>
    </row>
    <row r="29028" hidden="1">
      <c r="E29028" s="96"/>
    </row>
    <row r="29029" hidden="1">
      <c r="E29029" s="96"/>
    </row>
    <row r="29030" hidden="1">
      <c r="E29030" s="96"/>
    </row>
    <row r="29031" hidden="1">
      <c r="E29031" s="96"/>
    </row>
    <row r="29032" hidden="1">
      <c r="E29032" s="96"/>
    </row>
    <row r="29033" hidden="1">
      <c r="E29033" s="96"/>
    </row>
    <row r="29034" hidden="1">
      <c r="E29034" s="96"/>
    </row>
    <row r="29035" hidden="1">
      <c r="E29035" s="96"/>
    </row>
    <row r="29036" hidden="1">
      <c r="E29036" s="96"/>
    </row>
    <row r="29037" hidden="1">
      <c r="E29037" s="96"/>
    </row>
    <row r="29038" hidden="1">
      <c r="E29038" s="96"/>
    </row>
    <row r="29039" hidden="1">
      <c r="E29039" s="96"/>
    </row>
    <row r="29040" hidden="1">
      <c r="E29040" s="96"/>
    </row>
    <row r="29041" hidden="1">
      <c r="E29041" s="96"/>
    </row>
    <row r="29042" hidden="1">
      <c r="E29042" s="96"/>
    </row>
    <row r="29043" hidden="1">
      <c r="E29043" s="96"/>
    </row>
    <row r="29044" hidden="1">
      <c r="E29044" s="96"/>
    </row>
    <row r="29045" hidden="1">
      <c r="E29045" s="96"/>
    </row>
    <row r="29046" hidden="1">
      <c r="E29046" s="96"/>
    </row>
    <row r="29047" hidden="1">
      <c r="E29047" s="96"/>
    </row>
    <row r="29048" hidden="1">
      <c r="E29048" s="96"/>
    </row>
    <row r="29049" hidden="1">
      <c r="E29049" s="96"/>
    </row>
    <row r="29050" hidden="1">
      <c r="E29050" s="96"/>
    </row>
    <row r="29051" hidden="1">
      <c r="E29051" s="96"/>
    </row>
    <row r="29052" hidden="1">
      <c r="E29052" s="96"/>
    </row>
    <row r="29053" hidden="1">
      <c r="E29053" s="96"/>
    </row>
    <row r="29054" hidden="1">
      <c r="E29054" s="96"/>
    </row>
    <row r="29055" hidden="1">
      <c r="E29055" s="96"/>
    </row>
    <row r="29056" hidden="1">
      <c r="E29056" s="96"/>
    </row>
    <row r="29057" hidden="1">
      <c r="E29057" s="96"/>
    </row>
    <row r="29058" hidden="1">
      <c r="E29058" s="96"/>
    </row>
    <row r="29059" hidden="1">
      <c r="E29059" s="96"/>
    </row>
    <row r="29060" hidden="1">
      <c r="E29060" s="96"/>
    </row>
    <row r="29061" hidden="1">
      <c r="E29061" s="96"/>
    </row>
    <row r="29062" hidden="1">
      <c r="E29062" s="96"/>
    </row>
    <row r="29063" hidden="1">
      <c r="E29063" s="96"/>
    </row>
    <row r="29064" hidden="1">
      <c r="E29064" s="96"/>
    </row>
    <row r="29065" hidden="1">
      <c r="E29065" s="96"/>
    </row>
    <row r="29066" hidden="1">
      <c r="E29066" s="96"/>
    </row>
    <row r="29067" hidden="1">
      <c r="E29067" s="96"/>
    </row>
    <row r="29068" hidden="1">
      <c r="E29068" s="96"/>
    </row>
    <row r="29069" hidden="1">
      <c r="E29069" s="96"/>
    </row>
    <row r="29070" hidden="1">
      <c r="E29070" s="96"/>
    </row>
    <row r="29071" hidden="1">
      <c r="E29071" s="96"/>
    </row>
    <row r="29072" hidden="1">
      <c r="E29072" s="96"/>
    </row>
    <row r="29073" hidden="1">
      <c r="E29073" s="96"/>
    </row>
    <row r="29074" hidden="1">
      <c r="E29074" s="96"/>
    </row>
    <row r="29075" hidden="1">
      <c r="E29075" s="96"/>
    </row>
    <row r="29076" hidden="1">
      <c r="E29076" s="96"/>
    </row>
    <row r="29077" hidden="1">
      <c r="E29077" s="96"/>
    </row>
    <row r="29078" hidden="1">
      <c r="E29078" s="96"/>
    </row>
    <row r="29079" hidden="1">
      <c r="E29079" s="96"/>
    </row>
    <row r="29080" hidden="1">
      <c r="E29080" s="96"/>
    </row>
    <row r="29081" hidden="1">
      <c r="E29081" s="96"/>
    </row>
    <row r="29082" hidden="1">
      <c r="E29082" s="96"/>
    </row>
    <row r="29083" hidden="1">
      <c r="E29083" s="96"/>
    </row>
    <row r="29084" hidden="1">
      <c r="E29084" s="96"/>
    </row>
    <row r="29085" hidden="1">
      <c r="E29085" s="96"/>
    </row>
    <row r="29086" hidden="1">
      <c r="E29086" s="96"/>
    </row>
    <row r="29087" hidden="1">
      <c r="E29087" s="96"/>
    </row>
    <row r="29088" hidden="1">
      <c r="E29088" s="96"/>
    </row>
    <row r="29089" hidden="1">
      <c r="E29089" s="96"/>
    </row>
    <row r="29090" hidden="1">
      <c r="E29090" s="96"/>
    </row>
    <row r="29091" hidden="1">
      <c r="E29091" s="96"/>
    </row>
    <row r="29092" hidden="1">
      <c r="E29092" s="96"/>
    </row>
    <row r="29093" hidden="1">
      <c r="E29093" s="96"/>
    </row>
    <row r="29094" hidden="1">
      <c r="E29094" s="96"/>
    </row>
    <row r="29095" hidden="1">
      <c r="E29095" s="96"/>
    </row>
    <row r="29096" hidden="1">
      <c r="E29096" s="96"/>
    </row>
    <row r="29097" hidden="1">
      <c r="E29097" s="96"/>
    </row>
    <row r="29098" hidden="1">
      <c r="E29098" s="96"/>
    </row>
    <row r="29099" hidden="1">
      <c r="E29099" s="96"/>
    </row>
    <row r="29100" hidden="1">
      <c r="E29100" s="96"/>
    </row>
    <row r="29101" hidden="1">
      <c r="E29101" s="96"/>
    </row>
    <row r="29102" hidden="1">
      <c r="E29102" s="96"/>
    </row>
    <row r="29103" hidden="1">
      <c r="E29103" s="96"/>
    </row>
    <row r="29104" hidden="1">
      <c r="E29104" s="96"/>
    </row>
    <row r="29105" hidden="1">
      <c r="E29105" s="96"/>
    </row>
    <row r="29106" hidden="1">
      <c r="E29106" s="96"/>
    </row>
    <row r="29107" hidden="1">
      <c r="E29107" s="96"/>
    </row>
    <row r="29108" hidden="1">
      <c r="E29108" s="96"/>
    </row>
    <row r="29109" hidden="1">
      <c r="E29109" s="96"/>
    </row>
    <row r="29110" hidden="1">
      <c r="E29110" s="96"/>
    </row>
    <row r="29111" hidden="1">
      <c r="E29111" s="96"/>
    </row>
    <row r="29112" hidden="1">
      <c r="E29112" s="96"/>
    </row>
    <row r="29113" hidden="1">
      <c r="E29113" s="96"/>
    </row>
    <row r="29114" hidden="1">
      <c r="E29114" s="96"/>
    </row>
    <row r="29115" hidden="1">
      <c r="E29115" s="96"/>
    </row>
    <row r="29116" hidden="1">
      <c r="E29116" s="96"/>
    </row>
    <row r="29117" hidden="1">
      <c r="E29117" s="96"/>
    </row>
    <row r="29118" hidden="1">
      <c r="E29118" s="96"/>
    </row>
    <row r="29119" hidden="1">
      <c r="E29119" s="96"/>
    </row>
    <row r="29120" hidden="1">
      <c r="E29120" s="96"/>
    </row>
    <row r="29121" hidden="1">
      <c r="E29121" s="96"/>
    </row>
    <row r="29122" hidden="1">
      <c r="E29122" s="96"/>
    </row>
    <row r="29123" hidden="1">
      <c r="E29123" s="96"/>
    </row>
    <row r="29124" hidden="1">
      <c r="E29124" s="96"/>
    </row>
    <row r="29125" hidden="1">
      <c r="E29125" s="96"/>
    </row>
    <row r="29126" hidden="1">
      <c r="E29126" s="96"/>
    </row>
    <row r="29127" hidden="1">
      <c r="E29127" s="96"/>
    </row>
    <row r="29128" hidden="1">
      <c r="E29128" s="96"/>
    </row>
    <row r="29129" hidden="1">
      <c r="E29129" s="96"/>
    </row>
    <row r="29130" hidden="1">
      <c r="E29130" s="96"/>
    </row>
    <row r="29131" hidden="1">
      <c r="E29131" s="96"/>
    </row>
    <row r="29132" hidden="1">
      <c r="E29132" s="96"/>
    </row>
    <row r="29133" hidden="1">
      <c r="E29133" s="96"/>
    </row>
    <row r="29134" hidden="1">
      <c r="E29134" s="96"/>
    </row>
    <row r="29135" hidden="1">
      <c r="E29135" s="96"/>
    </row>
    <row r="29136" hidden="1">
      <c r="E29136" s="96"/>
    </row>
    <row r="29137" hidden="1">
      <c r="E29137" s="96"/>
    </row>
    <row r="29138" hidden="1">
      <c r="E29138" s="96"/>
    </row>
    <row r="29139" hidden="1">
      <c r="E29139" s="96"/>
    </row>
    <row r="29140" hidden="1">
      <c r="E29140" s="96"/>
    </row>
    <row r="29141" hidden="1">
      <c r="E29141" s="96"/>
    </row>
    <row r="29142" hidden="1">
      <c r="E29142" s="96"/>
    </row>
    <row r="29143" hidden="1">
      <c r="E29143" s="96"/>
    </row>
    <row r="29144" hidden="1">
      <c r="E29144" s="96"/>
    </row>
    <row r="29145" hidden="1">
      <c r="E29145" s="96"/>
    </row>
    <row r="29146" hidden="1">
      <c r="E29146" s="96"/>
    </row>
    <row r="29147" hidden="1">
      <c r="E29147" s="96"/>
    </row>
    <row r="29148" hidden="1">
      <c r="E29148" s="96"/>
    </row>
    <row r="29149" hidden="1">
      <c r="E29149" s="96"/>
    </row>
    <row r="29150" hidden="1">
      <c r="E29150" s="96"/>
    </row>
    <row r="29151" hidden="1">
      <c r="E29151" s="96"/>
    </row>
    <row r="29152" hidden="1">
      <c r="E29152" s="96"/>
    </row>
    <row r="29153" hidden="1">
      <c r="E29153" s="96"/>
    </row>
    <row r="29154" hidden="1">
      <c r="E29154" s="96"/>
    </row>
    <row r="29155" hidden="1">
      <c r="E29155" s="96"/>
    </row>
    <row r="29156" hidden="1">
      <c r="E29156" s="96"/>
    </row>
    <row r="29157" hidden="1">
      <c r="E29157" s="96"/>
    </row>
    <row r="29158" hidden="1">
      <c r="E29158" s="96"/>
    </row>
    <row r="29159" hidden="1">
      <c r="E29159" s="96"/>
    </row>
    <row r="29160" hidden="1">
      <c r="E29160" s="96"/>
    </row>
    <row r="29161" hidden="1">
      <c r="E29161" s="96"/>
    </row>
    <row r="29162" hidden="1">
      <c r="E29162" s="96"/>
    </row>
    <row r="29163" hidden="1">
      <c r="E29163" s="96"/>
    </row>
    <row r="29164" hidden="1">
      <c r="E29164" s="96"/>
    </row>
    <row r="29165" hidden="1">
      <c r="E29165" s="96"/>
    </row>
    <row r="29166" hidden="1">
      <c r="E29166" s="96"/>
    </row>
    <row r="29167" hidden="1">
      <c r="E29167" s="96"/>
    </row>
    <row r="29168" hidden="1">
      <c r="E29168" s="96"/>
    </row>
    <row r="29169" hidden="1">
      <c r="E29169" s="96"/>
    </row>
    <row r="29170" hidden="1">
      <c r="E29170" s="96"/>
    </row>
    <row r="29171" hidden="1">
      <c r="E29171" s="96"/>
    </row>
    <row r="29172" hidden="1">
      <c r="E29172" s="96"/>
    </row>
    <row r="29173" hidden="1">
      <c r="E29173" s="96"/>
    </row>
    <row r="29174" hidden="1">
      <c r="E29174" s="96"/>
    </row>
    <row r="29175" hidden="1">
      <c r="E29175" s="96"/>
    </row>
    <row r="29176" hidden="1">
      <c r="E29176" s="96"/>
    </row>
    <row r="29177" hidden="1">
      <c r="E29177" s="96"/>
    </row>
    <row r="29178" hidden="1">
      <c r="E29178" s="96"/>
    </row>
    <row r="29179" hidden="1">
      <c r="E29179" s="96"/>
    </row>
    <row r="29180" hidden="1">
      <c r="E29180" s="96"/>
    </row>
    <row r="29181" hidden="1">
      <c r="E29181" s="96"/>
    </row>
    <row r="29182" hidden="1">
      <c r="E29182" s="96"/>
    </row>
    <row r="29183" hidden="1">
      <c r="E29183" s="96"/>
    </row>
    <row r="29184" hidden="1">
      <c r="E29184" s="96"/>
    </row>
    <row r="29185" hidden="1">
      <c r="E29185" s="96"/>
    </row>
    <row r="29186" hidden="1">
      <c r="E29186" s="96"/>
    </row>
    <row r="29187" hidden="1">
      <c r="E29187" s="96"/>
    </row>
    <row r="29188" hidden="1">
      <c r="E29188" s="96"/>
    </row>
    <row r="29189" hidden="1">
      <c r="E29189" s="96"/>
    </row>
    <row r="29190" hidden="1">
      <c r="E29190" s="96"/>
    </row>
    <row r="29191" hidden="1">
      <c r="E29191" s="96"/>
    </row>
    <row r="29192" hidden="1">
      <c r="E29192" s="96"/>
    </row>
    <row r="29193" hidden="1">
      <c r="E29193" s="96"/>
    </row>
    <row r="29194" hidden="1">
      <c r="E29194" s="96"/>
    </row>
    <row r="29195" hidden="1">
      <c r="E29195" s="96"/>
    </row>
    <row r="29196" hidden="1">
      <c r="E29196" s="96"/>
    </row>
    <row r="29197" hidden="1">
      <c r="E29197" s="96"/>
    </row>
    <row r="29198" hidden="1">
      <c r="E29198" s="96"/>
    </row>
    <row r="29199" hidden="1">
      <c r="E29199" s="96"/>
    </row>
    <row r="29200" hidden="1">
      <c r="E29200" s="96"/>
    </row>
    <row r="29201" hidden="1">
      <c r="E29201" s="96"/>
    </row>
    <row r="29202" hidden="1">
      <c r="E29202" s="96"/>
    </row>
    <row r="29203" hidden="1">
      <c r="E29203" s="96"/>
    </row>
    <row r="29204" hidden="1">
      <c r="E29204" s="96"/>
    </row>
    <row r="29205" hidden="1">
      <c r="E29205" s="96"/>
    </row>
    <row r="29206" hidden="1">
      <c r="E29206" s="96"/>
    </row>
    <row r="29207" hidden="1">
      <c r="E29207" s="96"/>
    </row>
    <row r="29208" hidden="1">
      <c r="E29208" s="96"/>
    </row>
    <row r="29209" hidden="1">
      <c r="E29209" s="96"/>
    </row>
    <row r="29210" hidden="1">
      <c r="E29210" s="96"/>
    </row>
    <row r="29211" hidden="1">
      <c r="E29211" s="96"/>
    </row>
    <row r="29212" hidden="1">
      <c r="E29212" s="96"/>
    </row>
    <row r="29213" hidden="1">
      <c r="E29213" s="96"/>
    </row>
    <row r="29214" hidden="1">
      <c r="E29214" s="96"/>
    </row>
    <row r="29215" hidden="1">
      <c r="E29215" s="96"/>
    </row>
    <row r="29216" hidden="1">
      <c r="E29216" s="96"/>
    </row>
    <row r="29217" hidden="1">
      <c r="E29217" s="96"/>
    </row>
    <row r="29218" hidden="1">
      <c r="E29218" s="96"/>
    </row>
    <row r="29219" hidden="1">
      <c r="E29219" s="96"/>
    </row>
    <row r="29220" hidden="1">
      <c r="E29220" s="96"/>
    </row>
    <row r="29221" hidden="1">
      <c r="E29221" s="96"/>
    </row>
    <row r="29222" hidden="1">
      <c r="E29222" s="96"/>
    </row>
    <row r="29223" hidden="1">
      <c r="E29223" s="96"/>
    </row>
    <row r="29224" hidden="1">
      <c r="E29224" s="96"/>
    </row>
    <row r="29225" hidden="1">
      <c r="E29225" s="96"/>
    </row>
    <row r="29226" hidden="1">
      <c r="E29226" s="96"/>
    </row>
    <row r="29227" hidden="1">
      <c r="E29227" s="96"/>
    </row>
    <row r="29228" hidden="1">
      <c r="E29228" s="96"/>
    </row>
    <row r="29229" hidden="1">
      <c r="E29229" s="96"/>
    </row>
    <row r="29230" hidden="1">
      <c r="E29230" s="96"/>
    </row>
    <row r="29231" hidden="1">
      <c r="E29231" s="96"/>
    </row>
    <row r="29232" hidden="1">
      <c r="E29232" s="96"/>
    </row>
    <row r="29233" hidden="1">
      <c r="E29233" s="96"/>
    </row>
    <row r="29234" hidden="1">
      <c r="E29234" s="96"/>
    </row>
    <row r="29235" hidden="1">
      <c r="E29235" s="96"/>
    </row>
    <row r="29236" hidden="1">
      <c r="E29236" s="96"/>
    </row>
    <row r="29237" hidden="1">
      <c r="E29237" s="96"/>
    </row>
    <row r="29238" hidden="1">
      <c r="E29238" s="96"/>
    </row>
    <row r="29239" hidden="1">
      <c r="E29239" s="96"/>
    </row>
    <row r="29240" hidden="1">
      <c r="E29240" s="96"/>
    </row>
    <row r="29241" hidden="1">
      <c r="E29241" s="96"/>
    </row>
    <row r="29242" hidden="1">
      <c r="E29242" s="96"/>
    </row>
    <row r="29243" hidden="1">
      <c r="E29243" s="96"/>
    </row>
    <row r="29244" hidden="1">
      <c r="E29244" s="96"/>
    </row>
    <row r="29245" hidden="1">
      <c r="E29245" s="96"/>
    </row>
    <row r="29246" hidden="1">
      <c r="E29246" s="96"/>
    </row>
    <row r="29247" hidden="1">
      <c r="E29247" s="96"/>
    </row>
    <row r="29248" hidden="1">
      <c r="E29248" s="96"/>
    </row>
    <row r="29249" hidden="1">
      <c r="E29249" s="96"/>
    </row>
    <row r="29250" hidden="1">
      <c r="E29250" s="96"/>
    </row>
    <row r="29251" hidden="1">
      <c r="E29251" s="96"/>
    </row>
    <row r="29252" hidden="1">
      <c r="E29252" s="96"/>
    </row>
    <row r="29253" hidden="1">
      <c r="E29253" s="96"/>
    </row>
    <row r="29254" hidden="1">
      <c r="E29254" s="96"/>
    </row>
    <row r="29255" hidden="1">
      <c r="E29255" s="96"/>
    </row>
    <row r="29256" hidden="1">
      <c r="E29256" s="96"/>
    </row>
    <row r="29257" hidden="1">
      <c r="E29257" s="96"/>
    </row>
    <row r="29258" hidden="1">
      <c r="E29258" s="96"/>
    </row>
    <row r="29259" hidden="1">
      <c r="E29259" s="96"/>
    </row>
    <row r="29260" hidden="1">
      <c r="E29260" s="96"/>
    </row>
    <row r="29261" hidden="1">
      <c r="E29261" s="96"/>
    </row>
    <row r="29262" hidden="1">
      <c r="E29262" s="96"/>
    </row>
    <row r="29263" hidden="1">
      <c r="E29263" s="96"/>
    </row>
    <row r="29264" hidden="1">
      <c r="E29264" s="96"/>
    </row>
    <row r="29265" hidden="1">
      <c r="E29265" s="96"/>
    </row>
    <row r="29266" hidden="1">
      <c r="E29266" s="96"/>
    </row>
    <row r="29267" hidden="1">
      <c r="E29267" s="96"/>
    </row>
    <row r="29268" hidden="1">
      <c r="E29268" s="96"/>
    </row>
    <row r="29269" hidden="1">
      <c r="E29269" s="96"/>
    </row>
    <row r="29270" hidden="1">
      <c r="E29270" s="96"/>
    </row>
    <row r="29271" hidden="1">
      <c r="E29271" s="96"/>
    </row>
    <row r="29272" hidden="1">
      <c r="E29272" s="96"/>
    </row>
    <row r="29273" hidden="1">
      <c r="E29273" s="96"/>
    </row>
    <row r="29274" hidden="1">
      <c r="E29274" s="96"/>
    </row>
    <row r="29275" hidden="1">
      <c r="E29275" s="96"/>
    </row>
    <row r="29276" hidden="1">
      <c r="E29276" s="96"/>
    </row>
    <row r="29277" hidden="1">
      <c r="E29277" s="96"/>
    </row>
    <row r="29278" hidden="1">
      <c r="E29278" s="96"/>
    </row>
    <row r="29279" hidden="1">
      <c r="E29279" s="96"/>
    </row>
    <row r="29280" hidden="1">
      <c r="E29280" s="96"/>
    </row>
    <row r="29281" hidden="1">
      <c r="E29281" s="96"/>
    </row>
    <row r="29282" hidden="1">
      <c r="E29282" s="96"/>
    </row>
    <row r="29283" hidden="1">
      <c r="E29283" s="96"/>
    </row>
    <row r="29284" hidden="1">
      <c r="E29284" s="96"/>
    </row>
    <row r="29285" hidden="1">
      <c r="E29285" s="96"/>
    </row>
    <row r="29286" hidden="1">
      <c r="E29286" s="96"/>
    </row>
    <row r="29287" hidden="1">
      <c r="E29287" s="96"/>
    </row>
    <row r="29288" hidden="1">
      <c r="E29288" s="96"/>
    </row>
    <row r="29289" hidden="1">
      <c r="E29289" s="96"/>
    </row>
    <row r="29290" hidden="1">
      <c r="E29290" s="96"/>
    </row>
    <row r="29291" hidden="1">
      <c r="E29291" s="96"/>
    </row>
    <row r="29292" hidden="1">
      <c r="E29292" s="96"/>
    </row>
    <row r="29293" hidden="1">
      <c r="E29293" s="96"/>
    </row>
    <row r="29294" hidden="1">
      <c r="E29294" s="96"/>
    </row>
    <row r="29295" hidden="1">
      <c r="E29295" s="96"/>
    </row>
    <row r="29296" hidden="1">
      <c r="E29296" s="96"/>
    </row>
    <row r="29297" hidden="1">
      <c r="E29297" s="96"/>
    </row>
    <row r="29298" hidden="1">
      <c r="E29298" s="96"/>
    </row>
    <row r="29299" hidden="1">
      <c r="E29299" s="96"/>
    </row>
    <row r="29300" hidden="1">
      <c r="E29300" s="96"/>
    </row>
    <row r="29301" hidden="1">
      <c r="E29301" s="96"/>
    </row>
    <row r="29302" hidden="1">
      <c r="E29302" s="96"/>
    </row>
    <row r="29303" hidden="1">
      <c r="E29303" s="96"/>
    </row>
    <row r="29304" hidden="1">
      <c r="E29304" s="96"/>
    </row>
    <row r="29305" hidden="1">
      <c r="E29305" s="96"/>
    </row>
    <row r="29306" hidden="1">
      <c r="E29306" s="96"/>
    </row>
    <row r="29307" hidden="1">
      <c r="E29307" s="96"/>
    </row>
    <row r="29308" hidden="1">
      <c r="E29308" s="96"/>
    </row>
    <row r="29309" hidden="1">
      <c r="E29309" s="96"/>
    </row>
    <row r="29310" hidden="1">
      <c r="E29310" s="96"/>
    </row>
    <row r="29311" hidden="1">
      <c r="E29311" s="96"/>
    </row>
    <row r="29312" hidden="1">
      <c r="E29312" s="96"/>
    </row>
    <row r="29313" hidden="1">
      <c r="E29313" s="96"/>
    </row>
    <row r="29314" hidden="1">
      <c r="E29314" s="96"/>
    </row>
    <row r="29315" hidden="1">
      <c r="E29315" s="96"/>
    </row>
    <row r="29316" hidden="1">
      <c r="E29316" s="96"/>
    </row>
    <row r="29317" hidden="1">
      <c r="E29317" s="96"/>
    </row>
    <row r="29318" hidden="1">
      <c r="E29318" s="96"/>
    </row>
    <row r="29319" hidden="1">
      <c r="E29319" s="96"/>
    </row>
    <row r="29320" hidden="1">
      <c r="E29320" s="96"/>
    </row>
    <row r="29321" hidden="1">
      <c r="E29321" s="96"/>
    </row>
    <row r="29322" hidden="1">
      <c r="E29322" s="96"/>
    </row>
    <row r="29323" hidden="1">
      <c r="E29323" s="96"/>
    </row>
    <row r="29324" hidden="1">
      <c r="E29324" s="96"/>
    </row>
    <row r="29325" hidden="1">
      <c r="E29325" s="96"/>
    </row>
    <row r="29326" hidden="1">
      <c r="E29326" s="96"/>
    </row>
    <row r="29327" hidden="1">
      <c r="E29327" s="96"/>
    </row>
    <row r="29328" hidden="1">
      <c r="E29328" s="96"/>
    </row>
    <row r="29329" hidden="1">
      <c r="E29329" s="96"/>
    </row>
    <row r="29330" hidden="1">
      <c r="E29330" s="96"/>
    </row>
    <row r="29331" hidden="1">
      <c r="E29331" s="96"/>
    </row>
    <row r="29332" hidden="1">
      <c r="E29332" s="96"/>
    </row>
    <row r="29333" hidden="1">
      <c r="E29333" s="96"/>
    </row>
    <row r="29334" hidden="1">
      <c r="E29334" s="96"/>
    </row>
    <row r="29335" hidden="1">
      <c r="E29335" s="96"/>
    </row>
    <row r="29336" hidden="1">
      <c r="E29336" s="96"/>
    </row>
    <row r="29337" hidden="1">
      <c r="E29337" s="96"/>
    </row>
    <row r="29338" hidden="1">
      <c r="E29338" s="96"/>
    </row>
    <row r="29339" hidden="1">
      <c r="E29339" s="96"/>
    </row>
    <row r="29340" hidden="1">
      <c r="E29340" s="96"/>
    </row>
    <row r="29341" hidden="1">
      <c r="E29341" s="96"/>
    </row>
    <row r="29342" hidden="1">
      <c r="E29342" s="96"/>
    </row>
    <row r="29343" hidden="1">
      <c r="E29343" s="96"/>
    </row>
    <row r="29344" hidden="1">
      <c r="E29344" s="96"/>
    </row>
    <row r="29345" hidden="1">
      <c r="E29345" s="96"/>
    </row>
    <row r="29346" hidden="1">
      <c r="E29346" s="96"/>
    </row>
    <row r="29347" hidden="1">
      <c r="E29347" s="96"/>
    </row>
    <row r="29348" hidden="1">
      <c r="E29348" s="96"/>
    </row>
    <row r="29349" hidden="1">
      <c r="E29349" s="96"/>
    </row>
    <row r="29350" hidden="1">
      <c r="E29350" s="96"/>
    </row>
    <row r="29351" hidden="1">
      <c r="E29351" s="96"/>
    </row>
    <row r="29352" hidden="1">
      <c r="E29352" s="96"/>
    </row>
    <row r="29353" hidden="1">
      <c r="E29353" s="96"/>
    </row>
    <row r="29354" hidden="1">
      <c r="E29354" s="96"/>
    </row>
    <row r="29355" hidden="1">
      <c r="E29355" s="96"/>
    </row>
    <row r="29356" hidden="1">
      <c r="E29356" s="96"/>
    </row>
    <row r="29357" hidden="1">
      <c r="E29357" s="96"/>
    </row>
    <row r="29358" hidden="1">
      <c r="E29358" s="96"/>
    </row>
    <row r="29359" hidden="1">
      <c r="E29359" s="96"/>
    </row>
    <row r="29360" hidden="1">
      <c r="E29360" s="96"/>
    </row>
    <row r="29361" hidden="1">
      <c r="E29361" s="96"/>
    </row>
    <row r="29362" hidden="1">
      <c r="E29362" s="96"/>
    </row>
    <row r="29363" hidden="1">
      <c r="E29363" s="96"/>
    </row>
    <row r="29364" hidden="1">
      <c r="E29364" s="96"/>
    </row>
    <row r="29365" hidden="1">
      <c r="E29365" s="96"/>
    </row>
    <row r="29366" hidden="1">
      <c r="E29366" s="96"/>
    </row>
    <row r="29367" hidden="1">
      <c r="E29367" s="96"/>
    </row>
    <row r="29368" hidden="1">
      <c r="E29368" s="96"/>
    </row>
    <row r="29369" hidden="1">
      <c r="E29369" s="96"/>
    </row>
    <row r="29370" hidden="1">
      <c r="E29370" s="96"/>
    </row>
    <row r="29371" hidden="1">
      <c r="E29371" s="96"/>
    </row>
    <row r="29372" hidden="1">
      <c r="E29372" s="96"/>
    </row>
    <row r="29373" hidden="1">
      <c r="E29373" s="96"/>
    </row>
    <row r="29374" hidden="1">
      <c r="E29374" s="96"/>
    </row>
    <row r="29375" hidden="1">
      <c r="E29375" s="96"/>
    </row>
    <row r="29376" hidden="1">
      <c r="E29376" s="96"/>
    </row>
    <row r="29377" hidden="1">
      <c r="E29377" s="96"/>
    </row>
    <row r="29378" hidden="1">
      <c r="E29378" s="96"/>
    </row>
    <row r="29379" hidden="1">
      <c r="E29379" s="96"/>
    </row>
    <row r="29380" hidden="1">
      <c r="E29380" s="96"/>
    </row>
    <row r="29381" hidden="1">
      <c r="E29381" s="96"/>
    </row>
    <row r="29382" hidden="1">
      <c r="E29382" s="96"/>
    </row>
    <row r="29383" hidden="1">
      <c r="E29383" s="96"/>
    </row>
    <row r="29384" hidden="1">
      <c r="E29384" s="96"/>
    </row>
    <row r="29385" hidden="1">
      <c r="E29385" s="96"/>
    </row>
    <row r="29386" hidden="1">
      <c r="E29386" s="96"/>
    </row>
    <row r="29387" hidden="1">
      <c r="E29387" s="96"/>
    </row>
    <row r="29388" hidden="1">
      <c r="E29388" s="96"/>
    </row>
    <row r="29389" hidden="1">
      <c r="E29389" s="96"/>
    </row>
    <row r="29390" hidden="1">
      <c r="E29390" s="96"/>
    </row>
    <row r="29391" hidden="1">
      <c r="E29391" s="96"/>
    </row>
    <row r="29392" hidden="1">
      <c r="E29392" s="96"/>
    </row>
    <row r="29393" hidden="1">
      <c r="E29393" s="96"/>
    </row>
    <row r="29394" hidden="1">
      <c r="E29394" s="96"/>
    </row>
    <row r="29395" hidden="1">
      <c r="E29395" s="96"/>
    </row>
    <row r="29396" hidden="1">
      <c r="E29396" s="96"/>
    </row>
    <row r="29397" hidden="1">
      <c r="E29397" s="96"/>
    </row>
    <row r="29398" hidden="1">
      <c r="E29398" s="96"/>
    </row>
    <row r="29399" hidden="1">
      <c r="E29399" s="96"/>
    </row>
    <row r="29400" hidden="1">
      <c r="E29400" s="96"/>
    </row>
    <row r="29401" hidden="1">
      <c r="E29401" s="96"/>
    </row>
    <row r="29402" hidden="1">
      <c r="E29402" s="96"/>
    </row>
    <row r="29403" hidden="1">
      <c r="E29403" s="96"/>
    </row>
    <row r="29404" hidden="1">
      <c r="E29404" s="96"/>
    </row>
    <row r="29405" hidden="1">
      <c r="E29405" s="96"/>
    </row>
    <row r="29406" hidden="1">
      <c r="E29406" s="96"/>
    </row>
    <row r="29407" hidden="1">
      <c r="E29407" s="96"/>
    </row>
    <row r="29408" hidden="1">
      <c r="E29408" s="96"/>
    </row>
    <row r="29409" hidden="1">
      <c r="E29409" s="96"/>
    </row>
    <row r="29410" hidden="1">
      <c r="E29410" s="96"/>
    </row>
    <row r="29411" hidden="1">
      <c r="E29411" s="96"/>
    </row>
    <row r="29412" hidden="1">
      <c r="E29412" s="96"/>
    </row>
    <row r="29413" hidden="1">
      <c r="E29413" s="96"/>
    </row>
    <row r="29414" hidden="1">
      <c r="E29414" s="96"/>
    </row>
    <row r="29415" hidden="1">
      <c r="E29415" s="96"/>
    </row>
    <row r="29416" hidden="1">
      <c r="E29416" s="96"/>
    </row>
    <row r="29417" hidden="1">
      <c r="E29417" s="96"/>
    </row>
    <row r="29418" hidden="1">
      <c r="E29418" s="96"/>
    </row>
    <row r="29419" hidden="1">
      <c r="E29419" s="96"/>
    </row>
    <row r="29420" hidden="1">
      <c r="E29420" s="96"/>
    </row>
    <row r="29421" hidden="1">
      <c r="E29421" s="96"/>
    </row>
    <row r="29422" hidden="1">
      <c r="E29422" s="96"/>
    </row>
    <row r="29423" hidden="1">
      <c r="E29423" s="96"/>
    </row>
    <row r="29424" hidden="1">
      <c r="E29424" s="96"/>
    </row>
    <row r="29425" hidden="1">
      <c r="E29425" s="96"/>
    </row>
    <row r="29426" hidden="1">
      <c r="E29426" s="96"/>
    </row>
    <row r="29427" hidden="1">
      <c r="E29427" s="96"/>
    </row>
    <row r="29428" hidden="1">
      <c r="E29428" s="96"/>
    </row>
    <row r="29429" hidden="1">
      <c r="E29429" s="96"/>
    </row>
    <row r="29430" hidden="1">
      <c r="E29430" s="96"/>
    </row>
    <row r="29431" hidden="1">
      <c r="E29431" s="96"/>
    </row>
    <row r="29432" hidden="1">
      <c r="E29432" s="96"/>
    </row>
    <row r="29433" hidden="1">
      <c r="E29433" s="96"/>
    </row>
    <row r="29434" hidden="1">
      <c r="E29434" s="96"/>
    </row>
    <row r="29435" hidden="1">
      <c r="E29435" s="96"/>
    </row>
    <row r="29436" hidden="1">
      <c r="E29436" s="96"/>
    </row>
    <row r="29437" hidden="1">
      <c r="E29437" s="96"/>
    </row>
    <row r="29438" hidden="1">
      <c r="E29438" s="96"/>
    </row>
    <row r="29439" hidden="1">
      <c r="E29439" s="96"/>
    </row>
    <row r="29440" hidden="1">
      <c r="E29440" s="96"/>
    </row>
    <row r="29441" hidden="1">
      <c r="E29441" s="96"/>
    </row>
    <row r="29442" hidden="1">
      <c r="E29442" s="96"/>
    </row>
    <row r="29443" hidden="1">
      <c r="E29443" s="96"/>
    </row>
    <row r="29444" hidden="1">
      <c r="E29444" s="96"/>
    </row>
    <row r="29445" hidden="1">
      <c r="E29445" s="96"/>
    </row>
    <row r="29446" hidden="1">
      <c r="E29446" s="96"/>
    </row>
    <row r="29447" hidden="1">
      <c r="E29447" s="96"/>
    </row>
    <row r="29448" hidden="1">
      <c r="E29448" s="96"/>
    </row>
    <row r="29449" hidden="1">
      <c r="E29449" s="96"/>
    </row>
    <row r="29450" hidden="1">
      <c r="E29450" s="96"/>
    </row>
    <row r="29451" hidden="1">
      <c r="E29451" s="96"/>
    </row>
    <row r="29452" hidden="1">
      <c r="E29452" s="96"/>
    </row>
    <row r="29453" hidden="1">
      <c r="E29453" s="96"/>
    </row>
    <row r="29454" hidden="1">
      <c r="E29454" s="96"/>
    </row>
    <row r="29455" hidden="1">
      <c r="E29455" s="96"/>
    </row>
    <row r="29456" hidden="1">
      <c r="E29456" s="96"/>
    </row>
    <row r="29457" hidden="1">
      <c r="E29457" s="96"/>
    </row>
    <row r="29458" hidden="1">
      <c r="E29458" s="96"/>
    </row>
    <row r="29459" hidden="1">
      <c r="E29459" s="96"/>
    </row>
    <row r="29460" hidden="1">
      <c r="E29460" s="96"/>
    </row>
    <row r="29461" hidden="1">
      <c r="E29461" s="96"/>
    </row>
    <row r="29462" hidden="1">
      <c r="E29462" s="96"/>
    </row>
    <row r="29463" hidden="1">
      <c r="E29463" s="96"/>
    </row>
    <row r="29464" hidden="1">
      <c r="E29464" s="96"/>
    </row>
    <row r="29465" hidden="1">
      <c r="E29465" s="96"/>
    </row>
    <row r="29466" hidden="1">
      <c r="E29466" s="96"/>
    </row>
    <row r="29467" hidden="1">
      <c r="E29467" s="96"/>
    </row>
    <row r="29468" hidden="1">
      <c r="E29468" s="96"/>
    </row>
    <row r="29469" hidden="1">
      <c r="E29469" s="96"/>
    </row>
    <row r="29470" hidden="1">
      <c r="E29470" s="96"/>
    </row>
    <row r="29471" hidden="1">
      <c r="E29471" s="96"/>
    </row>
    <row r="29472" hidden="1">
      <c r="E29472" s="96"/>
    </row>
    <row r="29473" hidden="1">
      <c r="E29473" s="96"/>
    </row>
    <row r="29474" hidden="1">
      <c r="E29474" s="96"/>
    </row>
    <row r="29475" hidden="1">
      <c r="E29475" s="96"/>
    </row>
    <row r="29476" hidden="1">
      <c r="E29476" s="96"/>
    </row>
    <row r="29477" hidden="1">
      <c r="E29477" s="96"/>
    </row>
    <row r="29478" hidden="1">
      <c r="E29478" s="96"/>
    </row>
    <row r="29479" hidden="1">
      <c r="E29479" s="96"/>
    </row>
    <row r="29480" hidden="1">
      <c r="E29480" s="96"/>
    </row>
    <row r="29481" hidden="1">
      <c r="E29481" s="96"/>
    </row>
    <row r="29482" hidden="1">
      <c r="E29482" s="96"/>
    </row>
    <row r="29483" hidden="1">
      <c r="E29483" s="96"/>
    </row>
    <row r="29484" hidden="1">
      <c r="E29484" s="96"/>
    </row>
    <row r="29485" hidden="1">
      <c r="E29485" s="96"/>
    </row>
    <row r="29486" hidden="1">
      <c r="E29486" s="96"/>
    </row>
    <row r="29487" hidden="1">
      <c r="E29487" s="96"/>
    </row>
    <row r="29488" hidden="1">
      <c r="E29488" s="96"/>
    </row>
    <row r="29489" hidden="1">
      <c r="E29489" s="96"/>
    </row>
    <row r="29490" hidden="1">
      <c r="E29490" s="96"/>
    </row>
    <row r="29491" hidden="1">
      <c r="E29491" s="96"/>
    </row>
    <row r="29492" hidden="1">
      <c r="E29492" s="96"/>
    </row>
    <row r="29493" hidden="1">
      <c r="E29493" s="96"/>
    </row>
    <row r="29494" hidden="1">
      <c r="E29494" s="96"/>
    </row>
    <row r="29495" hidden="1">
      <c r="E29495" s="96"/>
    </row>
    <row r="29496" hidden="1">
      <c r="E29496" s="96"/>
    </row>
    <row r="29497" hidden="1">
      <c r="E29497" s="96"/>
    </row>
    <row r="29498" hidden="1">
      <c r="E29498" s="96"/>
    </row>
    <row r="29499" hidden="1">
      <c r="E29499" s="96"/>
    </row>
    <row r="29500" hidden="1">
      <c r="E29500" s="96"/>
    </row>
    <row r="29501" hidden="1">
      <c r="E29501" s="96"/>
    </row>
    <row r="29502" hidden="1">
      <c r="E29502" s="96"/>
    </row>
    <row r="29503" hidden="1">
      <c r="E29503" s="96"/>
    </row>
    <row r="29504" hidden="1">
      <c r="E29504" s="96"/>
    </row>
    <row r="29505" hidden="1">
      <c r="E29505" s="96"/>
    </row>
    <row r="29506" hidden="1">
      <c r="E29506" s="96"/>
    </row>
    <row r="29507" hidden="1">
      <c r="E29507" s="96"/>
    </row>
    <row r="29508" hidden="1">
      <c r="E29508" s="96"/>
    </row>
    <row r="29509" hidden="1">
      <c r="E29509" s="96"/>
    </row>
    <row r="29510" hidden="1">
      <c r="E29510" s="96"/>
    </row>
    <row r="29511" hidden="1">
      <c r="E29511" s="96"/>
    </row>
    <row r="29512" hidden="1">
      <c r="E29512" s="96"/>
    </row>
    <row r="29513" hidden="1">
      <c r="E29513" s="96"/>
    </row>
    <row r="29514" hidden="1">
      <c r="E29514" s="96"/>
    </row>
    <row r="29515" hidden="1">
      <c r="E29515" s="96"/>
    </row>
    <row r="29516" hidden="1">
      <c r="E29516" s="96"/>
    </row>
    <row r="29517" hidden="1">
      <c r="E29517" s="96"/>
    </row>
    <row r="29518" hidden="1">
      <c r="E29518" s="96"/>
    </row>
    <row r="29519" hidden="1">
      <c r="E29519" s="96"/>
    </row>
    <row r="29520" hidden="1">
      <c r="E29520" s="96"/>
    </row>
    <row r="29521" hidden="1">
      <c r="E29521" s="96"/>
    </row>
    <row r="29522" hidden="1">
      <c r="E29522" s="96"/>
    </row>
    <row r="29523" hidden="1">
      <c r="E29523" s="96"/>
    </row>
    <row r="29524" hidden="1">
      <c r="E29524" s="96"/>
    </row>
    <row r="29525" hidden="1">
      <c r="E29525" s="96"/>
    </row>
    <row r="29526" hidden="1">
      <c r="E29526" s="96"/>
    </row>
    <row r="29527" hidden="1">
      <c r="E29527" s="96"/>
    </row>
    <row r="29528" hidden="1">
      <c r="E29528" s="96"/>
    </row>
    <row r="29529" hidden="1">
      <c r="E29529" s="96"/>
    </row>
    <row r="29530" hidden="1">
      <c r="E29530" s="96"/>
    </row>
    <row r="29531" hidden="1">
      <c r="E29531" s="96"/>
    </row>
    <row r="29532" hidden="1">
      <c r="E29532" s="96"/>
    </row>
    <row r="29533" hidden="1">
      <c r="E29533" s="96"/>
    </row>
    <row r="29534" hidden="1">
      <c r="E29534" s="96"/>
    </row>
    <row r="29535" hidden="1">
      <c r="E29535" s="96"/>
    </row>
    <row r="29536" hidden="1">
      <c r="E29536" s="96"/>
    </row>
    <row r="29537" hidden="1">
      <c r="E29537" s="96"/>
    </row>
    <row r="29538" hidden="1">
      <c r="E29538" s="96"/>
    </row>
    <row r="29539" hidden="1">
      <c r="E29539" s="96"/>
    </row>
    <row r="29540" hidden="1">
      <c r="E29540" s="96"/>
    </row>
    <row r="29541" hidden="1">
      <c r="E29541" s="96"/>
    </row>
    <row r="29542" hidden="1">
      <c r="E29542" s="96"/>
    </row>
    <row r="29543" hidden="1">
      <c r="E29543" s="96"/>
    </row>
    <row r="29544" hidden="1">
      <c r="E29544" s="96"/>
    </row>
    <row r="29545" hidden="1">
      <c r="E29545" s="96"/>
    </row>
    <row r="29546" hidden="1">
      <c r="E29546" s="96"/>
    </row>
    <row r="29547" hidden="1">
      <c r="E29547" s="96"/>
    </row>
    <row r="29548" hidden="1">
      <c r="E29548" s="96"/>
    </row>
    <row r="29549" hidden="1">
      <c r="E29549" s="96"/>
    </row>
    <row r="29550" hidden="1">
      <c r="E29550" s="96"/>
    </row>
    <row r="29551" hidden="1">
      <c r="E29551" s="96"/>
    </row>
    <row r="29552" hidden="1">
      <c r="E29552" s="96"/>
    </row>
    <row r="29553" hidden="1">
      <c r="E29553" s="96"/>
    </row>
    <row r="29554" hidden="1">
      <c r="E29554" s="96"/>
    </row>
    <row r="29555" hidden="1">
      <c r="E29555" s="96"/>
    </row>
    <row r="29556" hidden="1">
      <c r="E29556" s="96"/>
    </row>
    <row r="29557" hidden="1">
      <c r="E29557" s="96"/>
    </row>
    <row r="29558" hidden="1">
      <c r="E29558" s="96"/>
    </row>
    <row r="29559" hidden="1">
      <c r="E29559" s="96"/>
    </row>
    <row r="29560" hidden="1">
      <c r="E29560" s="96"/>
    </row>
    <row r="29561" hidden="1">
      <c r="E29561" s="96"/>
    </row>
    <row r="29562" hidden="1">
      <c r="E29562" s="96"/>
    </row>
    <row r="29563" hidden="1">
      <c r="E29563" s="96"/>
    </row>
    <row r="29564" hidden="1">
      <c r="E29564" s="96"/>
    </row>
    <row r="29565" hidden="1">
      <c r="E29565" s="96"/>
    </row>
    <row r="29566" hidden="1">
      <c r="E29566" s="96"/>
    </row>
    <row r="29567" hidden="1">
      <c r="E29567" s="96"/>
    </row>
    <row r="29568" hidden="1">
      <c r="E29568" s="96"/>
    </row>
    <row r="29569" hidden="1">
      <c r="E29569" s="96"/>
    </row>
    <row r="29570" hidden="1">
      <c r="E29570" s="96"/>
    </row>
    <row r="29571" hidden="1">
      <c r="E29571" s="96"/>
    </row>
    <row r="29572" hidden="1">
      <c r="E29572" s="96"/>
    </row>
    <row r="29573" hidden="1">
      <c r="E29573" s="96"/>
    </row>
    <row r="29574" hidden="1">
      <c r="E29574" s="96"/>
    </row>
    <row r="29575" hidden="1">
      <c r="E29575" s="96"/>
    </row>
    <row r="29576" hidden="1">
      <c r="E29576" s="96"/>
    </row>
    <row r="29577" hidden="1">
      <c r="E29577" s="96"/>
    </row>
    <row r="29578" hidden="1">
      <c r="E29578" s="96"/>
    </row>
    <row r="29579" hidden="1">
      <c r="E29579" s="96"/>
    </row>
    <row r="29580" hidden="1">
      <c r="E29580" s="96"/>
    </row>
    <row r="29581" hidden="1">
      <c r="E29581" s="96"/>
    </row>
    <row r="29582" hidden="1">
      <c r="E29582" s="96"/>
    </row>
    <row r="29583" hidden="1">
      <c r="E29583" s="96"/>
    </row>
    <row r="29584" hidden="1">
      <c r="E29584" s="96"/>
    </row>
    <row r="29585" hidden="1">
      <c r="E29585" s="96"/>
    </row>
    <row r="29586" hidden="1">
      <c r="E29586" s="96"/>
    </row>
    <row r="29587" hidden="1">
      <c r="E29587" s="96"/>
    </row>
    <row r="29588" hidden="1">
      <c r="E29588" s="96"/>
    </row>
    <row r="29589" hidden="1">
      <c r="E29589" s="96"/>
    </row>
    <row r="29590" hidden="1">
      <c r="E29590" s="96"/>
    </row>
    <row r="29591" hidden="1">
      <c r="E29591" s="96"/>
    </row>
    <row r="29592" hidden="1">
      <c r="E29592" s="96"/>
    </row>
    <row r="29593" hidden="1">
      <c r="E29593" s="96"/>
    </row>
    <row r="29594" hidden="1">
      <c r="E29594" s="96"/>
    </row>
    <row r="29595" hidden="1">
      <c r="E29595" s="96"/>
    </row>
    <row r="29596" hidden="1">
      <c r="E29596" s="96"/>
    </row>
    <row r="29597" hidden="1">
      <c r="E29597" s="96"/>
    </row>
    <row r="29598" hidden="1">
      <c r="E29598" s="96"/>
    </row>
    <row r="29599" hidden="1">
      <c r="E29599" s="96"/>
    </row>
    <row r="29600" hidden="1">
      <c r="E29600" s="96"/>
    </row>
    <row r="29601" hidden="1">
      <c r="E29601" s="96"/>
    </row>
    <row r="29602" hidden="1">
      <c r="E29602" s="96"/>
    </row>
    <row r="29603" hidden="1">
      <c r="E29603" s="96"/>
    </row>
    <row r="29604" hidden="1">
      <c r="E29604" s="96"/>
    </row>
    <row r="29605" hidden="1">
      <c r="E29605" s="96"/>
    </row>
    <row r="29606" hidden="1">
      <c r="E29606" s="96"/>
    </row>
    <row r="29607" hidden="1">
      <c r="E29607" s="96"/>
    </row>
    <row r="29608" hidden="1">
      <c r="E29608" s="96"/>
    </row>
    <row r="29609" hidden="1">
      <c r="E29609" s="96"/>
    </row>
    <row r="29610" hidden="1">
      <c r="E29610" s="96"/>
    </row>
    <row r="29611" hidden="1">
      <c r="E29611" s="96"/>
    </row>
    <row r="29612" hidden="1">
      <c r="E29612" s="96"/>
    </row>
    <row r="29613" hidden="1">
      <c r="E29613" s="96"/>
    </row>
    <row r="29614" hidden="1">
      <c r="E29614" s="96"/>
    </row>
    <row r="29615" hidden="1">
      <c r="E29615" s="96"/>
    </row>
    <row r="29616" hidden="1">
      <c r="E29616" s="96"/>
    </row>
    <row r="29617" hidden="1">
      <c r="E29617" s="96"/>
    </row>
    <row r="29618" hidden="1">
      <c r="E29618" s="96"/>
    </row>
    <row r="29619" hidden="1">
      <c r="E29619" s="96"/>
    </row>
    <row r="29620" hidden="1">
      <c r="E29620" s="96"/>
    </row>
    <row r="29621" hidden="1">
      <c r="E29621" s="96"/>
    </row>
    <row r="29622" hidden="1">
      <c r="E29622" s="96"/>
    </row>
    <row r="29623" hidden="1">
      <c r="E29623" s="96"/>
    </row>
    <row r="29624" hidden="1">
      <c r="E29624" s="96"/>
    </row>
    <row r="29625" hidden="1">
      <c r="E29625" s="96"/>
    </row>
    <row r="29626" hidden="1">
      <c r="E29626" s="96"/>
    </row>
    <row r="29627" hidden="1">
      <c r="E29627" s="96"/>
    </row>
    <row r="29628" hidden="1">
      <c r="E29628" s="96"/>
    </row>
    <row r="29629" hidden="1">
      <c r="E29629" s="96"/>
    </row>
    <row r="29630" hidden="1">
      <c r="E29630" s="96"/>
    </row>
    <row r="29631" hidden="1">
      <c r="E29631" s="96"/>
    </row>
    <row r="29632" hidden="1">
      <c r="E29632" s="96"/>
    </row>
    <row r="29633" hidden="1">
      <c r="E29633" s="96"/>
    </row>
    <row r="29634" hidden="1">
      <c r="E29634" s="96"/>
    </row>
    <row r="29635" hidden="1">
      <c r="E29635" s="96"/>
    </row>
    <row r="29636" hidden="1">
      <c r="E29636" s="96"/>
    </row>
    <row r="29637" hidden="1">
      <c r="E29637" s="96"/>
    </row>
    <row r="29638" hidden="1">
      <c r="E29638" s="96"/>
    </row>
    <row r="29639" hidden="1">
      <c r="E29639" s="96"/>
    </row>
    <row r="29640" hidden="1">
      <c r="E29640" s="96"/>
    </row>
    <row r="29641" hidden="1">
      <c r="E29641" s="96"/>
    </row>
    <row r="29642" hidden="1">
      <c r="E29642" s="96"/>
    </row>
    <row r="29643" hidden="1">
      <c r="E29643" s="96"/>
    </row>
    <row r="29644" hidden="1">
      <c r="E29644" s="96"/>
    </row>
    <row r="29645" hidden="1">
      <c r="E29645" s="96"/>
    </row>
    <row r="29646" hidden="1">
      <c r="E29646" s="96"/>
    </row>
    <row r="29647" hidden="1">
      <c r="E29647" s="96"/>
    </row>
    <row r="29648" hidden="1">
      <c r="E29648" s="96"/>
    </row>
    <row r="29649" hidden="1">
      <c r="E29649" s="96"/>
    </row>
    <row r="29650" hidden="1">
      <c r="E29650" s="96"/>
    </row>
    <row r="29651" hidden="1">
      <c r="E29651" s="96"/>
    </row>
    <row r="29652" hidden="1">
      <c r="E29652" s="96"/>
    </row>
    <row r="29653" hidden="1">
      <c r="E29653" s="96"/>
    </row>
    <row r="29654" hidden="1">
      <c r="E29654" s="96"/>
    </row>
    <row r="29655" hidden="1">
      <c r="E29655" s="96"/>
    </row>
    <row r="29656" hidden="1">
      <c r="E29656" s="96"/>
    </row>
    <row r="29657" hidden="1">
      <c r="E29657" s="96"/>
    </row>
    <row r="29658" hidden="1">
      <c r="E29658" s="96"/>
    </row>
    <row r="29659" hidden="1">
      <c r="E29659" s="96"/>
    </row>
    <row r="29660" hidden="1">
      <c r="E29660" s="96"/>
    </row>
    <row r="29661" hidden="1">
      <c r="E29661" s="96"/>
    </row>
    <row r="29662" hidden="1">
      <c r="E29662" s="96"/>
    </row>
    <row r="29663" hidden="1">
      <c r="E29663" s="96"/>
    </row>
    <row r="29664" hidden="1">
      <c r="E29664" s="96"/>
    </row>
    <row r="29665" hidden="1">
      <c r="E29665" s="96"/>
    </row>
    <row r="29666" hidden="1">
      <c r="E29666" s="96"/>
    </row>
    <row r="29667" hidden="1">
      <c r="E29667" s="96"/>
    </row>
    <row r="29668" hidden="1">
      <c r="E29668" s="96"/>
    </row>
    <row r="29669" hidden="1">
      <c r="E29669" s="96"/>
    </row>
    <row r="29670" hidden="1">
      <c r="E29670" s="96"/>
    </row>
    <row r="29671" hidden="1">
      <c r="E29671" s="96"/>
    </row>
    <row r="29672" hidden="1">
      <c r="E29672" s="96"/>
    </row>
    <row r="29673" hidden="1">
      <c r="E29673" s="96"/>
    </row>
    <row r="29674" hidden="1">
      <c r="E29674" s="96"/>
    </row>
    <row r="29675" hidden="1">
      <c r="E29675" s="96"/>
    </row>
    <row r="29676" hidden="1">
      <c r="E29676" s="96"/>
    </row>
    <row r="29677" hidden="1">
      <c r="E29677" s="96"/>
    </row>
    <row r="29678" hidden="1">
      <c r="E29678" s="96"/>
    </row>
    <row r="29679" hidden="1">
      <c r="E29679" s="96"/>
    </row>
    <row r="29680" hidden="1">
      <c r="E29680" s="96"/>
    </row>
    <row r="29681" hidden="1">
      <c r="E29681" s="96"/>
    </row>
    <row r="29682" hidden="1">
      <c r="E29682" s="96"/>
    </row>
    <row r="29683" hidden="1">
      <c r="E29683" s="96"/>
    </row>
    <row r="29684" hidden="1">
      <c r="E29684" s="96"/>
    </row>
    <row r="29685" hidden="1">
      <c r="E29685" s="96"/>
    </row>
    <row r="29686" hidden="1">
      <c r="E29686" s="96"/>
    </row>
    <row r="29687" hidden="1">
      <c r="E29687" s="96"/>
    </row>
    <row r="29688" hidden="1">
      <c r="E29688" s="96"/>
    </row>
    <row r="29689" hidden="1">
      <c r="E29689" s="96"/>
    </row>
    <row r="29690" hidden="1">
      <c r="E29690" s="96"/>
    </row>
    <row r="29691" hidden="1">
      <c r="E29691" s="96"/>
    </row>
    <row r="29692" hidden="1">
      <c r="E29692" s="96"/>
    </row>
    <row r="29693" hidden="1">
      <c r="E29693" s="96"/>
    </row>
    <row r="29694" hidden="1">
      <c r="E29694" s="96"/>
    </row>
    <row r="29695" hidden="1">
      <c r="E29695" s="96"/>
    </row>
    <row r="29696" hidden="1">
      <c r="E29696" s="96"/>
    </row>
    <row r="29697" hidden="1">
      <c r="E29697" s="96"/>
    </row>
    <row r="29698" hidden="1">
      <c r="E29698" s="96"/>
    </row>
    <row r="29699" hidden="1">
      <c r="E29699" s="96"/>
    </row>
    <row r="29700" hidden="1">
      <c r="E29700" s="96"/>
    </row>
    <row r="29701" hidden="1">
      <c r="E29701" s="96"/>
    </row>
    <row r="29702" hidden="1">
      <c r="E29702" s="96"/>
    </row>
    <row r="29703" hidden="1">
      <c r="E29703" s="96"/>
    </row>
    <row r="29704" hidden="1">
      <c r="E29704" s="96"/>
    </row>
    <row r="29705" hidden="1">
      <c r="E29705" s="96"/>
    </row>
    <row r="29706" hidden="1">
      <c r="E29706" s="96"/>
    </row>
    <row r="29707" hidden="1">
      <c r="E29707" s="96"/>
    </row>
    <row r="29708" hidden="1">
      <c r="E29708" s="96"/>
    </row>
    <row r="29709" hidden="1">
      <c r="E29709" s="96"/>
    </row>
    <row r="29710" hidden="1">
      <c r="E29710" s="96"/>
    </row>
    <row r="29711" hidden="1">
      <c r="E29711" s="96"/>
    </row>
    <row r="29712" hidden="1">
      <c r="E29712" s="96"/>
    </row>
    <row r="29713" hidden="1">
      <c r="E29713" s="96"/>
    </row>
    <row r="29714" hidden="1">
      <c r="E29714" s="96"/>
    </row>
    <row r="29715" hidden="1">
      <c r="E29715" s="96"/>
    </row>
    <row r="29716" hidden="1">
      <c r="E29716" s="96"/>
    </row>
    <row r="29717" hidden="1">
      <c r="E29717" s="96"/>
    </row>
    <row r="29718" hidden="1">
      <c r="E29718" s="96"/>
    </row>
    <row r="29719" hidden="1">
      <c r="E29719" s="96"/>
    </row>
    <row r="29720" hidden="1">
      <c r="E29720" s="96"/>
    </row>
    <row r="29721" hidden="1">
      <c r="E29721" s="96"/>
    </row>
    <row r="29722" hidden="1">
      <c r="E29722" s="96"/>
    </row>
    <row r="29723" hidden="1">
      <c r="E29723" s="96"/>
    </row>
    <row r="29724" hidden="1">
      <c r="E29724" s="96"/>
    </row>
    <row r="29725" hidden="1">
      <c r="E29725" s="96"/>
    </row>
    <row r="29726" hidden="1">
      <c r="E29726" s="96"/>
    </row>
    <row r="29727" hidden="1">
      <c r="E29727" s="96"/>
    </row>
    <row r="29728" hidden="1">
      <c r="E29728" s="96"/>
    </row>
    <row r="29729" hidden="1">
      <c r="E29729" s="96"/>
    </row>
    <row r="29730" hidden="1">
      <c r="E29730" s="96"/>
    </row>
    <row r="29731" hidden="1">
      <c r="E29731" s="96"/>
    </row>
    <row r="29732" hidden="1">
      <c r="E29732" s="96"/>
    </row>
    <row r="29733" hidden="1">
      <c r="E29733" s="96"/>
    </row>
    <row r="29734" hidden="1">
      <c r="E29734" s="96"/>
    </row>
    <row r="29735" hidden="1">
      <c r="E29735" s="96"/>
    </row>
    <row r="29736" hidden="1">
      <c r="E29736" s="96"/>
    </row>
    <row r="29737" hidden="1">
      <c r="E29737" s="96"/>
    </row>
    <row r="29738" hidden="1">
      <c r="E29738" s="96"/>
    </row>
    <row r="29739" hidden="1">
      <c r="E29739" s="96"/>
    </row>
    <row r="29740" hidden="1">
      <c r="E29740" s="96"/>
    </row>
    <row r="29741" hidden="1">
      <c r="E29741" s="96"/>
    </row>
    <row r="29742" hidden="1">
      <c r="E29742" s="96"/>
    </row>
    <row r="29743" hidden="1">
      <c r="E29743" s="96"/>
    </row>
    <row r="29744" hidden="1">
      <c r="E29744" s="96"/>
    </row>
    <row r="29745" hidden="1">
      <c r="E29745" s="96"/>
    </row>
    <row r="29746" hidden="1">
      <c r="E29746" s="96"/>
    </row>
    <row r="29747" hidden="1">
      <c r="E29747" s="96"/>
    </row>
    <row r="29748" hidden="1">
      <c r="E29748" s="96"/>
    </row>
    <row r="29749" hidden="1">
      <c r="E29749" s="96"/>
    </row>
    <row r="29750" hidden="1">
      <c r="E29750" s="96"/>
    </row>
    <row r="29751" hidden="1">
      <c r="E29751" s="96"/>
    </row>
    <row r="29752" hidden="1">
      <c r="E29752" s="96"/>
    </row>
    <row r="29753" hidden="1">
      <c r="E29753" s="96"/>
    </row>
    <row r="29754" hidden="1">
      <c r="E29754" s="96"/>
    </row>
    <row r="29755" hidden="1">
      <c r="E29755" s="96"/>
    </row>
    <row r="29756" hidden="1">
      <c r="E29756" s="96"/>
    </row>
    <row r="29757" hidden="1">
      <c r="E29757" s="96"/>
    </row>
    <row r="29758" hidden="1">
      <c r="E29758" s="96"/>
    </row>
    <row r="29759" hidden="1">
      <c r="E29759" s="96"/>
    </row>
    <row r="29760" hidden="1">
      <c r="E29760" s="96"/>
    </row>
    <row r="29761" hidden="1">
      <c r="E29761" s="96"/>
    </row>
    <row r="29762" hidden="1">
      <c r="E29762" s="96"/>
    </row>
    <row r="29763" hidden="1">
      <c r="E29763" s="96"/>
    </row>
    <row r="29764" hidden="1">
      <c r="E29764" s="96"/>
    </row>
    <row r="29765" hidden="1">
      <c r="E29765" s="96"/>
    </row>
    <row r="29766" hidden="1">
      <c r="E29766" s="96"/>
    </row>
    <row r="29767" hidden="1">
      <c r="E29767" s="96"/>
    </row>
    <row r="29768" hidden="1">
      <c r="E29768" s="96"/>
    </row>
    <row r="29769" hidden="1">
      <c r="E29769" s="96"/>
    </row>
    <row r="29770" hidden="1">
      <c r="E29770" s="96"/>
    </row>
    <row r="29771" hidden="1">
      <c r="E29771" s="96"/>
    </row>
    <row r="29772" hidden="1">
      <c r="E29772" s="96"/>
    </row>
    <row r="29773" hidden="1">
      <c r="E29773" s="96"/>
    </row>
    <row r="29774" hidden="1">
      <c r="E29774" s="96"/>
    </row>
    <row r="29775" hidden="1">
      <c r="E29775" s="96"/>
    </row>
    <row r="29776" hidden="1">
      <c r="E29776" s="96"/>
    </row>
    <row r="29777" hidden="1">
      <c r="E29777" s="96"/>
    </row>
    <row r="29778" hidden="1">
      <c r="E29778" s="96"/>
    </row>
    <row r="29779" hidden="1">
      <c r="E29779" s="96"/>
    </row>
    <row r="29780" hidden="1">
      <c r="E29780" s="96"/>
    </row>
    <row r="29781" hidden="1">
      <c r="E29781" s="96"/>
    </row>
    <row r="29782" hidden="1">
      <c r="E29782" s="96"/>
    </row>
    <row r="29783" hidden="1">
      <c r="E29783" s="96"/>
    </row>
    <row r="29784" hidden="1">
      <c r="E29784" s="96"/>
    </row>
    <row r="29785" hidden="1">
      <c r="E29785" s="96"/>
    </row>
    <row r="29786" hidden="1">
      <c r="E29786" s="96"/>
    </row>
    <row r="29787" hidden="1">
      <c r="E29787" s="96"/>
    </row>
    <row r="29788" hidden="1">
      <c r="E29788" s="96"/>
    </row>
    <row r="29789" hidden="1">
      <c r="E29789" s="96"/>
    </row>
    <row r="29790" hidden="1">
      <c r="E29790" s="96"/>
    </row>
    <row r="29791" hidden="1">
      <c r="E29791" s="96"/>
    </row>
    <row r="29792" hidden="1">
      <c r="E29792" s="96"/>
    </row>
    <row r="29793" hidden="1">
      <c r="E29793" s="96"/>
    </row>
    <row r="29794" hidden="1">
      <c r="E29794" s="96"/>
    </row>
    <row r="29795" hidden="1">
      <c r="E29795" s="96"/>
    </row>
    <row r="29796" hidden="1">
      <c r="E29796" s="96"/>
    </row>
    <row r="29797" hidden="1">
      <c r="E29797" s="96"/>
    </row>
    <row r="29798" hidden="1">
      <c r="E29798" s="96"/>
    </row>
    <row r="29799" hidden="1">
      <c r="E29799" s="96"/>
    </row>
    <row r="29800" hidden="1">
      <c r="E29800" s="96"/>
    </row>
    <row r="29801" hidden="1">
      <c r="E29801" s="96"/>
    </row>
    <row r="29802" hidden="1">
      <c r="E29802" s="96"/>
    </row>
    <row r="29803" hidden="1">
      <c r="E29803" s="96"/>
    </row>
    <row r="29804" hidden="1">
      <c r="E29804" s="96"/>
    </row>
    <row r="29805" hidden="1">
      <c r="E29805" s="96"/>
    </row>
    <row r="29806" hidden="1">
      <c r="E29806" s="96"/>
    </row>
    <row r="29807" hidden="1">
      <c r="E29807" s="96"/>
    </row>
    <row r="29808" hidden="1">
      <c r="E29808" s="96"/>
    </row>
    <row r="29809" hidden="1">
      <c r="E29809" s="96"/>
    </row>
    <row r="29810" hidden="1">
      <c r="E29810" s="96"/>
    </row>
    <row r="29811" hidden="1">
      <c r="E29811" s="96"/>
    </row>
    <row r="29812" hidden="1">
      <c r="E29812" s="96"/>
    </row>
    <row r="29813" hidden="1">
      <c r="E29813" s="96"/>
    </row>
    <row r="29814" hidden="1">
      <c r="E29814" s="96"/>
    </row>
    <row r="29815" hidden="1">
      <c r="E29815" s="96"/>
    </row>
    <row r="29816" hidden="1">
      <c r="E29816" s="96"/>
    </row>
    <row r="29817" hidden="1">
      <c r="E29817" s="96"/>
    </row>
    <row r="29818" hidden="1">
      <c r="E29818" s="96"/>
    </row>
    <row r="29819" hidden="1">
      <c r="E29819" s="96"/>
    </row>
    <row r="29820" hidden="1">
      <c r="E29820" s="96"/>
    </row>
    <row r="29821" hidden="1">
      <c r="E29821" s="96"/>
    </row>
    <row r="29822" hidden="1">
      <c r="E29822" s="96"/>
    </row>
    <row r="29823" hidden="1">
      <c r="E29823" s="96"/>
    </row>
    <row r="29824" hidden="1">
      <c r="E29824" s="96"/>
    </row>
    <row r="29825" hidden="1">
      <c r="E29825" s="96"/>
    </row>
    <row r="29826" hidden="1">
      <c r="E29826" s="96"/>
    </row>
    <row r="29827" hidden="1">
      <c r="E29827" s="96"/>
    </row>
    <row r="29828" hidden="1">
      <c r="E29828" s="96"/>
    </row>
    <row r="29829" hidden="1">
      <c r="E29829" s="96"/>
    </row>
    <row r="29830" hidden="1">
      <c r="E29830" s="96"/>
    </row>
    <row r="29831" hidden="1">
      <c r="E29831" s="96"/>
    </row>
    <row r="29832" hidden="1">
      <c r="E29832" s="96"/>
    </row>
    <row r="29833" hidden="1">
      <c r="E29833" s="96"/>
    </row>
    <row r="29834" hidden="1">
      <c r="E29834" s="96"/>
    </row>
    <row r="29835" hidden="1">
      <c r="E29835" s="96"/>
    </row>
    <row r="29836" hidden="1">
      <c r="E29836" s="96"/>
    </row>
    <row r="29837" hidden="1">
      <c r="E29837" s="96"/>
    </row>
    <row r="29838" hidden="1">
      <c r="E29838" s="96"/>
    </row>
    <row r="29839" hidden="1">
      <c r="E29839" s="96"/>
    </row>
    <row r="29840" hidden="1">
      <c r="E29840" s="96"/>
    </row>
    <row r="29841" hidden="1">
      <c r="E29841" s="96"/>
    </row>
    <row r="29842" hidden="1">
      <c r="E29842" s="96"/>
    </row>
    <row r="29843" hidden="1">
      <c r="E29843" s="96"/>
    </row>
    <row r="29844" hidden="1">
      <c r="E29844" s="96"/>
    </row>
    <row r="29845" hidden="1">
      <c r="E29845" s="96"/>
    </row>
    <row r="29846" hidden="1">
      <c r="E29846" s="96"/>
    </row>
    <row r="29847" hidden="1">
      <c r="E29847" s="96"/>
    </row>
    <row r="29848" hidden="1">
      <c r="E29848" s="96"/>
    </row>
    <row r="29849" hidden="1">
      <c r="E29849" s="96"/>
    </row>
    <row r="29850" hidden="1">
      <c r="E29850" s="96"/>
    </row>
    <row r="29851" hidden="1">
      <c r="E29851" s="96"/>
    </row>
    <row r="29852" hidden="1">
      <c r="E29852" s="96"/>
    </row>
    <row r="29853" hidden="1">
      <c r="E29853" s="96"/>
    </row>
    <row r="29854" hidden="1">
      <c r="E29854" s="96"/>
    </row>
    <row r="29855" hidden="1">
      <c r="E29855" s="96"/>
    </row>
    <row r="29856" hidden="1">
      <c r="E29856" s="96"/>
    </row>
    <row r="29857" hidden="1">
      <c r="E29857" s="96"/>
    </row>
    <row r="29858" hidden="1">
      <c r="E29858" s="96"/>
    </row>
    <row r="29859" hidden="1">
      <c r="E29859" s="96"/>
    </row>
    <row r="29860" hidden="1">
      <c r="E29860" s="96"/>
    </row>
    <row r="29861" hidden="1">
      <c r="E29861" s="96"/>
    </row>
    <row r="29862" hidden="1">
      <c r="E29862" s="96"/>
    </row>
    <row r="29863" hidden="1">
      <c r="E29863" s="96"/>
    </row>
    <row r="29864" hidden="1">
      <c r="E29864" s="96"/>
    </row>
    <row r="29865" hidden="1">
      <c r="E29865" s="96"/>
    </row>
    <row r="29866" hidden="1">
      <c r="E29866" s="96"/>
    </row>
    <row r="29867" hidden="1">
      <c r="E29867" s="96"/>
    </row>
    <row r="29868" hidden="1">
      <c r="E29868" s="96"/>
    </row>
    <row r="29869" hidden="1">
      <c r="E29869" s="96"/>
    </row>
    <row r="29870" hidden="1">
      <c r="E29870" s="96"/>
    </row>
    <row r="29871" hidden="1">
      <c r="E29871" s="96"/>
    </row>
    <row r="29872" hidden="1">
      <c r="E29872" s="96"/>
    </row>
    <row r="29873" hidden="1">
      <c r="E29873" s="96"/>
    </row>
    <row r="29874" hidden="1">
      <c r="E29874" s="96"/>
    </row>
    <row r="29875" hidden="1">
      <c r="E29875" s="96"/>
    </row>
    <row r="29876" hidden="1">
      <c r="E29876" s="96"/>
    </row>
    <row r="29877" hidden="1">
      <c r="E29877" s="96"/>
    </row>
    <row r="29878" hidden="1">
      <c r="E29878" s="96"/>
    </row>
    <row r="29879" hidden="1">
      <c r="E29879" s="96"/>
    </row>
    <row r="29880" hidden="1">
      <c r="E29880" s="96"/>
    </row>
    <row r="29881" hidden="1">
      <c r="E29881" s="96"/>
    </row>
    <row r="29882" hidden="1">
      <c r="E29882" s="96"/>
    </row>
    <row r="29883" hidden="1">
      <c r="E29883" s="96"/>
    </row>
    <row r="29884" hidden="1">
      <c r="E29884" s="96"/>
    </row>
    <row r="29885" hidden="1">
      <c r="E29885" s="96"/>
    </row>
    <row r="29886" hidden="1">
      <c r="E29886" s="96"/>
    </row>
    <row r="29887" hidden="1">
      <c r="E29887" s="96"/>
    </row>
    <row r="29888" hidden="1">
      <c r="E29888" s="96"/>
    </row>
    <row r="29889" hidden="1">
      <c r="E29889" s="96"/>
    </row>
    <row r="29890" hidden="1">
      <c r="E29890" s="96"/>
    </row>
    <row r="29891" hidden="1">
      <c r="E29891" s="96"/>
    </row>
    <row r="29892" hidden="1">
      <c r="E29892" s="96"/>
    </row>
    <row r="29893" hidden="1">
      <c r="E29893" s="96"/>
    </row>
    <row r="29894" hidden="1">
      <c r="E29894" s="96"/>
    </row>
    <row r="29895" hidden="1">
      <c r="E29895" s="96"/>
    </row>
    <row r="29896" hidden="1">
      <c r="E29896" s="96"/>
    </row>
    <row r="29897" hidden="1">
      <c r="E29897" s="96"/>
    </row>
    <row r="29898" hidden="1">
      <c r="E29898" s="96"/>
    </row>
    <row r="29899" hidden="1">
      <c r="E29899" s="96"/>
    </row>
    <row r="29900" hidden="1">
      <c r="E29900" s="96"/>
    </row>
    <row r="29901" hidden="1">
      <c r="E29901" s="96"/>
    </row>
    <row r="29902" hidden="1">
      <c r="E29902" s="96"/>
    </row>
    <row r="29903" hidden="1">
      <c r="E29903" s="96"/>
    </row>
    <row r="29904" hidden="1">
      <c r="E29904" s="96"/>
    </row>
    <row r="29905" hidden="1">
      <c r="E29905" s="96"/>
    </row>
    <row r="29906" hidden="1">
      <c r="E29906" s="96"/>
    </row>
    <row r="29907" hidden="1">
      <c r="E29907" s="96"/>
    </row>
    <row r="29908" hidden="1">
      <c r="E29908" s="96"/>
    </row>
    <row r="29909" hidden="1">
      <c r="E29909" s="96"/>
    </row>
    <row r="29910" hidden="1">
      <c r="E29910" s="96"/>
    </row>
    <row r="29911" hidden="1">
      <c r="E29911" s="96"/>
    </row>
    <row r="29912" hidden="1">
      <c r="E29912" s="96"/>
    </row>
    <row r="29913" hidden="1">
      <c r="E29913" s="96"/>
    </row>
    <row r="29914" hidden="1">
      <c r="E29914" s="96"/>
    </row>
    <row r="29915" hidden="1">
      <c r="E29915" s="96"/>
    </row>
    <row r="29916" hidden="1">
      <c r="E29916" s="96"/>
    </row>
    <row r="29917" hidden="1">
      <c r="E29917" s="96"/>
    </row>
    <row r="29918" hidden="1">
      <c r="E29918" s="96"/>
    </row>
    <row r="29919" hidden="1">
      <c r="E29919" s="96"/>
    </row>
    <row r="29920" hidden="1">
      <c r="E29920" s="96"/>
    </row>
    <row r="29921" hidden="1">
      <c r="E29921" s="96"/>
    </row>
    <row r="29922" hidden="1">
      <c r="E29922" s="96"/>
    </row>
    <row r="29923" hidden="1">
      <c r="E29923" s="96"/>
    </row>
    <row r="29924" hidden="1">
      <c r="E29924" s="96"/>
    </row>
    <row r="29925" hidden="1">
      <c r="E29925" s="96"/>
    </row>
    <row r="29926" hidden="1">
      <c r="E29926" s="96"/>
    </row>
    <row r="29927" hidden="1">
      <c r="E29927" s="96"/>
    </row>
    <row r="29928" hidden="1">
      <c r="E29928" s="96"/>
    </row>
    <row r="29929" hidden="1">
      <c r="E29929" s="96"/>
    </row>
    <row r="29930" hidden="1">
      <c r="E29930" s="96"/>
    </row>
    <row r="29931" hidden="1">
      <c r="E29931" s="96"/>
    </row>
    <row r="29932" hidden="1">
      <c r="E29932" s="96"/>
    </row>
    <row r="29933" hidden="1">
      <c r="E29933" s="96"/>
    </row>
    <row r="29934" hidden="1">
      <c r="E29934" s="96"/>
    </row>
    <row r="29935" hidden="1">
      <c r="E29935" s="96"/>
    </row>
    <row r="29936" hidden="1">
      <c r="E29936" s="96"/>
    </row>
    <row r="29937" hidden="1">
      <c r="E29937" s="96"/>
    </row>
    <row r="29938" hidden="1">
      <c r="E29938" s="96"/>
    </row>
    <row r="29939" hidden="1">
      <c r="E29939" s="96"/>
    </row>
    <row r="29940" hidden="1">
      <c r="E29940" s="96"/>
    </row>
    <row r="29941" hidden="1">
      <c r="E29941" s="96"/>
    </row>
    <row r="29942" hidden="1">
      <c r="E29942" s="96"/>
    </row>
    <row r="29943" hidden="1">
      <c r="E29943" s="96"/>
    </row>
    <row r="29944" hidden="1">
      <c r="E29944" s="96"/>
    </row>
    <row r="29945" hidden="1">
      <c r="E29945" s="96"/>
    </row>
    <row r="29946" hidden="1">
      <c r="E29946" s="96"/>
    </row>
    <row r="29947" hidden="1">
      <c r="E29947" s="96"/>
    </row>
    <row r="29948" hidden="1">
      <c r="E29948" s="96"/>
    </row>
    <row r="29949" hidden="1">
      <c r="E29949" s="96"/>
    </row>
    <row r="29950" hidden="1">
      <c r="E29950" s="96"/>
    </row>
    <row r="29951" hidden="1">
      <c r="E29951" s="96"/>
    </row>
    <row r="29952" hidden="1">
      <c r="E29952" s="96"/>
    </row>
    <row r="29953" hidden="1">
      <c r="E29953" s="96"/>
    </row>
    <row r="29954" hidden="1">
      <c r="E29954" s="96"/>
    </row>
    <row r="29955" hidden="1">
      <c r="E29955" s="96"/>
    </row>
    <row r="29956" hidden="1">
      <c r="E29956" s="96"/>
    </row>
    <row r="29957" hidden="1">
      <c r="E29957" s="96"/>
    </row>
    <row r="29958" hidden="1">
      <c r="E29958" s="96"/>
    </row>
    <row r="29959" hidden="1">
      <c r="E29959" s="96"/>
    </row>
    <row r="29960" hidden="1">
      <c r="E29960" s="96"/>
    </row>
    <row r="29961" hidden="1">
      <c r="E29961" s="96"/>
    </row>
    <row r="29962" hidden="1">
      <c r="E29962" s="96"/>
    </row>
    <row r="29963" hidden="1">
      <c r="E29963" s="96"/>
    </row>
    <row r="29964" hidden="1">
      <c r="E29964" s="96"/>
    </row>
    <row r="29965" hidden="1">
      <c r="E29965" s="96"/>
    </row>
    <row r="29966" hidden="1">
      <c r="E29966" s="96"/>
    </row>
    <row r="29967" hidden="1">
      <c r="E29967" s="96"/>
    </row>
    <row r="29968" hidden="1">
      <c r="E29968" s="96"/>
    </row>
    <row r="29969" hidden="1">
      <c r="E29969" s="96"/>
    </row>
    <row r="29970" hidden="1">
      <c r="E29970" s="96"/>
    </row>
    <row r="29971" hidden="1">
      <c r="E29971" s="96"/>
    </row>
    <row r="29972" hidden="1">
      <c r="E29972" s="96"/>
    </row>
    <row r="29973" hidden="1">
      <c r="E29973" s="96"/>
    </row>
    <row r="29974" hidden="1">
      <c r="E29974" s="96"/>
    </row>
    <row r="29975" hidden="1">
      <c r="E29975" s="96"/>
    </row>
    <row r="29976" hidden="1">
      <c r="E29976" s="96"/>
    </row>
    <row r="29977" hidden="1">
      <c r="E29977" s="96"/>
    </row>
    <row r="29978" hidden="1">
      <c r="E29978" s="96"/>
    </row>
    <row r="29979" hidden="1">
      <c r="E29979" s="96"/>
    </row>
    <row r="29980" hidden="1">
      <c r="E29980" s="96"/>
    </row>
    <row r="29981" hidden="1">
      <c r="E29981" s="96"/>
    </row>
    <row r="29982" hidden="1">
      <c r="E29982" s="96"/>
    </row>
    <row r="29983" hidden="1">
      <c r="E29983" s="96"/>
    </row>
    <row r="29984" hidden="1">
      <c r="E29984" s="96"/>
    </row>
    <row r="29985" hidden="1">
      <c r="E29985" s="96"/>
    </row>
    <row r="29986" hidden="1">
      <c r="E29986" s="96"/>
    </row>
    <row r="29987" hidden="1">
      <c r="E29987" s="96"/>
    </row>
    <row r="29988" hidden="1">
      <c r="E29988" s="96"/>
    </row>
    <row r="29989" hidden="1">
      <c r="E29989" s="96"/>
    </row>
    <row r="29990" hidden="1">
      <c r="E29990" s="96"/>
    </row>
    <row r="29991" hidden="1">
      <c r="E29991" s="96"/>
    </row>
    <row r="29992" hidden="1">
      <c r="E29992" s="96"/>
    </row>
    <row r="29993" hidden="1">
      <c r="E29993" s="96"/>
    </row>
    <row r="29994" hidden="1">
      <c r="E29994" s="96"/>
    </row>
    <row r="29995" hidden="1">
      <c r="E29995" s="96"/>
    </row>
    <row r="29996" hidden="1">
      <c r="E29996" s="96"/>
    </row>
    <row r="29997" hidden="1">
      <c r="E29997" s="96"/>
    </row>
    <row r="29998" hidden="1">
      <c r="E29998" s="96"/>
    </row>
    <row r="29999" hidden="1">
      <c r="E29999" s="96"/>
    </row>
    <row r="30000" hidden="1">
      <c r="E30000" s="96"/>
    </row>
    <row r="30001" hidden="1">
      <c r="E30001" s="96"/>
    </row>
    <row r="30002" hidden="1">
      <c r="E30002" s="96"/>
    </row>
    <row r="30003" hidden="1">
      <c r="E30003" s="96"/>
    </row>
    <row r="30004" hidden="1">
      <c r="E30004" s="96"/>
    </row>
    <row r="30005" hidden="1">
      <c r="E30005" s="96"/>
    </row>
    <row r="30006" hidden="1">
      <c r="E30006" s="96"/>
    </row>
    <row r="30007" hidden="1">
      <c r="E30007" s="96"/>
    </row>
    <row r="30008" hidden="1">
      <c r="E30008" s="96"/>
    </row>
    <row r="30009" hidden="1">
      <c r="E30009" s="96"/>
    </row>
    <row r="30010" hidden="1">
      <c r="E30010" s="96"/>
    </row>
    <row r="30011" hidden="1">
      <c r="E30011" s="96"/>
    </row>
    <row r="30012" hidden="1">
      <c r="E30012" s="96"/>
    </row>
    <row r="30013" hidden="1">
      <c r="E30013" s="96"/>
    </row>
    <row r="30014" hidden="1">
      <c r="E30014" s="96"/>
    </row>
    <row r="30015" hidden="1">
      <c r="E30015" s="96"/>
    </row>
    <row r="30016" hidden="1">
      <c r="E30016" s="96"/>
    </row>
    <row r="30017" hidden="1">
      <c r="E30017" s="96"/>
    </row>
    <row r="30018" hidden="1">
      <c r="E30018" s="96"/>
    </row>
    <row r="30019" hidden="1">
      <c r="E30019" s="96"/>
    </row>
    <row r="30020" hidden="1">
      <c r="E30020" s="96"/>
    </row>
    <row r="30021" hidden="1">
      <c r="E30021" s="96"/>
    </row>
    <row r="30022" hidden="1">
      <c r="E30022" s="96"/>
    </row>
    <row r="30023" hidden="1">
      <c r="E30023" s="96"/>
    </row>
    <row r="30024" hidden="1">
      <c r="E30024" s="96"/>
    </row>
    <row r="30025" hidden="1">
      <c r="E30025" s="96"/>
    </row>
    <row r="30026" hidden="1">
      <c r="E30026" s="96"/>
    </row>
    <row r="30027" hidden="1">
      <c r="E30027" s="96"/>
    </row>
    <row r="30028" hidden="1">
      <c r="E30028" s="96"/>
    </row>
    <row r="30029" hidden="1">
      <c r="E30029" s="96"/>
    </row>
    <row r="30030" hidden="1">
      <c r="E30030" s="96"/>
    </row>
    <row r="30031" hidden="1">
      <c r="E30031" s="96"/>
    </row>
    <row r="30032" hidden="1">
      <c r="E30032" s="96"/>
    </row>
    <row r="30033" hidden="1">
      <c r="E30033" s="96"/>
    </row>
    <row r="30034" hidden="1">
      <c r="E30034" s="96"/>
    </row>
    <row r="30035" hidden="1">
      <c r="E30035" s="96"/>
    </row>
    <row r="30036" hidden="1">
      <c r="E30036" s="96"/>
    </row>
    <row r="30037" hidden="1">
      <c r="E30037" s="96"/>
    </row>
    <row r="30038" hidden="1">
      <c r="E30038" s="96"/>
    </row>
    <row r="30039" hidden="1">
      <c r="E30039" s="96"/>
    </row>
    <row r="30040" hidden="1">
      <c r="E30040" s="96"/>
    </row>
    <row r="30041" hidden="1">
      <c r="E30041" s="96"/>
    </row>
    <row r="30042" hidden="1">
      <c r="E30042" s="96"/>
    </row>
    <row r="30043" hidden="1">
      <c r="E30043" s="96"/>
    </row>
    <row r="30044" hidden="1">
      <c r="E30044" s="96"/>
    </row>
    <row r="30045" hidden="1">
      <c r="E30045" s="96"/>
    </row>
    <row r="30046" hidden="1">
      <c r="E30046" s="96"/>
    </row>
    <row r="30047" hidden="1">
      <c r="E30047" s="96"/>
    </row>
    <row r="30048" hidden="1">
      <c r="E30048" s="96"/>
    </row>
    <row r="30049" hidden="1">
      <c r="E30049" s="96"/>
    </row>
    <row r="30050" hidden="1">
      <c r="E30050" s="96"/>
    </row>
    <row r="30051" hidden="1">
      <c r="E30051" s="96"/>
    </row>
    <row r="30052" hidden="1">
      <c r="E30052" s="96"/>
    </row>
    <row r="30053" hidden="1">
      <c r="E30053" s="96"/>
    </row>
    <row r="30054" hidden="1">
      <c r="E30054" s="96"/>
    </row>
    <row r="30055" hidden="1">
      <c r="E30055" s="96"/>
    </row>
    <row r="30056" hidden="1">
      <c r="E30056" s="96"/>
    </row>
    <row r="30057" hidden="1">
      <c r="E30057" s="96"/>
    </row>
    <row r="30058" hidden="1">
      <c r="E30058" s="96"/>
    </row>
    <row r="30059" hidden="1">
      <c r="E30059" s="96"/>
    </row>
    <row r="30060" hidden="1">
      <c r="E30060" s="96"/>
    </row>
    <row r="30061" hidden="1">
      <c r="E30061" s="96"/>
    </row>
    <row r="30062" hidden="1">
      <c r="E30062" s="96"/>
    </row>
    <row r="30063" hidden="1">
      <c r="E30063" s="96"/>
    </row>
    <row r="30064" hidden="1">
      <c r="E30064" s="96"/>
    </row>
    <row r="30065" hidden="1">
      <c r="E30065" s="96"/>
    </row>
    <row r="30066" hidden="1">
      <c r="E30066" s="96"/>
    </row>
    <row r="30067" hidden="1">
      <c r="E30067" s="96"/>
    </row>
    <row r="30068" hidden="1">
      <c r="E30068" s="96"/>
    </row>
    <row r="30069" hidden="1">
      <c r="E30069" s="96"/>
    </row>
    <row r="30070" hidden="1">
      <c r="E30070" s="96"/>
    </row>
    <row r="30071" hidden="1">
      <c r="E30071" s="96"/>
    </row>
    <row r="30072" hidden="1">
      <c r="E30072" s="96"/>
    </row>
    <row r="30073" hidden="1">
      <c r="E30073" s="96"/>
    </row>
    <row r="30074" hidden="1">
      <c r="E30074" s="96"/>
    </row>
    <row r="30075" hidden="1">
      <c r="E30075" s="96"/>
    </row>
    <row r="30076" hidden="1">
      <c r="E30076" s="96"/>
    </row>
    <row r="30077" hidden="1">
      <c r="E30077" s="96"/>
    </row>
    <row r="30078" hidden="1">
      <c r="E30078" s="96"/>
    </row>
    <row r="30079" hidden="1">
      <c r="E30079" s="96"/>
    </row>
    <row r="30080" hidden="1">
      <c r="E30080" s="96"/>
    </row>
    <row r="30081" hidden="1">
      <c r="E30081" s="96"/>
    </row>
    <row r="30082" hidden="1">
      <c r="E30082" s="96"/>
    </row>
    <row r="30083" hidden="1">
      <c r="E30083" s="96"/>
    </row>
    <row r="30084" hidden="1">
      <c r="E30084" s="96"/>
    </row>
    <row r="30085" hidden="1">
      <c r="E30085" s="96"/>
    </row>
    <row r="30086" hidden="1">
      <c r="E30086" s="96"/>
    </row>
    <row r="30087" hidden="1">
      <c r="E30087" s="96"/>
    </row>
    <row r="30088" hidden="1">
      <c r="E30088" s="96"/>
    </row>
    <row r="30089" hidden="1">
      <c r="E30089" s="96"/>
    </row>
    <row r="30090" hidden="1">
      <c r="E30090" s="96"/>
    </row>
    <row r="30091" hidden="1">
      <c r="E30091" s="96"/>
    </row>
    <row r="30092" hidden="1">
      <c r="E30092" s="96"/>
    </row>
    <row r="30093" hidden="1">
      <c r="E30093" s="96"/>
    </row>
    <row r="30094" hidden="1">
      <c r="E30094" s="96"/>
    </row>
    <row r="30095" hidden="1">
      <c r="E30095" s="96"/>
    </row>
    <row r="30096" hidden="1">
      <c r="E30096" s="96"/>
    </row>
    <row r="30097" hidden="1">
      <c r="E30097" s="96"/>
    </row>
    <row r="30098" hidden="1">
      <c r="E30098" s="96"/>
    </row>
    <row r="30099" hidden="1">
      <c r="E30099" s="96"/>
    </row>
    <row r="30100" hidden="1">
      <c r="E30100" s="96"/>
    </row>
    <row r="30101" hidden="1">
      <c r="E30101" s="96"/>
    </row>
    <row r="30102" hidden="1">
      <c r="E30102" s="96"/>
    </row>
    <row r="30103" hidden="1">
      <c r="E30103" s="96"/>
    </row>
    <row r="30104" hidden="1">
      <c r="E30104" s="96"/>
    </row>
    <row r="30105" hidden="1">
      <c r="E30105" s="96"/>
    </row>
    <row r="30106" hidden="1">
      <c r="E30106" s="96"/>
    </row>
    <row r="30107" hidden="1">
      <c r="E30107" s="96"/>
    </row>
    <row r="30108" hidden="1">
      <c r="E30108" s="96"/>
    </row>
    <row r="30109" hidden="1">
      <c r="E30109" s="96"/>
    </row>
    <row r="30110" hidden="1">
      <c r="E30110" s="96"/>
    </row>
    <row r="30111" hidden="1">
      <c r="E30111" s="96"/>
    </row>
    <row r="30112" hidden="1">
      <c r="E30112" s="96"/>
    </row>
    <row r="30113" hidden="1">
      <c r="E30113" s="96"/>
    </row>
    <row r="30114" hidden="1">
      <c r="E30114" s="96"/>
    </row>
    <row r="30115" hidden="1">
      <c r="E30115" s="96"/>
    </row>
    <row r="30116" hidden="1">
      <c r="E30116" s="96"/>
    </row>
    <row r="30117" hidden="1">
      <c r="E30117" s="96"/>
    </row>
    <row r="30118" hidden="1">
      <c r="E30118" s="96"/>
    </row>
    <row r="30119" hidden="1">
      <c r="E30119" s="96"/>
    </row>
    <row r="30120" hidden="1">
      <c r="E30120" s="96"/>
    </row>
    <row r="30121" hidden="1">
      <c r="E30121" s="96"/>
    </row>
    <row r="30122" hidden="1">
      <c r="E30122" s="96"/>
    </row>
    <row r="30123" hidden="1">
      <c r="E30123" s="96"/>
    </row>
    <row r="30124" hidden="1">
      <c r="E30124" s="96"/>
    </row>
    <row r="30125" hidden="1">
      <c r="E30125" s="96"/>
    </row>
    <row r="30126" hidden="1">
      <c r="E30126" s="96"/>
    </row>
    <row r="30127" hidden="1">
      <c r="E30127" s="96"/>
    </row>
    <row r="30128" hidden="1">
      <c r="E30128" s="96"/>
    </row>
    <row r="30129" hidden="1">
      <c r="E30129" s="96"/>
    </row>
    <row r="30130" hidden="1">
      <c r="E30130" s="96"/>
    </row>
    <row r="30131" hidden="1">
      <c r="E30131" s="96"/>
    </row>
    <row r="30132" hidden="1">
      <c r="E30132" s="96"/>
    </row>
    <row r="30133" hidden="1">
      <c r="E30133" s="96"/>
    </row>
    <row r="30134" hidden="1">
      <c r="E30134" s="96"/>
    </row>
    <row r="30135" hidden="1">
      <c r="E30135" s="96"/>
    </row>
    <row r="30136" hidden="1">
      <c r="E30136" s="96"/>
    </row>
    <row r="30137" hidden="1">
      <c r="E30137" s="96"/>
    </row>
    <row r="30138" hidden="1">
      <c r="E30138" s="96"/>
    </row>
    <row r="30139" hidden="1">
      <c r="E30139" s="96"/>
    </row>
    <row r="30140" hidden="1">
      <c r="E30140" s="96"/>
    </row>
    <row r="30141" hidden="1">
      <c r="E30141" s="96"/>
    </row>
    <row r="30142" hidden="1">
      <c r="E30142" s="96"/>
    </row>
    <row r="30143" hidden="1">
      <c r="E30143" s="96"/>
    </row>
    <row r="30144" hidden="1">
      <c r="E30144" s="96"/>
    </row>
    <row r="30145" hidden="1">
      <c r="E30145" s="96"/>
    </row>
    <row r="30146" hidden="1">
      <c r="E30146" s="96"/>
    </row>
    <row r="30147" hidden="1">
      <c r="E30147" s="96"/>
    </row>
    <row r="30148" hidden="1">
      <c r="E30148" s="96"/>
    </row>
    <row r="30149" hidden="1">
      <c r="E30149" s="96"/>
    </row>
    <row r="30150" hidden="1">
      <c r="E30150" s="96"/>
    </row>
    <row r="30151" hidden="1">
      <c r="E30151" s="96"/>
    </row>
    <row r="30152" hidden="1">
      <c r="E30152" s="96"/>
    </row>
    <row r="30153" hidden="1">
      <c r="E30153" s="96"/>
    </row>
    <row r="30154" hidden="1">
      <c r="E30154" s="96"/>
    </row>
    <row r="30155" hidden="1">
      <c r="E30155" s="96"/>
    </row>
    <row r="30156" hidden="1">
      <c r="E30156" s="96"/>
    </row>
    <row r="30157" hidden="1">
      <c r="E30157" s="96"/>
    </row>
    <row r="30158" hidden="1">
      <c r="E30158" s="96"/>
    </row>
    <row r="30159" hidden="1">
      <c r="E30159" s="96"/>
    </row>
    <row r="30160" hidden="1">
      <c r="E30160" s="96"/>
    </row>
    <row r="30161" hidden="1">
      <c r="E30161" s="96"/>
    </row>
    <row r="30162" hidden="1">
      <c r="E30162" s="96"/>
    </row>
    <row r="30163" hidden="1">
      <c r="E30163" s="96"/>
    </row>
    <row r="30164" hidden="1">
      <c r="E30164" s="96"/>
    </row>
    <row r="30165" hidden="1">
      <c r="E30165" s="96"/>
    </row>
    <row r="30166" hidden="1">
      <c r="E30166" s="96"/>
    </row>
    <row r="30167" hidden="1">
      <c r="E30167" s="96"/>
    </row>
    <row r="30168" hidden="1">
      <c r="E30168" s="96"/>
    </row>
    <row r="30169" hidden="1">
      <c r="E30169" s="96"/>
    </row>
    <row r="30170" hidden="1">
      <c r="E30170" s="96"/>
    </row>
    <row r="30171" hidden="1">
      <c r="E30171" s="96"/>
    </row>
    <row r="30172" hidden="1">
      <c r="E30172" s="96"/>
    </row>
    <row r="30173" hidden="1">
      <c r="E30173" s="96"/>
    </row>
    <row r="30174" hidden="1">
      <c r="E30174" s="96"/>
    </row>
    <row r="30175" hidden="1">
      <c r="E30175" s="96"/>
    </row>
    <row r="30176" hidden="1">
      <c r="E30176" s="96"/>
    </row>
    <row r="30177" hidden="1">
      <c r="E30177" s="96"/>
    </row>
    <row r="30178" hidden="1">
      <c r="E30178" s="96"/>
    </row>
    <row r="30179" hidden="1">
      <c r="E30179" s="96"/>
    </row>
    <row r="30180" hidden="1">
      <c r="E30180" s="96"/>
    </row>
    <row r="30181" hidden="1">
      <c r="E30181" s="96"/>
    </row>
    <row r="30182" hidden="1">
      <c r="E30182" s="96"/>
    </row>
    <row r="30183" hidden="1">
      <c r="E30183" s="96"/>
    </row>
    <row r="30184" hidden="1">
      <c r="E30184" s="96"/>
    </row>
    <row r="30185" hidden="1">
      <c r="E30185" s="96"/>
    </row>
    <row r="30186" hidden="1">
      <c r="E30186" s="96"/>
    </row>
    <row r="30187" hidden="1">
      <c r="E30187" s="96"/>
    </row>
    <row r="30188" hidden="1">
      <c r="E30188" s="96"/>
    </row>
    <row r="30189" hidden="1">
      <c r="E30189" s="96"/>
    </row>
    <row r="30190" hidden="1">
      <c r="E30190" s="96"/>
    </row>
    <row r="30191" hidden="1">
      <c r="E30191" s="96"/>
    </row>
    <row r="30192" hidden="1">
      <c r="E30192" s="96"/>
    </row>
    <row r="30193" hidden="1">
      <c r="E30193" s="96"/>
    </row>
    <row r="30194" hidden="1">
      <c r="E30194" s="96"/>
    </row>
    <row r="30195" hidden="1">
      <c r="E30195" s="96"/>
    </row>
    <row r="30196" hidden="1">
      <c r="E30196" s="96"/>
    </row>
    <row r="30197" hidden="1">
      <c r="E30197" s="96"/>
    </row>
    <row r="30198" hidden="1">
      <c r="E30198" s="96"/>
    </row>
    <row r="30199" hidden="1">
      <c r="E30199" s="96"/>
    </row>
    <row r="30200" hidden="1">
      <c r="E30200" s="96"/>
    </row>
    <row r="30201" hidden="1">
      <c r="E30201" s="96"/>
    </row>
    <row r="30202" hidden="1">
      <c r="E30202" s="96"/>
    </row>
    <row r="30203" hidden="1">
      <c r="E30203" s="96"/>
    </row>
    <row r="30204" hidden="1">
      <c r="E30204" s="96"/>
    </row>
    <row r="30205" hidden="1">
      <c r="E30205" s="96"/>
    </row>
    <row r="30206" hidden="1">
      <c r="E30206" s="96"/>
    </row>
    <row r="30207" hidden="1">
      <c r="E30207" s="96"/>
    </row>
    <row r="30208" hidden="1">
      <c r="E30208" s="96"/>
    </row>
    <row r="30209" hidden="1">
      <c r="E30209" s="96"/>
    </row>
    <row r="30210" hidden="1">
      <c r="E30210" s="96"/>
    </row>
    <row r="30211" hidden="1">
      <c r="E30211" s="96"/>
    </row>
    <row r="30212" hidden="1">
      <c r="E30212" s="96"/>
    </row>
    <row r="30213" hidden="1">
      <c r="E30213" s="96"/>
    </row>
    <row r="30214" hidden="1">
      <c r="E30214" s="96"/>
    </row>
    <row r="30215" hidden="1">
      <c r="E30215" s="96"/>
    </row>
    <row r="30216" hidden="1">
      <c r="E30216" s="96"/>
    </row>
    <row r="30217" hidden="1">
      <c r="E30217" s="96"/>
    </row>
    <row r="30218" hidden="1">
      <c r="E30218" s="96"/>
    </row>
    <row r="30219" hidden="1">
      <c r="E30219" s="96"/>
    </row>
    <row r="30220" hidden="1">
      <c r="E30220" s="96"/>
    </row>
    <row r="30221" hidden="1">
      <c r="E30221" s="96"/>
    </row>
    <row r="30222" hidden="1">
      <c r="E30222" s="96"/>
    </row>
    <row r="30223" hidden="1">
      <c r="E30223" s="96"/>
    </row>
    <row r="30224" hidden="1">
      <c r="E30224" s="96"/>
    </row>
    <row r="30225" hidden="1">
      <c r="E30225" s="96"/>
    </row>
    <row r="30226" hidden="1">
      <c r="E30226" s="96"/>
    </row>
    <row r="30227" hidden="1">
      <c r="E30227" s="96"/>
    </row>
    <row r="30228" hidden="1">
      <c r="E30228" s="96"/>
    </row>
    <row r="30229" hidden="1">
      <c r="E30229" s="96"/>
    </row>
    <row r="30230" hidden="1">
      <c r="E30230" s="96"/>
    </row>
    <row r="30231" hidden="1">
      <c r="E30231" s="96"/>
    </row>
    <row r="30232" hidden="1">
      <c r="E30232" s="96"/>
    </row>
    <row r="30233" hidden="1">
      <c r="E30233" s="96"/>
    </row>
    <row r="30234" hidden="1">
      <c r="E30234" s="96"/>
    </row>
    <row r="30235" hidden="1">
      <c r="E30235" s="96"/>
    </row>
    <row r="30236" hidden="1">
      <c r="E30236" s="96"/>
    </row>
    <row r="30237" hidden="1">
      <c r="E30237" s="96"/>
    </row>
    <row r="30238" hidden="1">
      <c r="E30238" s="96"/>
    </row>
    <row r="30239" hidden="1">
      <c r="E30239" s="96"/>
    </row>
    <row r="30240" hidden="1">
      <c r="E30240" s="96"/>
    </row>
    <row r="30241" hidden="1">
      <c r="E30241" s="96"/>
    </row>
    <row r="30242" hidden="1">
      <c r="E30242" s="96"/>
    </row>
    <row r="30243" hidden="1">
      <c r="E30243" s="96"/>
    </row>
    <row r="30244" hidden="1">
      <c r="E30244" s="96"/>
    </row>
    <row r="30245" hidden="1">
      <c r="E30245" s="96"/>
    </row>
    <row r="30246" hidden="1">
      <c r="E30246" s="96"/>
    </row>
    <row r="30247" hidden="1">
      <c r="E30247" s="96"/>
    </row>
    <row r="30248" hidden="1">
      <c r="E30248" s="96"/>
    </row>
    <row r="30249" hidden="1">
      <c r="E30249" s="96"/>
    </row>
    <row r="30250" hidden="1">
      <c r="E30250" s="96"/>
    </row>
    <row r="30251" hidden="1">
      <c r="E30251" s="96"/>
    </row>
    <row r="30252" hidden="1">
      <c r="E30252" s="96"/>
    </row>
    <row r="30253" hidden="1">
      <c r="E30253" s="96"/>
    </row>
    <row r="30254" hidden="1">
      <c r="E30254" s="96"/>
    </row>
    <row r="30255" hidden="1">
      <c r="E30255" s="96"/>
    </row>
    <row r="30256" hidden="1">
      <c r="E30256" s="96"/>
    </row>
    <row r="30257" hidden="1">
      <c r="E30257" s="96"/>
    </row>
    <row r="30258" hidden="1">
      <c r="E30258" s="96"/>
    </row>
    <row r="30259" hidden="1">
      <c r="E30259" s="96"/>
    </row>
    <row r="30260" hidden="1">
      <c r="E30260" s="96"/>
    </row>
    <row r="30261" hidden="1">
      <c r="E30261" s="96"/>
    </row>
    <row r="30262" hidden="1">
      <c r="E30262" s="96"/>
    </row>
    <row r="30263" hidden="1">
      <c r="E30263" s="96"/>
    </row>
    <row r="30264" hidden="1">
      <c r="E30264" s="96"/>
    </row>
    <row r="30265" hidden="1">
      <c r="E30265" s="96"/>
    </row>
    <row r="30266" hidden="1">
      <c r="E30266" s="96"/>
    </row>
    <row r="30267" hidden="1">
      <c r="E30267" s="96"/>
    </row>
    <row r="30268" hidden="1">
      <c r="E30268" s="96"/>
    </row>
    <row r="30269" hidden="1">
      <c r="E30269" s="96"/>
    </row>
    <row r="30270" hidden="1">
      <c r="E30270" s="96"/>
    </row>
    <row r="30271" hidden="1">
      <c r="E30271" s="96"/>
    </row>
    <row r="30272" hidden="1">
      <c r="E30272" s="96"/>
    </row>
    <row r="30273" hidden="1">
      <c r="E30273" s="96"/>
    </row>
    <row r="30274" hidden="1">
      <c r="E30274" s="96"/>
    </row>
    <row r="30275" hidden="1">
      <c r="E30275" s="96"/>
    </row>
    <row r="30276" hidden="1">
      <c r="E30276" s="96"/>
    </row>
    <row r="30277" hidden="1">
      <c r="E30277" s="96"/>
    </row>
    <row r="30278" hidden="1">
      <c r="E30278" s="96"/>
    </row>
    <row r="30279" hidden="1">
      <c r="E30279" s="96"/>
    </row>
    <row r="30280" hidden="1">
      <c r="E30280" s="96"/>
    </row>
    <row r="30281" hidden="1">
      <c r="E30281" s="96"/>
    </row>
    <row r="30282" hidden="1">
      <c r="E30282" s="96"/>
    </row>
    <row r="30283" hidden="1">
      <c r="E30283" s="96"/>
    </row>
    <row r="30284" hidden="1">
      <c r="E30284" s="96"/>
    </row>
    <row r="30285" hidden="1">
      <c r="E30285" s="96"/>
    </row>
    <row r="30286" hidden="1">
      <c r="E30286" s="96"/>
    </row>
    <row r="30287" hidden="1">
      <c r="E30287" s="96"/>
    </row>
    <row r="30288" hidden="1">
      <c r="E30288" s="96"/>
    </row>
    <row r="30289" hidden="1">
      <c r="E30289" s="96"/>
    </row>
    <row r="30290" hidden="1">
      <c r="E30290" s="96"/>
    </row>
    <row r="30291" hidden="1">
      <c r="E30291" s="96"/>
    </row>
    <row r="30292" hidden="1">
      <c r="E30292" s="96"/>
    </row>
    <row r="30293" hidden="1">
      <c r="E30293" s="96"/>
    </row>
    <row r="30294" hidden="1">
      <c r="E30294" s="96"/>
    </row>
    <row r="30295" hidden="1">
      <c r="E30295" s="96"/>
    </row>
    <row r="30296" hidden="1">
      <c r="E30296" s="96"/>
    </row>
    <row r="30297" hidden="1">
      <c r="E30297" s="96"/>
    </row>
    <row r="30298" hidden="1">
      <c r="E30298" s="96"/>
    </row>
    <row r="30299" hidden="1">
      <c r="E30299" s="96"/>
    </row>
    <row r="30300" hidden="1">
      <c r="E30300" s="96"/>
    </row>
    <row r="30301" hidden="1">
      <c r="E30301" s="96"/>
    </row>
    <row r="30302" hidden="1">
      <c r="E30302" s="96"/>
    </row>
    <row r="30303" hidden="1">
      <c r="E30303" s="96"/>
    </row>
    <row r="30304" hidden="1">
      <c r="E30304" s="96"/>
    </row>
    <row r="30305" hidden="1">
      <c r="E30305" s="96"/>
    </row>
    <row r="30306" hidden="1">
      <c r="E30306" s="96"/>
    </row>
    <row r="30307" hidden="1">
      <c r="E30307" s="96"/>
    </row>
    <row r="30308" hidden="1">
      <c r="E30308" s="96"/>
    </row>
    <row r="30309" hidden="1">
      <c r="E30309" s="96"/>
    </row>
    <row r="30310" hidden="1">
      <c r="E30310" s="96"/>
    </row>
    <row r="30311" hidden="1">
      <c r="E30311" s="96"/>
    </row>
    <row r="30312" hidden="1">
      <c r="E30312" s="96"/>
    </row>
    <row r="30313" hidden="1">
      <c r="E30313" s="96"/>
    </row>
    <row r="30314" hidden="1">
      <c r="E30314" s="96"/>
    </row>
    <row r="30315" hidden="1">
      <c r="E30315" s="96"/>
    </row>
    <row r="30316" hidden="1">
      <c r="E30316" s="96"/>
    </row>
    <row r="30317" hidden="1">
      <c r="E30317" s="96"/>
    </row>
    <row r="30318" hidden="1">
      <c r="E30318" s="96"/>
    </row>
    <row r="30319" hidden="1">
      <c r="E30319" s="96"/>
    </row>
    <row r="30320" hidden="1">
      <c r="E30320" s="96"/>
    </row>
    <row r="30321" hidden="1">
      <c r="E30321" s="96"/>
    </row>
    <row r="30322" hidden="1">
      <c r="E30322" s="96"/>
    </row>
    <row r="30323" hidden="1">
      <c r="E30323" s="96"/>
    </row>
    <row r="30324" hidden="1">
      <c r="E30324" s="96"/>
    </row>
    <row r="30325" hidden="1">
      <c r="E30325" s="96"/>
    </row>
    <row r="30326" hidden="1">
      <c r="E30326" s="96"/>
    </row>
    <row r="30327" hidden="1">
      <c r="E30327" s="96"/>
    </row>
    <row r="30328" hidden="1">
      <c r="E30328" s="96"/>
    </row>
    <row r="30329" hidden="1">
      <c r="E30329" s="96"/>
    </row>
    <row r="30330" hidden="1">
      <c r="E30330" s="96"/>
    </row>
    <row r="30331" hidden="1">
      <c r="E30331" s="96"/>
    </row>
    <row r="30332" hidden="1">
      <c r="E30332" s="96"/>
    </row>
    <row r="30333" hidden="1">
      <c r="E30333" s="96"/>
    </row>
    <row r="30334" hidden="1">
      <c r="E30334" s="96"/>
    </row>
    <row r="30335" hidden="1">
      <c r="E30335" s="96"/>
    </row>
    <row r="30336" hidden="1">
      <c r="E30336" s="96"/>
    </row>
    <row r="30337" hidden="1">
      <c r="E30337" s="96"/>
    </row>
    <row r="30338" hidden="1">
      <c r="E30338" s="96"/>
    </row>
    <row r="30339" hidden="1">
      <c r="E30339" s="96"/>
    </row>
    <row r="30340" hidden="1">
      <c r="E30340" s="96"/>
    </row>
    <row r="30341" hidden="1">
      <c r="E30341" s="96"/>
    </row>
    <row r="30342" hidden="1">
      <c r="E30342" s="96"/>
    </row>
    <row r="30343" hidden="1">
      <c r="E30343" s="96"/>
    </row>
    <row r="30344" hidden="1">
      <c r="E30344" s="96"/>
    </row>
    <row r="30345" hidden="1">
      <c r="E30345" s="96"/>
    </row>
    <row r="30346" hidden="1">
      <c r="E30346" s="96"/>
    </row>
    <row r="30347" hidden="1">
      <c r="E30347" s="96"/>
    </row>
    <row r="30348" hidden="1">
      <c r="E30348" s="96"/>
    </row>
    <row r="30349" hidden="1">
      <c r="E30349" s="96"/>
    </row>
    <row r="30350" hidden="1">
      <c r="E30350" s="96"/>
    </row>
    <row r="30351" hidden="1">
      <c r="E30351" s="96"/>
    </row>
    <row r="30352" hidden="1">
      <c r="E30352" s="96"/>
    </row>
    <row r="30353" hidden="1">
      <c r="E30353" s="96"/>
    </row>
    <row r="30354" hidden="1">
      <c r="E30354" s="96"/>
    </row>
    <row r="30355" hidden="1">
      <c r="E30355" s="96"/>
    </row>
    <row r="30356" hidden="1">
      <c r="E30356" s="96"/>
    </row>
    <row r="30357" hidden="1">
      <c r="E30357" s="96"/>
    </row>
    <row r="30358" hidden="1">
      <c r="E30358" s="96"/>
    </row>
    <row r="30359" hidden="1">
      <c r="E30359" s="96"/>
    </row>
    <row r="30360" hidden="1">
      <c r="E30360" s="96"/>
    </row>
    <row r="30361" hidden="1">
      <c r="E30361" s="96"/>
    </row>
    <row r="30362" hidden="1">
      <c r="E30362" s="96"/>
    </row>
    <row r="30363" hidden="1">
      <c r="E30363" s="96"/>
    </row>
    <row r="30364" hidden="1">
      <c r="E30364" s="96"/>
    </row>
    <row r="30365" hidden="1">
      <c r="E30365" s="96"/>
    </row>
    <row r="30366" hidden="1">
      <c r="E30366" s="96"/>
    </row>
    <row r="30367" hidden="1">
      <c r="E30367" s="96"/>
    </row>
    <row r="30368" hidden="1">
      <c r="E30368" s="96"/>
    </row>
    <row r="30369" hidden="1">
      <c r="E30369" s="96"/>
    </row>
    <row r="30370" hidden="1">
      <c r="E30370" s="96"/>
    </row>
    <row r="30371" hidden="1">
      <c r="E30371" s="96"/>
    </row>
    <row r="30372" hidden="1">
      <c r="E30372" s="96"/>
    </row>
    <row r="30373" hidden="1">
      <c r="E30373" s="96"/>
    </row>
    <row r="30374" hidden="1">
      <c r="E30374" s="96"/>
    </row>
    <row r="30375" hidden="1">
      <c r="E30375" s="96"/>
    </row>
    <row r="30376" hidden="1">
      <c r="E30376" s="96"/>
    </row>
    <row r="30377" hidden="1">
      <c r="E30377" s="96"/>
    </row>
    <row r="30378" hidden="1">
      <c r="E30378" s="96"/>
    </row>
    <row r="30379" hidden="1">
      <c r="E30379" s="96"/>
    </row>
    <row r="30380" hidden="1">
      <c r="E30380" s="96"/>
    </row>
    <row r="30381" hidden="1">
      <c r="E30381" s="96"/>
    </row>
    <row r="30382" hidden="1">
      <c r="E30382" s="96"/>
    </row>
    <row r="30383" hidden="1">
      <c r="E30383" s="96"/>
    </row>
    <row r="30384" hidden="1">
      <c r="E30384" s="96"/>
    </row>
    <row r="30385" hidden="1">
      <c r="E30385" s="96"/>
    </row>
    <row r="30386" hidden="1">
      <c r="E30386" s="96"/>
    </row>
    <row r="30387" hidden="1">
      <c r="E30387" s="96"/>
    </row>
    <row r="30388" hidden="1">
      <c r="E30388" s="96"/>
    </row>
    <row r="30389" hidden="1">
      <c r="E30389" s="96"/>
    </row>
    <row r="30390" hidden="1">
      <c r="E30390" s="96"/>
    </row>
    <row r="30391" hidden="1">
      <c r="E30391" s="96"/>
    </row>
    <row r="30392" hidden="1">
      <c r="E30392" s="96"/>
    </row>
    <row r="30393" hidden="1">
      <c r="E30393" s="96"/>
    </row>
    <row r="30394" hidden="1">
      <c r="E30394" s="96"/>
    </row>
    <row r="30395" hidden="1">
      <c r="E30395" s="96"/>
    </row>
    <row r="30396" hidden="1">
      <c r="E30396" s="96"/>
    </row>
    <row r="30397" hidden="1">
      <c r="E30397" s="96"/>
    </row>
    <row r="30398" hidden="1">
      <c r="E30398" s="96"/>
    </row>
    <row r="30399" hidden="1">
      <c r="E30399" s="96"/>
    </row>
    <row r="30400" hidden="1">
      <c r="E30400" s="96"/>
    </row>
    <row r="30401" hidden="1">
      <c r="E30401" s="96"/>
    </row>
    <row r="30402" hidden="1">
      <c r="E30402" s="96"/>
    </row>
    <row r="30403" hidden="1">
      <c r="E30403" s="96"/>
    </row>
    <row r="30404" hidden="1">
      <c r="E30404" s="96"/>
    </row>
    <row r="30405" hidden="1">
      <c r="E30405" s="96"/>
    </row>
    <row r="30406" hidden="1">
      <c r="E30406" s="96"/>
    </row>
    <row r="30407" hidden="1">
      <c r="E30407" s="96"/>
    </row>
    <row r="30408" hidden="1">
      <c r="E30408" s="96"/>
    </row>
    <row r="30409" hidden="1">
      <c r="E30409" s="96"/>
    </row>
    <row r="30410" hidden="1">
      <c r="E30410" s="96"/>
    </row>
    <row r="30411" hidden="1">
      <c r="E30411" s="96"/>
    </row>
    <row r="30412" hidden="1">
      <c r="E30412" s="96"/>
    </row>
    <row r="30413" hidden="1">
      <c r="E30413" s="96"/>
    </row>
    <row r="30414" hidden="1">
      <c r="E30414" s="96"/>
    </row>
    <row r="30415" hidden="1">
      <c r="E30415" s="96"/>
    </row>
    <row r="30416" hidden="1">
      <c r="E30416" s="96"/>
    </row>
    <row r="30417" hidden="1">
      <c r="E30417" s="96"/>
    </row>
    <row r="30418" hidden="1">
      <c r="E30418" s="96"/>
    </row>
    <row r="30419" hidden="1">
      <c r="E30419" s="96"/>
    </row>
    <row r="30420" hidden="1">
      <c r="E30420" s="96"/>
    </row>
    <row r="30421" hidden="1">
      <c r="E30421" s="96"/>
    </row>
    <row r="30422" hidden="1">
      <c r="E30422" s="96"/>
    </row>
    <row r="30423" hidden="1">
      <c r="E30423" s="96"/>
    </row>
    <row r="30424" hidden="1">
      <c r="E30424" s="96"/>
    </row>
    <row r="30425" hidden="1">
      <c r="E30425" s="96"/>
    </row>
    <row r="30426" hidden="1">
      <c r="E30426" s="96"/>
    </row>
    <row r="30427" hidden="1">
      <c r="E30427" s="96"/>
    </row>
    <row r="30428" hidden="1">
      <c r="E30428" s="96"/>
    </row>
    <row r="30429" hidden="1">
      <c r="E30429" s="96"/>
    </row>
    <row r="30430" hidden="1">
      <c r="E30430" s="96"/>
    </row>
    <row r="30431" hidden="1">
      <c r="E30431" s="96"/>
    </row>
    <row r="30432" hidden="1">
      <c r="E30432" s="96"/>
    </row>
    <row r="30433" hidden="1">
      <c r="E30433" s="96"/>
    </row>
    <row r="30434" hidden="1">
      <c r="E30434" s="96"/>
    </row>
    <row r="30435" hidden="1">
      <c r="E30435" s="96"/>
    </row>
    <row r="30436" hidden="1">
      <c r="E30436" s="96"/>
    </row>
    <row r="30437" hidden="1">
      <c r="E30437" s="96"/>
    </row>
    <row r="30438" hidden="1">
      <c r="E30438" s="96"/>
    </row>
    <row r="30439" hidden="1">
      <c r="E30439" s="96"/>
    </row>
    <row r="30440" hidden="1">
      <c r="E30440" s="96"/>
    </row>
    <row r="30441" hidden="1">
      <c r="E30441" s="96"/>
    </row>
    <row r="30442" hidden="1">
      <c r="E30442" s="96"/>
    </row>
    <row r="30443" hidden="1">
      <c r="E30443" s="96"/>
    </row>
    <row r="30444" hidden="1">
      <c r="E30444" s="96"/>
    </row>
    <row r="30445" hidden="1">
      <c r="E30445" s="96"/>
    </row>
    <row r="30446" hidden="1">
      <c r="E30446" s="96"/>
    </row>
    <row r="30447" hidden="1">
      <c r="E30447" s="96"/>
    </row>
    <row r="30448" hidden="1">
      <c r="E30448" s="96"/>
    </row>
    <row r="30449" hidden="1">
      <c r="E30449" s="96"/>
    </row>
    <row r="30450" hidden="1">
      <c r="E30450" s="96"/>
    </row>
    <row r="30451" hidden="1">
      <c r="E30451" s="96"/>
    </row>
    <row r="30452" hidden="1">
      <c r="E30452" s="96"/>
    </row>
    <row r="30453" hidden="1">
      <c r="E30453" s="96"/>
    </row>
    <row r="30454" hidden="1">
      <c r="E30454" s="96"/>
    </row>
    <row r="30455" hidden="1">
      <c r="E30455" s="96"/>
    </row>
    <row r="30456" hidden="1">
      <c r="E30456" s="96"/>
    </row>
    <row r="30457" hidden="1">
      <c r="E30457" s="96"/>
    </row>
    <row r="30458" hidden="1">
      <c r="E30458" s="96"/>
    </row>
    <row r="30459" hidden="1">
      <c r="E30459" s="96"/>
    </row>
    <row r="30460" hidden="1">
      <c r="E30460" s="96"/>
    </row>
    <row r="30461" hidden="1">
      <c r="E30461" s="96"/>
    </row>
    <row r="30462" hidden="1">
      <c r="E30462" s="96"/>
    </row>
    <row r="30463" hidden="1">
      <c r="E30463" s="96"/>
    </row>
    <row r="30464" hidden="1">
      <c r="E30464" s="96"/>
    </row>
    <row r="30465" hidden="1">
      <c r="E30465" s="96"/>
    </row>
    <row r="30466" hidden="1">
      <c r="E30466" s="96"/>
    </row>
    <row r="30467" hidden="1">
      <c r="E30467" s="96"/>
    </row>
    <row r="30468" hidden="1">
      <c r="E30468" s="96"/>
    </row>
    <row r="30469" hidden="1">
      <c r="E30469" s="96"/>
    </row>
    <row r="30470" hidden="1">
      <c r="E30470" s="96"/>
    </row>
    <row r="30471" hidden="1">
      <c r="E30471" s="96"/>
    </row>
    <row r="30472" hidden="1">
      <c r="E30472" s="96"/>
    </row>
    <row r="30473" hidden="1">
      <c r="E30473" s="96"/>
    </row>
    <row r="30474" hidden="1">
      <c r="E30474" s="96"/>
    </row>
    <row r="30475" hidden="1">
      <c r="E30475" s="96"/>
    </row>
    <row r="30476" hidden="1">
      <c r="E30476" s="96"/>
    </row>
    <row r="30477" hidden="1">
      <c r="E30477" s="96"/>
    </row>
    <row r="30478" hidden="1">
      <c r="E30478" s="96"/>
    </row>
    <row r="30479" hidden="1">
      <c r="E30479" s="96"/>
    </row>
    <row r="30480" hidden="1">
      <c r="E30480" s="96"/>
    </row>
    <row r="30481" hidden="1">
      <c r="E30481" s="96"/>
    </row>
    <row r="30482" hidden="1">
      <c r="E30482" s="96"/>
    </row>
    <row r="30483" hidden="1">
      <c r="E30483" s="96"/>
    </row>
    <row r="30484" hidden="1">
      <c r="E30484" s="96"/>
    </row>
    <row r="30485" hidden="1">
      <c r="E30485" s="96"/>
    </row>
    <row r="30486" hidden="1">
      <c r="E30486" s="96"/>
    </row>
    <row r="30487" hidden="1">
      <c r="E30487" s="96"/>
    </row>
    <row r="30488" hidden="1">
      <c r="E30488" s="96"/>
    </row>
    <row r="30489" hidden="1">
      <c r="E30489" s="96"/>
    </row>
    <row r="30490" hidden="1">
      <c r="E30490" s="96"/>
    </row>
    <row r="30491" hidden="1">
      <c r="E30491" s="96"/>
    </row>
    <row r="30492" hidden="1">
      <c r="E30492" s="96"/>
    </row>
    <row r="30493" hidden="1">
      <c r="E30493" s="96"/>
    </row>
    <row r="30494" hidden="1">
      <c r="E30494" s="96"/>
    </row>
    <row r="30495" hidden="1">
      <c r="E30495" s="96"/>
    </row>
    <row r="30496" hidden="1">
      <c r="E30496" s="96"/>
    </row>
    <row r="30497" hidden="1">
      <c r="E30497" s="96"/>
    </row>
    <row r="30498" hidden="1">
      <c r="E30498" s="96"/>
    </row>
    <row r="30499" hidden="1">
      <c r="E30499" s="96"/>
    </row>
    <row r="30500" hidden="1">
      <c r="E30500" s="96"/>
    </row>
    <row r="30501" hidden="1">
      <c r="E30501" s="96"/>
    </row>
    <row r="30502" hidden="1">
      <c r="E30502" s="96"/>
    </row>
    <row r="30503" hidden="1">
      <c r="E30503" s="96"/>
    </row>
    <row r="30504" hidden="1">
      <c r="E30504" s="96"/>
    </row>
    <row r="30505" hidden="1">
      <c r="E30505" s="96"/>
    </row>
    <row r="30506" hidden="1">
      <c r="E30506" s="96"/>
    </row>
    <row r="30507" hidden="1">
      <c r="E30507" s="96"/>
    </row>
    <row r="30508" hidden="1">
      <c r="E30508" s="96"/>
    </row>
    <row r="30509" hidden="1">
      <c r="E30509" s="96"/>
    </row>
    <row r="30510" hidden="1">
      <c r="E30510" s="96"/>
    </row>
    <row r="30511" hidden="1">
      <c r="E30511" s="96"/>
    </row>
    <row r="30512" hidden="1">
      <c r="E30512" s="96"/>
    </row>
    <row r="30513" hidden="1">
      <c r="E30513" s="96"/>
    </row>
    <row r="30514" hidden="1">
      <c r="E30514" s="96"/>
    </row>
    <row r="30515" hidden="1">
      <c r="E30515" s="96"/>
    </row>
    <row r="30516" hidden="1">
      <c r="E30516" s="96"/>
    </row>
    <row r="30517" hidden="1">
      <c r="E30517" s="96"/>
    </row>
    <row r="30518" hidden="1">
      <c r="E30518" s="96"/>
    </row>
    <row r="30519" hidden="1">
      <c r="E30519" s="96"/>
    </row>
    <row r="30520" hidden="1">
      <c r="E30520" s="96"/>
    </row>
    <row r="30521" hidden="1">
      <c r="E30521" s="96"/>
    </row>
    <row r="30522" hidden="1">
      <c r="E30522" s="96"/>
    </row>
    <row r="30523" hidden="1">
      <c r="E30523" s="96"/>
    </row>
    <row r="30524" hidden="1">
      <c r="E30524" s="96"/>
    </row>
    <row r="30525" hidden="1">
      <c r="E30525" s="96"/>
    </row>
    <row r="30526" hidden="1">
      <c r="E30526" s="96"/>
    </row>
    <row r="30527" hidden="1">
      <c r="E30527" s="96"/>
    </row>
    <row r="30528" hidden="1">
      <c r="E30528" s="96"/>
    </row>
    <row r="30529" hidden="1">
      <c r="E30529" s="96"/>
    </row>
    <row r="30530" hidden="1">
      <c r="E30530" s="96"/>
    </row>
    <row r="30531" hidden="1">
      <c r="E30531" s="96"/>
    </row>
    <row r="30532" hidden="1">
      <c r="E30532" s="96"/>
    </row>
    <row r="30533" hidden="1">
      <c r="E30533" s="96"/>
    </row>
    <row r="30534" hidden="1">
      <c r="E30534" s="96"/>
    </row>
    <row r="30535" hidden="1">
      <c r="E30535" s="96"/>
    </row>
    <row r="30536" hidden="1">
      <c r="E30536" s="96"/>
    </row>
    <row r="30537" hidden="1">
      <c r="E30537" s="96"/>
    </row>
    <row r="30538" hidden="1">
      <c r="E30538" s="96"/>
    </row>
    <row r="30539" hidden="1">
      <c r="E30539" s="96"/>
    </row>
    <row r="30540" hidden="1">
      <c r="E30540" s="96"/>
    </row>
    <row r="30541" hidden="1">
      <c r="E30541" s="96"/>
    </row>
    <row r="30542" hidden="1">
      <c r="E30542" s="96"/>
    </row>
    <row r="30543" hidden="1">
      <c r="E30543" s="96"/>
    </row>
    <row r="30544" hidden="1">
      <c r="E30544" s="96"/>
    </row>
    <row r="30545" hidden="1">
      <c r="E30545" s="96"/>
    </row>
    <row r="30546" hidden="1">
      <c r="E30546" s="96"/>
    </row>
    <row r="30547" hidden="1">
      <c r="E30547" s="96"/>
    </row>
    <row r="30548" hidden="1">
      <c r="E30548" s="96"/>
    </row>
    <row r="30549" hidden="1">
      <c r="E30549" s="96"/>
    </row>
    <row r="30550" hidden="1">
      <c r="E30550" s="96"/>
    </row>
    <row r="30551" hidden="1">
      <c r="E30551" s="96"/>
    </row>
    <row r="30552" hidden="1">
      <c r="E30552" s="96"/>
    </row>
    <row r="30553" hidden="1">
      <c r="E30553" s="96"/>
    </row>
    <row r="30554" hidden="1">
      <c r="E30554" s="96"/>
    </row>
    <row r="30555" hidden="1">
      <c r="E30555" s="96"/>
    </row>
    <row r="30556" hidden="1">
      <c r="E30556" s="96"/>
    </row>
    <row r="30557" hidden="1">
      <c r="E30557" s="96"/>
    </row>
    <row r="30558" hidden="1">
      <c r="E30558" s="96"/>
    </row>
    <row r="30559" hidden="1">
      <c r="E30559" s="96"/>
    </row>
    <row r="30560" hidden="1">
      <c r="E30560" s="96"/>
    </row>
    <row r="30561" hidden="1">
      <c r="E30561" s="96"/>
    </row>
    <row r="30562" hidden="1">
      <c r="E30562" s="96"/>
    </row>
    <row r="30563" hidden="1">
      <c r="E30563" s="96"/>
    </row>
    <row r="30564" hidden="1">
      <c r="E30564" s="96"/>
    </row>
    <row r="30565" hidden="1">
      <c r="E30565" s="96"/>
    </row>
    <row r="30566" hidden="1">
      <c r="E30566" s="96"/>
    </row>
    <row r="30567" hidden="1">
      <c r="E30567" s="96"/>
    </row>
    <row r="30568" hidden="1">
      <c r="E30568" s="96"/>
    </row>
    <row r="30569" hidden="1">
      <c r="E30569" s="96"/>
    </row>
    <row r="30570" hidden="1">
      <c r="E30570" s="96"/>
    </row>
    <row r="30571" hidden="1">
      <c r="E30571" s="96"/>
    </row>
    <row r="30572" hidden="1">
      <c r="E30572" s="96"/>
    </row>
    <row r="30573" hidden="1">
      <c r="E30573" s="96"/>
    </row>
    <row r="30574" hidden="1">
      <c r="E30574" s="96"/>
    </row>
    <row r="30575" hidden="1">
      <c r="E30575" s="96"/>
    </row>
    <row r="30576" hidden="1">
      <c r="E30576" s="96"/>
    </row>
    <row r="30577" hidden="1">
      <c r="E30577" s="96"/>
    </row>
    <row r="30578" hidden="1">
      <c r="E30578" s="96"/>
    </row>
    <row r="30579" hidden="1">
      <c r="E30579" s="96"/>
    </row>
    <row r="30580" hidden="1">
      <c r="E30580" s="96"/>
    </row>
    <row r="30581" hidden="1">
      <c r="E30581" s="96"/>
    </row>
    <row r="30582" hidden="1">
      <c r="E30582" s="96"/>
    </row>
    <row r="30583" hidden="1">
      <c r="E30583" s="96"/>
    </row>
    <row r="30584" hidden="1">
      <c r="E30584" s="96"/>
    </row>
    <row r="30585" hidden="1">
      <c r="E30585" s="96"/>
    </row>
    <row r="30586" hidden="1">
      <c r="E30586" s="96"/>
    </row>
    <row r="30587" hidden="1">
      <c r="E30587" s="96"/>
    </row>
    <row r="30588" hidden="1">
      <c r="E30588" s="96"/>
    </row>
    <row r="30589" hidden="1">
      <c r="E30589" s="96"/>
    </row>
    <row r="30590" hidden="1">
      <c r="E30590" s="96"/>
    </row>
    <row r="30591" hidden="1">
      <c r="E30591" s="96"/>
    </row>
    <row r="30592" hidden="1">
      <c r="E30592" s="96"/>
    </row>
    <row r="30593" hidden="1">
      <c r="E30593" s="96"/>
    </row>
    <row r="30594" hidden="1">
      <c r="E30594" s="96"/>
    </row>
    <row r="30595" hidden="1">
      <c r="E30595" s="96"/>
    </row>
    <row r="30596" hidden="1">
      <c r="E30596" s="96"/>
    </row>
    <row r="30597" hidden="1">
      <c r="E30597" s="96"/>
    </row>
    <row r="30598" hidden="1">
      <c r="E30598" s="96"/>
    </row>
    <row r="30599" hidden="1">
      <c r="E30599" s="96"/>
    </row>
    <row r="30600" hidden="1">
      <c r="E30600" s="96"/>
    </row>
    <row r="30601" hidden="1">
      <c r="E30601" s="96"/>
    </row>
    <row r="30602" hidden="1">
      <c r="E30602" s="96"/>
    </row>
    <row r="30603" hidden="1">
      <c r="E30603" s="96"/>
    </row>
    <row r="30604" hidden="1">
      <c r="E30604" s="96"/>
    </row>
    <row r="30605" hidden="1">
      <c r="E30605" s="96"/>
    </row>
    <row r="30606" hidden="1">
      <c r="E30606" s="96"/>
    </row>
    <row r="30607" hidden="1">
      <c r="E30607" s="96"/>
    </row>
    <row r="30608" hidden="1">
      <c r="E30608" s="96"/>
    </row>
    <row r="30609" hidden="1">
      <c r="E30609" s="96"/>
    </row>
    <row r="30610" hidden="1">
      <c r="E30610" s="96"/>
    </row>
    <row r="30611" hidden="1">
      <c r="E30611" s="96"/>
    </row>
    <row r="30612" hidden="1">
      <c r="E30612" s="96"/>
    </row>
    <row r="30613" hidden="1">
      <c r="E30613" s="96"/>
    </row>
    <row r="30614" hidden="1">
      <c r="E30614" s="96"/>
    </row>
    <row r="30615" hidden="1">
      <c r="E30615" s="96"/>
    </row>
    <row r="30616" hidden="1">
      <c r="E30616" s="96"/>
    </row>
    <row r="30617" hidden="1">
      <c r="E30617" s="96"/>
    </row>
    <row r="30618" hidden="1">
      <c r="E30618" s="96"/>
    </row>
    <row r="30619" hidden="1">
      <c r="E30619" s="96"/>
    </row>
    <row r="30620" hidden="1">
      <c r="E30620" s="96"/>
    </row>
    <row r="30621" hidden="1">
      <c r="E30621" s="96"/>
    </row>
    <row r="30622" hidden="1">
      <c r="E30622" s="96"/>
    </row>
    <row r="30623" hidden="1">
      <c r="E30623" s="96"/>
    </row>
    <row r="30624" hidden="1">
      <c r="E30624" s="96"/>
    </row>
    <row r="30625" hidden="1">
      <c r="E30625" s="96"/>
    </row>
    <row r="30626" hidden="1">
      <c r="E30626" s="96"/>
    </row>
    <row r="30627" hidden="1">
      <c r="E30627" s="96"/>
    </row>
    <row r="30628" hidden="1">
      <c r="E30628" s="96"/>
    </row>
    <row r="30629" hidden="1">
      <c r="E30629" s="96"/>
    </row>
    <row r="30630" hidden="1">
      <c r="E30630" s="96"/>
    </row>
    <row r="30631" hidden="1">
      <c r="E30631" s="96"/>
    </row>
    <row r="30632" hidden="1">
      <c r="E30632" s="96"/>
    </row>
    <row r="30633" hidden="1">
      <c r="E30633" s="96"/>
    </row>
    <row r="30634" hidden="1">
      <c r="E30634" s="96"/>
    </row>
    <row r="30635" hidden="1">
      <c r="E30635" s="96"/>
    </row>
    <row r="30636" hidden="1">
      <c r="E30636" s="96"/>
    </row>
    <row r="30637" hidden="1">
      <c r="E30637" s="96"/>
    </row>
    <row r="30638" hidden="1">
      <c r="E30638" s="96"/>
    </row>
    <row r="30639" hidden="1">
      <c r="E30639" s="96"/>
    </row>
    <row r="30640" hidden="1">
      <c r="E30640" s="96"/>
    </row>
    <row r="30641" hidden="1">
      <c r="E30641" s="96"/>
    </row>
    <row r="30642" hidden="1">
      <c r="E30642" s="96"/>
    </row>
    <row r="30643" hidden="1">
      <c r="E30643" s="96"/>
    </row>
    <row r="30644" hidden="1">
      <c r="E30644" s="96"/>
    </row>
    <row r="30645" hidden="1">
      <c r="E30645" s="96"/>
    </row>
    <row r="30646" hidden="1">
      <c r="E30646" s="96"/>
    </row>
    <row r="30647" hidden="1">
      <c r="E30647" s="96"/>
    </row>
    <row r="30648" hidden="1">
      <c r="E30648" s="96"/>
    </row>
    <row r="30649" hidden="1">
      <c r="E30649" s="96"/>
    </row>
    <row r="30650" hidden="1">
      <c r="E30650" s="96"/>
    </row>
    <row r="30651" hidden="1">
      <c r="E30651" s="96"/>
    </row>
    <row r="30652" hidden="1">
      <c r="E30652" s="96"/>
    </row>
    <row r="30653" hidden="1">
      <c r="E30653" s="96"/>
    </row>
    <row r="30654" hidden="1">
      <c r="E30654" s="96"/>
    </row>
    <row r="30655" hidden="1">
      <c r="E30655" s="96"/>
    </row>
    <row r="30656" hidden="1">
      <c r="E30656" s="96"/>
    </row>
    <row r="30657" hidden="1">
      <c r="E30657" s="96"/>
    </row>
    <row r="30658" hidden="1">
      <c r="E30658" s="96"/>
    </row>
    <row r="30659" hidden="1">
      <c r="E30659" s="96"/>
    </row>
    <row r="30660" hidden="1">
      <c r="E30660" s="96"/>
    </row>
    <row r="30661" hidden="1">
      <c r="E30661" s="96"/>
    </row>
    <row r="30662" hidden="1">
      <c r="E30662" s="96"/>
    </row>
    <row r="30663" hidden="1">
      <c r="E30663" s="96"/>
    </row>
    <row r="30664" hidden="1">
      <c r="E30664" s="96"/>
    </row>
    <row r="30665" hidden="1">
      <c r="E30665" s="96"/>
    </row>
    <row r="30666" hidden="1">
      <c r="E30666" s="96"/>
    </row>
    <row r="30667" hidden="1">
      <c r="E30667" s="96"/>
    </row>
    <row r="30668" hidden="1">
      <c r="E30668" s="96"/>
    </row>
    <row r="30669" hidden="1">
      <c r="E30669" s="96"/>
    </row>
    <row r="30670" hidden="1">
      <c r="E30670" s="96"/>
    </row>
    <row r="30671" hidden="1">
      <c r="E30671" s="96"/>
    </row>
    <row r="30672" hidden="1">
      <c r="E30672" s="96"/>
    </row>
    <row r="30673" hidden="1">
      <c r="E30673" s="96"/>
    </row>
    <row r="30674" hidden="1">
      <c r="E30674" s="96"/>
    </row>
    <row r="30675" hidden="1">
      <c r="E30675" s="96"/>
    </row>
    <row r="30676" hidden="1">
      <c r="E30676" s="96"/>
    </row>
    <row r="30677" hidden="1">
      <c r="E30677" s="96"/>
    </row>
    <row r="30678" hidden="1">
      <c r="E30678" s="96"/>
    </row>
    <row r="30679" hidden="1">
      <c r="E30679" s="96"/>
    </row>
    <row r="30680" hidden="1">
      <c r="E30680" s="96"/>
    </row>
    <row r="30681" hidden="1">
      <c r="E30681" s="96"/>
    </row>
    <row r="30682" hidden="1">
      <c r="E30682" s="96"/>
    </row>
    <row r="30683" hidden="1">
      <c r="E30683" s="96"/>
    </row>
    <row r="30684" hidden="1">
      <c r="E30684" s="96"/>
    </row>
    <row r="30685" hidden="1">
      <c r="E30685" s="96"/>
    </row>
    <row r="30686" hidden="1">
      <c r="E30686" s="96"/>
    </row>
    <row r="30687" hidden="1">
      <c r="E30687" s="96"/>
    </row>
    <row r="30688" hidden="1">
      <c r="E30688" s="96"/>
    </row>
    <row r="30689" hidden="1">
      <c r="E30689" s="96"/>
    </row>
    <row r="30690" hidden="1">
      <c r="E30690" s="96"/>
    </row>
    <row r="30691" hidden="1">
      <c r="E30691" s="96"/>
    </row>
    <row r="30692" hidden="1">
      <c r="E30692" s="96"/>
    </row>
    <row r="30693" hidden="1">
      <c r="E30693" s="96"/>
    </row>
    <row r="30694" hidden="1">
      <c r="E30694" s="96"/>
    </row>
    <row r="30695" hidden="1">
      <c r="E30695" s="96"/>
    </row>
    <row r="30696" hidden="1">
      <c r="E30696" s="96"/>
    </row>
    <row r="30697" hidden="1">
      <c r="E30697" s="96"/>
    </row>
    <row r="30698" hidden="1">
      <c r="E30698" s="96"/>
    </row>
    <row r="30699" hidden="1">
      <c r="E30699" s="96"/>
    </row>
    <row r="30700" hidden="1">
      <c r="E30700" s="96"/>
    </row>
    <row r="30701" hidden="1">
      <c r="E30701" s="96"/>
    </row>
    <row r="30702" hidden="1">
      <c r="E30702" s="96"/>
    </row>
    <row r="30703" hidden="1">
      <c r="E30703" s="96"/>
    </row>
    <row r="30704" hidden="1">
      <c r="E30704" s="96"/>
    </row>
    <row r="30705" hidden="1">
      <c r="E30705" s="96"/>
    </row>
    <row r="30706" hidden="1">
      <c r="E30706" s="96"/>
    </row>
    <row r="30707" hidden="1">
      <c r="E30707" s="96"/>
    </row>
    <row r="30708" hidden="1">
      <c r="E30708" s="96"/>
    </row>
    <row r="30709" hidden="1">
      <c r="E30709" s="96"/>
    </row>
    <row r="30710" hidden="1">
      <c r="E30710" s="96"/>
    </row>
    <row r="30711" hidden="1">
      <c r="E30711" s="96"/>
    </row>
    <row r="30712" hidden="1">
      <c r="E30712" s="96"/>
    </row>
    <row r="30713" hidden="1">
      <c r="E30713" s="96"/>
    </row>
    <row r="30714" hidden="1">
      <c r="E30714" s="96"/>
    </row>
    <row r="30715" hidden="1">
      <c r="E30715" s="96"/>
    </row>
    <row r="30716" hidden="1">
      <c r="E30716" s="96"/>
    </row>
    <row r="30717" hidden="1">
      <c r="E30717" s="96"/>
    </row>
    <row r="30718" hidden="1">
      <c r="E30718" s="96"/>
    </row>
    <row r="30719" hidden="1">
      <c r="E30719" s="96"/>
    </row>
    <row r="30720" hidden="1">
      <c r="E30720" s="96"/>
    </row>
    <row r="30721" hidden="1">
      <c r="E30721" s="96"/>
    </row>
    <row r="30722" hidden="1">
      <c r="E30722" s="96"/>
    </row>
    <row r="30723" hidden="1">
      <c r="E30723" s="96"/>
    </row>
    <row r="30724" hidden="1">
      <c r="E30724" s="96"/>
    </row>
    <row r="30725" hidden="1">
      <c r="E30725" s="96"/>
    </row>
    <row r="30726" hidden="1">
      <c r="E30726" s="96"/>
    </row>
    <row r="30727" hidden="1">
      <c r="E30727" s="96"/>
    </row>
    <row r="30728" hidden="1">
      <c r="E30728" s="96"/>
    </row>
    <row r="30729" hidden="1">
      <c r="E30729" s="96"/>
    </row>
    <row r="30730" hidden="1">
      <c r="E30730" s="96"/>
    </row>
    <row r="30731" hidden="1">
      <c r="E30731" s="96"/>
    </row>
    <row r="30732" hidden="1">
      <c r="E30732" s="96"/>
    </row>
    <row r="30733" hidden="1">
      <c r="E30733" s="96"/>
    </row>
    <row r="30734" hidden="1">
      <c r="E30734" s="96"/>
    </row>
    <row r="30735" hidden="1">
      <c r="E30735" s="96"/>
    </row>
    <row r="30736" hidden="1">
      <c r="E30736" s="96"/>
    </row>
    <row r="30737" hidden="1">
      <c r="E30737" s="96"/>
    </row>
    <row r="30738" hidden="1">
      <c r="E30738" s="96"/>
    </row>
    <row r="30739" hidden="1">
      <c r="E30739" s="96"/>
    </row>
    <row r="30740" hidden="1">
      <c r="E30740" s="96"/>
    </row>
    <row r="30741" hidden="1">
      <c r="E30741" s="96"/>
    </row>
    <row r="30742" hidden="1">
      <c r="E30742" s="96"/>
    </row>
    <row r="30743" hidden="1">
      <c r="E30743" s="96"/>
    </row>
    <row r="30744" hidden="1">
      <c r="E30744" s="96"/>
    </row>
    <row r="30745" hidden="1">
      <c r="E30745" s="96"/>
    </row>
    <row r="30746" hidden="1">
      <c r="E30746" s="96"/>
    </row>
    <row r="30747" hidden="1">
      <c r="E30747" s="96"/>
    </row>
    <row r="30748" hidden="1">
      <c r="E30748" s="96"/>
    </row>
    <row r="30749" hidden="1">
      <c r="E30749" s="96"/>
    </row>
    <row r="30750" hidden="1">
      <c r="E30750" s="96"/>
    </row>
    <row r="30751" hidden="1">
      <c r="E30751" s="96"/>
    </row>
    <row r="30752" hidden="1">
      <c r="E30752" s="96"/>
    </row>
    <row r="30753" hidden="1">
      <c r="E30753" s="96"/>
    </row>
    <row r="30754" hidden="1">
      <c r="E30754" s="96"/>
    </row>
    <row r="30755" hidden="1">
      <c r="E30755" s="96"/>
    </row>
    <row r="30756" hidden="1">
      <c r="E30756" s="96"/>
    </row>
    <row r="30757" hidden="1">
      <c r="E30757" s="96"/>
    </row>
    <row r="30758" hidden="1">
      <c r="E30758" s="96"/>
    </row>
    <row r="30759" hidden="1">
      <c r="E30759" s="96"/>
    </row>
    <row r="30760" hidden="1">
      <c r="E30760" s="96"/>
    </row>
    <row r="30761" hidden="1">
      <c r="E30761" s="96"/>
    </row>
    <row r="30762" hidden="1">
      <c r="E30762" s="96"/>
    </row>
    <row r="30763" hidden="1">
      <c r="E30763" s="96"/>
    </row>
    <row r="30764" hidden="1">
      <c r="E30764" s="96"/>
    </row>
    <row r="30765" hidden="1">
      <c r="E30765" s="96"/>
    </row>
    <row r="30766" hidden="1">
      <c r="E30766" s="96"/>
    </row>
    <row r="30767" hidden="1">
      <c r="E30767" s="96"/>
    </row>
    <row r="30768" hidden="1">
      <c r="E30768" s="96"/>
    </row>
    <row r="30769" hidden="1">
      <c r="E30769" s="96"/>
    </row>
    <row r="30770" hidden="1">
      <c r="E30770" s="96"/>
    </row>
    <row r="30771" hidden="1">
      <c r="E30771" s="96"/>
    </row>
    <row r="30772" hidden="1">
      <c r="E30772" s="96"/>
    </row>
    <row r="30773" hidden="1">
      <c r="E30773" s="96"/>
    </row>
    <row r="30774" hidden="1">
      <c r="E30774" s="96"/>
    </row>
    <row r="30775" hidden="1">
      <c r="E30775" s="96"/>
    </row>
    <row r="30776" hidden="1">
      <c r="E30776" s="96"/>
    </row>
    <row r="30777" hidden="1">
      <c r="E30777" s="96"/>
    </row>
    <row r="30778" hidden="1">
      <c r="E30778" s="96"/>
    </row>
    <row r="30779" hidden="1">
      <c r="E30779" s="96"/>
    </row>
    <row r="30780" hidden="1">
      <c r="E30780" s="96"/>
    </row>
    <row r="30781" hidden="1">
      <c r="E30781" s="96"/>
    </row>
    <row r="30782" hidden="1">
      <c r="E30782" s="96"/>
    </row>
    <row r="30783" hidden="1">
      <c r="E30783" s="96"/>
    </row>
    <row r="30784" hidden="1">
      <c r="E30784" s="96"/>
    </row>
    <row r="30785" hidden="1">
      <c r="E30785" s="96"/>
    </row>
    <row r="30786" hidden="1">
      <c r="E30786" s="96"/>
    </row>
    <row r="30787" hidden="1">
      <c r="E30787" s="96"/>
    </row>
    <row r="30788" hidden="1">
      <c r="E30788" s="96"/>
    </row>
    <row r="30789" hidden="1">
      <c r="E30789" s="96"/>
    </row>
    <row r="30790" hidden="1">
      <c r="E30790" s="96"/>
    </row>
    <row r="30791" hidden="1">
      <c r="E30791" s="96"/>
    </row>
    <row r="30792" hidden="1">
      <c r="E30792" s="96"/>
    </row>
    <row r="30793" hidden="1">
      <c r="E30793" s="96"/>
    </row>
    <row r="30794" hidden="1">
      <c r="E30794" s="96"/>
    </row>
    <row r="30795" hidden="1">
      <c r="E30795" s="96"/>
    </row>
    <row r="30796" hidden="1">
      <c r="E30796" s="96"/>
    </row>
    <row r="30797" hidden="1">
      <c r="E30797" s="96"/>
    </row>
    <row r="30798" hidden="1">
      <c r="E30798" s="96"/>
    </row>
    <row r="30799" hidden="1">
      <c r="E30799" s="96"/>
    </row>
    <row r="30800" hidden="1">
      <c r="E30800" s="96"/>
    </row>
    <row r="30801" hidden="1">
      <c r="E30801" s="96"/>
    </row>
    <row r="30802" hidden="1">
      <c r="E30802" s="96"/>
    </row>
    <row r="30803" hidden="1">
      <c r="E30803" s="96"/>
    </row>
    <row r="30804" hidden="1">
      <c r="E30804" s="96"/>
    </row>
    <row r="30805" hidden="1">
      <c r="E30805" s="96"/>
    </row>
    <row r="30806" hidden="1">
      <c r="E30806" s="96"/>
    </row>
    <row r="30807" hidden="1">
      <c r="E30807" s="96"/>
    </row>
    <row r="30808" hidden="1">
      <c r="E30808" s="96"/>
    </row>
    <row r="30809" hidden="1">
      <c r="E30809" s="96"/>
    </row>
    <row r="30810" hidden="1">
      <c r="E30810" s="96"/>
    </row>
    <row r="30811" hidden="1">
      <c r="E30811" s="96"/>
    </row>
    <row r="30812" hidden="1">
      <c r="E30812" s="96"/>
    </row>
    <row r="30813" hidden="1">
      <c r="E30813" s="96"/>
    </row>
    <row r="30814" hidden="1">
      <c r="E30814" s="96"/>
    </row>
    <row r="30815" hidden="1">
      <c r="E30815" s="96"/>
    </row>
    <row r="30816" hidden="1">
      <c r="E30816" s="96"/>
    </row>
    <row r="30817" hidden="1">
      <c r="E30817" s="96"/>
    </row>
    <row r="30818" hidden="1">
      <c r="E30818" s="96"/>
    </row>
    <row r="30819" hidden="1">
      <c r="E30819" s="96"/>
    </row>
    <row r="30820" hidden="1">
      <c r="E30820" s="96"/>
    </row>
    <row r="30821" hidden="1">
      <c r="E30821" s="96"/>
    </row>
    <row r="30822" hidden="1">
      <c r="E30822" s="96"/>
    </row>
    <row r="30823" hidden="1">
      <c r="E30823" s="96"/>
    </row>
    <row r="30824" hidden="1">
      <c r="E30824" s="96"/>
    </row>
    <row r="30825" hidden="1">
      <c r="E30825" s="96"/>
    </row>
    <row r="30826" hidden="1">
      <c r="E30826" s="96"/>
    </row>
    <row r="30827" hidden="1">
      <c r="E30827" s="96"/>
    </row>
    <row r="30828" hidden="1">
      <c r="E30828" s="96"/>
    </row>
    <row r="30829" hidden="1">
      <c r="E30829" s="96"/>
    </row>
    <row r="30830" hidden="1">
      <c r="E30830" s="96"/>
    </row>
    <row r="30831" hidden="1">
      <c r="E30831" s="96"/>
    </row>
    <row r="30832" hidden="1">
      <c r="E30832" s="96"/>
    </row>
    <row r="30833" hidden="1">
      <c r="E30833" s="96"/>
    </row>
    <row r="30834" hidden="1">
      <c r="E30834" s="96"/>
    </row>
    <row r="30835" hidden="1">
      <c r="E30835" s="96"/>
    </row>
    <row r="30836" hidden="1">
      <c r="E30836" s="96"/>
    </row>
    <row r="30837" hidden="1">
      <c r="E30837" s="96"/>
    </row>
    <row r="30838" hidden="1">
      <c r="E30838" s="96"/>
    </row>
    <row r="30839" hidden="1">
      <c r="E30839" s="96"/>
    </row>
    <row r="30840" hidden="1">
      <c r="E30840" s="96"/>
    </row>
    <row r="30841" hidden="1">
      <c r="E30841" s="96"/>
    </row>
    <row r="30842" hidden="1">
      <c r="E30842" s="96"/>
    </row>
    <row r="30843" hidden="1">
      <c r="E30843" s="96"/>
    </row>
    <row r="30844" hidden="1">
      <c r="E30844" s="96"/>
    </row>
    <row r="30845" hidden="1">
      <c r="E30845" s="96"/>
    </row>
    <row r="30846" hidden="1">
      <c r="E30846" s="96"/>
    </row>
    <row r="30847" hidden="1">
      <c r="E30847" s="96"/>
    </row>
    <row r="30848" hidden="1">
      <c r="E30848" s="96"/>
    </row>
    <row r="30849" hidden="1">
      <c r="E30849" s="96"/>
    </row>
    <row r="30850" hidden="1">
      <c r="E30850" s="96"/>
    </row>
    <row r="30851" hidden="1">
      <c r="E30851" s="96"/>
    </row>
    <row r="30852" hidden="1">
      <c r="E30852" s="96"/>
    </row>
    <row r="30853" hidden="1">
      <c r="E30853" s="96"/>
    </row>
    <row r="30854" hidden="1">
      <c r="E30854" s="96"/>
    </row>
    <row r="30855" hidden="1">
      <c r="E30855" s="96"/>
    </row>
    <row r="30856" hidden="1">
      <c r="E30856" s="96"/>
    </row>
    <row r="30857" hidden="1">
      <c r="E30857" s="96"/>
    </row>
    <row r="30858" hidden="1">
      <c r="E30858" s="96"/>
    </row>
    <row r="30859" hidden="1">
      <c r="E30859" s="96"/>
    </row>
    <row r="30860" hidden="1">
      <c r="E30860" s="96"/>
    </row>
    <row r="30861" hidden="1">
      <c r="E30861" s="96"/>
    </row>
    <row r="30862" hidden="1">
      <c r="E30862" s="96"/>
    </row>
    <row r="30863" hidden="1">
      <c r="E30863" s="96"/>
    </row>
    <row r="30864" hidden="1">
      <c r="E30864" s="96"/>
    </row>
    <row r="30865" hidden="1">
      <c r="E30865" s="96"/>
    </row>
    <row r="30866" hidden="1">
      <c r="E30866" s="96"/>
    </row>
    <row r="30867" hidden="1">
      <c r="E30867" s="96"/>
    </row>
    <row r="30868" hidden="1">
      <c r="E30868" s="96"/>
    </row>
    <row r="30869" hidden="1">
      <c r="E30869" s="96"/>
    </row>
    <row r="30870" hidden="1">
      <c r="E30870" s="96"/>
    </row>
    <row r="30871" hidden="1">
      <c r="E30871" s="96"/>
    </row>
    <row r="30872" hidden="1">
      <c r="E30872" s="96"/>
    </row>
    <row r="30873" hidden="1">
      <c r="E30873" s="96"/>
    </row>
    <row r="30874" hidden="1">
      <c r="E30874" s="96"/>
    </row>
    <row r="30875" hidden="1">
      <c r="E30875" s="96"/>
    </row>
    <row r="30876" hidden="1">
      <c r="E30876" s="96"/>
    </row>
    <row r="30877" hidden="1">
      <c r="E30877" s="96"/>
    </row>
    <row r="30878" hidden="1">
      <c r="E30878" s="96"/>
    </row>
    <row r="30879" hidden="1">
      <c r="E30879" s="96"/>
    </row>
    <row r="30880" hidden="1">
      <c r="E30880" s="96"/>
    </row>
    <row r="30881" hidden="1">
      <c r="E30881" s="96"/>
    </row>
    <row r="30882" hidden="1">
      <c r="E30882" s="96"/>
    </row>
    <row r="30883" hidden="1">
      <c r="E30883" s="96"/>
    </row>
    <row r="30884" hidden="1">
      <c r="E30884" s="96"/>
    </row>
    <row r="30885" hidden="1">
      <c r="E30885" s="96"/>
    </row>
    <row r="30886" hidden="1">
      <c r="E30886" s="96"/>
    </row>
    <row r="30887" hidden="1">
      <c r="E30887" s="96"/>
    </row>
    <row r="30888" hidden="1">
      <c r="E30888" s="96"/>
    </row>
    <row r="30889" hidden="1">
      <c r="E30889" s="96"/>
    </row>
    <row r="30890" hidden="1">
      <c r="E30890" s="96"/>
    </row>
    <row r="30891" hidden="1">
      <c r="E30891" s="96"/>
    </row>
    <row r="30892" hidden="1">
      <c r="E30892" s="96"/>
    </row>
    <row r="30893" hidden="1">
      <c r="E30893" s="96"/>
    </row>
    <row r="30894" hidden="1">
      <c r="E30894" s="96"/>
    </row>
    <row r="30895" hidden="1">
      <c r="E30895" s="96"/>
    </row>
    <row r="30896" hidden="1">
      <c r="E30896" s="96"/>
    </row>
    <row r="30897" hidden="1">
      <c r="E30897" s="96"/>
    </row>
    <row r="30898" hidden="1">
      <c r="E30898" s="96"/>
    </row>
    <row r="30899" hidden="1">
      <c r="E30899" s="96"/>
    </row>
    <row r="30900" hidden="1">
      <c r="E30900" s="96"/>
    </row>
    <row r="30901" hidden="1">
      <c r="E30901" s="96"/>
    </row>
    <row r="30902" hidden="1">
      <c r="E30902" s="96"/>
    </row>
    <row r="30903" hidden="1">
      <c r="E30903" s="96"/>
    </row>
    <row r="30904" hidden="1">
      <c r="E30904" s="96"/>
    </row>
    <row r="30905" hidden="1">
      <c r="E30905" s="96"/>
    </row>
    <row r="30906" hidden="1">
      <c r="E30906" s="96"/>
    </row>
    <row r="30907" hidden="1">
      <c r="E30907" s="96"/>
    </row>
    <row r="30908" hidden="1">
      <c r="E30908" s="96"/>
    </row>
    <row r="30909" hidden="1">
      <c r="E30909" s="96"/>
    </row>
    <row r="30910" hidden="1">
      <c r="E30910" s="96"/>
    </row>
    <row r="30911" hidden="1">
      <c r="E30911" s="96"/>
    </row>
    <row r="30912" hidden="1">
      <c r="E30912" s="96"/>
    </row>
    <row r="30913" hidden="1">
      <c r="E30913" s="96"/>
    </row>
    <row r="30914" hidden="1">
      <c r="E30914" s="96"/>
    </row>
    <row r="30915" hidden="1">
      <c r="E30915" s="96"/>
    </row>
    <row r="30916" hidden="1">
      <c r="E30916" s="96"/>
    </row>
    <row r="30917" hidden="1">
      <c r="E30917" s="96"/>
    </row>
    <row r="30918" hidden="1">
      <c r="E30918" s="96"/>
    </row>
    <row r="30919" hidden="1">
      <c r="E30919" s="96"/>
    </row>
    <row r="30920" hidden="1">
      <c r="E30920" s="96"/>
    </row>
    <row r="30921" hidden="1">
      <c r="E30921" s="96"/>
    </row>
    <row r="30922" hidden="1">
      <c r="E30922" s="96"/>
    </row>
    <row r="30923" hidden="1">
      <c r="E30923" s="96"/>
    </row>
    <row r="30924" hidden="1">
      <c r="E30924" s="96"/>
    </row>
    <row r="30925" hidden="1">
      <c r="E30925" s="96"/>
    </row>
    <row r="30926" hidden="1">
      <c r="E30926" s="96"/>
    </row>
    <row r="30927" hidden="1">
      <c r="E30927" s="96"/>
    </row>
    <row r="30928" hidden="1">
      <c r="E30928" s="96"/>
    </row>
    <row r="30929" hidden="1">
      <c r="E30929" s="96"/>
    </row>
    <row r="30930" hidden="1">
      <c r="E30930" s="96"/>
    </row>
    <row r="30931" hidden="1">
      <c r="E30931" s="96"/>
    </row>
    <row r="30932" hidden="1">
      <c r="E30932" s="96"/>
    </row>
    <row r="30933" hidden="1">
      <c r="E30933" s="96"/>
    </row>
    <row r="30934" hidden="1">
      <c r="E30934" s="96"/>
    </row>
    <row r="30935" hidden="1">
      <c r="E30935" s="96"/>
    </row>
    <row r="30936" hidden="1">
      <c r="E30936" s="96"/>
    </row>
    <row r="30937" hidden="1">
      <c r="E30937" s="96"/>
    </row>
    <row r="30938" hidden="1">
      <c r="E30938" s="96"/>
    </row>
    <row r="30939" hidden="1">
      <c r="E30939" s="96"/>
    </row>
    <row r="30940" hidden="1">
      <c r="E30940" s="96"/>
    </row>
    <row r="30941" hidden="1">
      <c r="E30941" s="96"/>
    </row>
    <row r="30942" hidden="1">
      <c r="E30942" s="96"/>
    </row>
    <row r="30943" hidden="1">
      <c r="E30943" s="96"/>
    </row>
    <row r="30944" hidden="1">
      <c r="E30944" s="96"/>
    </row>
    <row r="30945" hidden="1">
      <c r="E30945" s="96"/>
    </row>
    <row r="30946" hidden="1">
      <c r="E30946" s="96"/>
    </row>
    <row r="30947" hidden="1">
      <c r="E30947" s="96"/>
    </row>
    <row r="30948" hidden="1">
      <c r="E30948" s="96"/>
    </row>
    <row r="30949" hidden="1">
      <c r="E30949" s="96"/>
    </row>
    <row r="30950" hidden="1">
      <c r="E30950" s="96"/>
    </row>
    <row r="30951" hidden="1">
      <c r="E30951" s="96"/>
    </row>
    <row r="30952" hidden="1">
      <c r="E30952" s="96"/>
    </row>
    <row r="30953" hidden="1">
      <c r="E30953" s="96"/>
    </row>
    <row r="30954" hidden="1">
      <c r="E30954" s="96"/>
    </row>
    <row r="30955" hidden="1">
      <c r="E30955" s="96"/>
    </row>
    <row r="30956" hidden="1">
      <c r="E30956" s="96"/>
    </row>
    <row r="30957" hidden="1">
      <c r="E30957" s="96"/>
    </row>
    <row r="30958" hidden="1">
      <c r="E30958" s="96"/>
    </row>
    <row r="30959" hidden="1">
      <c r="E30959" s="96"/>
    </row>
    <row r="30960" hidden="1">
      <c r="E30960" s="96"/>
    </row>
    <row r="30961" hidden="1">
      <c r="E30961" s="96"/>
    </row>
    <row r="30962" hidden="1">
      <c r="E30962" s="96"/>
    </row>
    <row r="30963" hidden="1">
      <c r="E30963" s="96"/>
    </row>
    <row r="30964" hidden="1">
      <c r="E30964" s="96"/>
    </row>
    <row r="30965" hidden="1">
      <c r="E30965" s="96"/>
    </row>
    <row r="30966" hidden="1">
      <c r="E30966" s="96"/>
    </row>
    <row r="30967" hidden="1">
      <c r="E30967" s="96"/>
    </row>
    <row r="30968" hidden="1">
      <c r="E30968" s="96"/>
    </row>
    <row r="30969" hidden="1">
      <c r="E30969" s="96"/>
    </row>
    <row r="30970" hidden="1">
      <c r="E30970" s="96"/>
    </row>
    <row r="30971" hidden="1">
      <c r="E30971" s="96"/>
    </row>
    <row r="30972" hidden="1">
      <c r="E30972" s="96"/>
    </row>
    <row r="30973" hidden="1">
      <c r="E30973" s="96"/>
    </row>
    <row r="30974" hidden="1">
      <c r="E30974" s="96"/>
    </row>
    <row r="30975" hidden="1">
      <c r="E30975" s="96"/>
    </row>
    <row r="30976" hidden="1">
      <c r="E30976" s="96"/>
    </row>
    <row r="30977" hidden="1">
      <c r="E30977" s="96"/>
    </row>
    <row r="30978" hidden="1">
      <c r="E30978" s="96"/>
    </row>
    <row r="30979" hidden="1">
      <c r="E30979" s="96"/>
    </row>
    <row r="30980" hidden="1">
      <c r="E30980" s="96"/>
    </row>
    <row r="30981" hidden="1">
      <c r="E30981" s="96"/>
    </row>
    <row r="30982" hidden="1">
      <c r="E30982" s="96"/>
    </row>
    <row r="30983" hidden="1">
      <c r="E30983" s="96"/>
    </row>
    <row r="30984" hidden="1">
      <c r="E30984" s="96"/>
    </row>
    <row r="30985" hidden="1">
      <c r="E30985" s="96"/>
    </row>
    <row r="30986" hidden="1">
      <c r="E30986" s="96"/>
    </row>
    <row r="30987" hidden="1">
      <c r="E30987" s="96"/>
    </row>
    <row r="30988" hidden="1">
      <c r="E30988" s="96"/>
    </row>
    <row r="30989" hidden="1">
      <c r="E30989" s="96"/>
    </row>
    <row r="30990" hidden="1">
      <c r="E30990" s="96"/>
    </row>
    <row r="30991" hidden="1">
      <c r="E30991" s="96"/>
    </row>
    <row r="30992" hidden="1">
      <c r="E30992" s="96"/>
    </row>
    <row r="30993" hidden="1">
      <c r="E30993" s="96"/>
    </row>
    <row r="30994" hidden="1">
      <c r="E30994" s="96"/>
    </row>
    <row r="30995" hidden="1">
      <c r="E30995" s="96"/>
    </row>
    <row r="30996" hidden="1">
      <c r="E30996" s="96"/>
    </row>
    <row r="30997" hidden="1">
      <c r="E30997" s="96"/>
    </row>
    <row r="30998" hidden="1">
      <c r="E30998" s="96"/>
    </row>
    <row r="30999" hidden="1">
      <c r="E30999" s="96"/>
    </row>
    <row r="31000" hidden="1">
      <c r="E31000" s="96"/>
    </row>
    <row r="31001" hidden="1">
      <c r="E31001" s="96"/>
    </row>
    <row r="31002" hidden="1">
      <c r="E31002" s="96"/>
    </row>
    <row r="31003" hidden="1">
      <c r="E31003" s="96"/>
    </row>
    <row r="31004" hidden="1">
      <c r="E31004" s="96"/>
    </row>
    <row r="31005" hidden="1">
      <c r="E31005" s="96"/>
    </row>
    <row r="31006" hidden="1">
      <c r="E31006" s="96"/>
    </row>
    <row r="31007" hidden="1">
      <c r="E31007" s="96"/>
    </row>
    <row r="31008" hidden="1">
      <c r="E31008" s="96"/>
    </row>
    <row r="31009" hidden="1">
      <c r="E31009" s="96"/>
    </row>
    <row r="31010" hidden="1">
      <c r="E31010" s="96"/>
    </row>
    <row r="31011" hidden="1">
      <c r="E31011" s="96"/>
    </row>
    <row r="31012" hidden="1">
      <c r="E31012" s="96"/>
    </row>
    <row r="31013" hidden="1">
      <c r="E31013" s="96"/>
    </row>
    <row r="31014" hidden="1">
      <c r="E31014" s="96"/>
    </row>
    <row r="31015" hidden="1">
      <c r="E31015" s="96"/>
    </row>
    <row r="31016" hidden="1">
      <c r="E31016" s="96"/>
    </row>
    <row r="31017" hidden="1">
      <c r="E31017" s="96"/>
    </row>
    <row r="31018" hidden="1">
      <c r="E31018" s="96"/>
    </row>
    <row r="31019" hidden="1">
      <c r="E31019" s="96"/>
    </row>
    <row r="31020" hidden="1">
      <c r="E31020" s="96"/>
    </row>
    <row r="31021" hidden="1">
      <c r="E31021" s="96"/>
    </row>
    <row r="31022" hidden="1">
      <c r="E31022" s="96"/>
    </row>
    <row r="31023" hidden="1">
      <c r="E31023" s="96"/>
    </row>
    <row r="31024" hidden="1">
      <c r="E31024" s="96"/>
    </row>
    <row r="31025" hidden="1">
      <c r="E31025" s="96"/>
    </row>
    <row r="31026" hidden="1">
      <c r="E31026" s="96"/>
    </row>
    <row r="31027" hidden="1">
      <c r="E31027" s="96"/>
    </row>
    <row r="31028" hidden="1">
      <c r="E31028" s="96"/>
    </row>
    <row r="31029" hidden="1">
      <c r="E31029" s="96"/>
    </row>
    <row r="31030" hidden="1">
      <c r="E31030" s="96"/>
    </row>
    <row r="31031" hidden="1">
      <c r="E31031" s="96"/>
    </row>
    <row r="31032" hidden="1">
      <c r="E31032" s="96"/>
    </row>
    <row r="31033" hidden="1">
      <c r="E31033" s="96"/>
    </row>
    <row r="31034" hidden="1">
      <c r="E31034" s="96"/>
    </row>
    <row r="31035" hidden="1">
      <c r="E31035" s="96"/>
    </row>
    <row r="31036" hidden="1">
      <c r="E31036" s="96"/>
    </row>
    <row r="31037" hidden="1">
      <c r="E31037" s="96"/>
    </row>
    <row r="31038" hidden="1">
      <c r="E31038" s="96"/>
    </row>
    <row r="31039" hidden="1">
      <c r="E31039" s="96"/>
    </row>
    <row r="31040" hidden="1">
      <c r="E31040" s="96"/>
    </row>
    <row r="31041" hidden="1">
      <c r="E31041" s="96"/>
    </row>
    <row r="31042" hidden="1">
      <c r="E31042" s="96"/>
    </row>
    <row r="31043" hidden="1">
      <c r="E31043" s="96"/>
    </row>
    <row r="31044" hidden="1">
      <c r="E31044" s="96"/>
    </row>
    <row r="31045" hidden="1">
      <c r="E31045" s="96"/>
    </row>
    <row r="31046" hidden="1">
      <c r="E31046" s="96"/>
    </row>
    <row r="31047" hidden="1">
      <c r="E31047" s="96"/>
    </row>
    <row r="31048" hidden="1">
      <c r="E31048" s="96"/>
    </row>
    <row r="31049" hidden="1">
      <c r="E31049" s="96"/>
    </row>
    <row r="31050" hidden="1">
      <c r="E31050" s="96"/>
    </row>
    <row r="31051" hidden="1">
      <c r="E31051" s="96"/>
    </row>
    <row r="31052" hidden="1">
      <c r="E31052" s="96"/>
    </row>
    <row r="31053" hidden="1">
      <c r="E31053" s="96"/>
    </row>
    <row r="31054" hidden="1">
      <c r="E31054" s="96"/>
    </row>
    <row r="31055" hidden="1">
      <c r="E31055" s="96"/>
    </row>
    <row r="31056" hidden="1">
      <c r="E31056" s="96"/>
    </row>
    <row r="31057" hidden="1">
      <c r="E31057" s="96"/>
    </row>
    <row r="31058" hidden="1">
      <c r="E31058" s="96"/>
    </row>
    <row r="31059" hidden="1">
      <c r="E31059" s="96"/>
    </row>
    <row r="31060" hidden="1">
      <c r="E31060" s="96"/>
    </row>
    <row r="31061" hidden="1">
      <c r="E31061" s="96"/>
    </row>
    <row r="31062" hidden="1">
      <c r="E31062" s="96"/>
    </row>
    <row r="31063" hidden="1">
      <c r="E31063" s="96"/>
    </row>
    <row r="31064" hidden="1">
      <c r="E31064" s="96"/>
    </row>
    <row r="31065" hidden="1">
      <c r="E31065" s="96"/>
    </row>
    <row r="31066" hidden="1">
      <c r="E31066" s="96"/>
    </row>
    <row r="31067" hidden="1">
      <c r="E31067" s="96"/>
    </row>
    <row r="31068" hidden="1">
      <c r="E31068" s="96"/>
    </row>
    <row r="31069" hidden="1">
      <c r="E31069" s="96"/>
    </row>
    <row r="31070" hidden="1">
      <c r="E31070" s="96"/>
    </row>
    <row r="31071" hidden="1">
      <c r="E31071" s="96"/>
    </row>
    <row r="31072" hidden="1">
      <c r="E31072" s="96"/>
    </row>
    <row r="31073" hidden="1">
      <c r="E31073" s="96"/>
    </row>
    <row r="31074" hidden="1">
      <c r="E31074" s="96"/>
    </row>
    <row r="31075" hidden="1">
      <c r="E31075" s="96"/>
    </row>
    <row r="31076" hidden="1">
      <c r="E31076" s="96"/>
    </row>
    <row r="31077" hidden="1">
      <c r="E31077" s="96"/>
    </row>
    <row r="31078" hidden="1">
      <c r="E31078" s="96"/>
    </row>
    <row r="31079" hidden="1">
      <c r="E31079" s="96"/>
    </row>
    <row r="31080" hidden="1">
      <c r="E31080" s="96"/>
    </row>
    <row r="31081" hidden="1">
      <c r="E31081" s="96"/>
    </row>
    <row r="31082" hidden="1">
      <c r="E31082" s="96"/>
    </row>
    <row r="31083" hidden="1">
      <c r="E31083" s="96"/>
    </row>
    <row r="31084" hidden="1">
      <c r="E31084" s="96"/>
    </row>
    <row r="31085" hidden="1">
      <c r="E31085" s="96"/>
    </row>
    <row r="31086" hidden="1">
      <c r="E31086" s="96"/>
    </row>
    <row r="31087" hidden="1">
      <c r="E31087" s="96"/>
    </row>
    <row r="31088" hidden="1">
      <c r="E31088" s="96"/>
    </row>
    <row r="31089" hidden="1">
      <c r="E31089" s="96"/>
    </row>
    <row r="31090" hidden="1">
      <c r="E31090" s="96"/>
    </row>
    <row r="31091" hidden="1">
      <c r="E31091" s="96"/>
    </row>
    <row r="31092" hidden="1">
      <c r="E31092" s="96"/>
    </row>
    <row r="31093" hidden="1">
      <c r="E31093" s="96"/>
    </row>
    <row r="31094" hidden="1">
      <c r="E31094" s="96"/>
    </row>
    <row r="31095" hidden="1">
      <c r="E31095" s="96"/>
    </row>
    <row r="31096" hidden="1">
      <c r="E31096" s="96"/>
    </row>
    <row r="31097" hidden="1">
      <c r="E31097" s="96"/>
    </row>
    <row r="31098" hidden="1">
      <c r="E31098" s="96"/>
    </row>
    <row r="31099" hidden="1">
      <c r="E31099" s="96"/>
    </row>
    <row r="31100" hidden="1">
      <c r="E31100" s="96"/>
    </row>
    <row r="31101" hidden="1">
      <c r="E31101" s="96"/>
    </row>
    <row r="31102" hidden="1">
      <c r="E31102" s="96"/>
    </row>
    <row r="31103" hidden="1">
      <c r="E31103" s="96"/>
    </row>
    <row r="31104" hidden="1">
      <c r="E31104" s="96"/>
    </row>
    <row r="31105" hidden="1">
      <c r="E31105" s="96"/>
    </row>
    <row r="31106" hidden="1">
      <c r="E31106" s="96"/>
    </row>
    <row r="31107" hidden="1">
      <c r="E31107" s="96"/>
    </row>
    <row r="31108" hidden="1">
      <c r="E31108" s="96"/>
    </row>
    <row r="31109" hidden="1">
      <c r="E31109" s="96"/>
    </row>
    <row r="31110" hidden="1">
      <c r="E31110" s="96"/>
    </row>
    <row r="31111" hidden="1">
      <c r="E31111" s="96"/>
    </row>
    <row r="31112" hidden="1">
      <c r="E31112" s="96"/>
    </row>
    <row r="31113" hidden="1">
      <c r="E31113" s="96"/>
    </row>
    <row r="31114" hidden="1">
      <c r="E31114" s="96"/>
    </row>
    <row r="31115" hidden="1">
      <c r="E31115" s="96"/>
    </row>
    <row r="31116" hidden="1">
      <c r="E31116" s="96"/>
    </row>
    <row r="31117" hidden="1">
      <c r="E31117" s="96"/>
    </row>
    <row r="31118" hidden="1">
      <c r="E31118" s="96"/>
    </row>
    <row r="31119" hidden="1">
      <c r="E31119" s="96"/>
    </row>
    <row r="31120" hidden="1">
      <c r="E31120" s="96"/>
    </row>
    <row r="31121" hidden="1">
      <c r="E31121" s="96"/>
    </row>
    <row r="31122" hidden="1">
      <c r="E31122" s="96"/>
    </row>
    <row r="31123" hidden="1">
      <c r="E31123" s="96"/>
    </row>
    <row r="31124" hidden="1">
      <c r="E31124" s="96"/>
    </row>
    <row r="31125" hidden="1">
      <c r="E31125" s="96"/>
    </row>
    <row r="31126" hidden="1">
      <c r="E31126" s="96"/>
    </row>
    <row r="31127" hidden="1">
      <c r="E31127" s="96"/>
    </row>
    <row r="31128" hidden="1">
      <c r="E31128" s="96"/>
    </row>
    <row r="31129" hidden="1">
      <c r="E31129" s="96"/>
    </row>
    <row r="31130" hidden="1">
      <c r="E31130" s="96"/>
    </row>
    <row r="31131" hidden="1">
      <c r="E31131" s="96"/>
    </row>
    <row r="31132" hidden="1">
      <c r="E31132" s="96"/>
    </row>
    <row r="31133" hidden="1">
      <c r="E31133" s="96"/>
    </row>
    <row r="31134" hidden="1">
      <c r="E31134" s="96"/>
    </row>
    <row r="31135" hidden="1">
      <c r="E31135" s="96"/>
    </row>
    <row r="31136" hidden="1">
      <c r="E31136" s="96"/>
    </row>
    <row r="31137" hidden="1">
      <c r="E31137" s="96"/>
    </row>
    <row r="31138" hidden="1">
      <c r="E31138" s="96"/>
    </row>
    <row r="31139" hidden="1">
      <c r="E31139" s="96"/>
    </row>
    <row r="31140" hidden="1">
      <c r="E31140" s="96"/>
    </row>
    <row r="31141" hidden="1">
      <c r="E31141" s="96"/>
    </row>
    <row r="31142" hidden="1">
      <c r="E31142" s="96"/>
    </row>
    <row r="31143" hidden="1">
      <c r="E31143" s="96"/>
    </row>
    <row r="31144" hidden="1">
      <c r="E31144" s="96"/>
    </row>
    <row r="31145" hidden="1">
      <c r="E31145" s="96"/>
    </row>
    <row r="31146" hidden="1">
      <c r="E31146" s="96"/>
    </row>
    <row r="31147" hidden="1">
      <c r="E31147" s="96"/>
    </row>
    <row r="31148" hidden="1">
      <c r="E31148" s="96"/>
    </row>
    <row r="31149" hidden="1">
      <c r="E31149" s="96"/>
    </row>
    <row r="31150" hidden="1">
      <c r="E31150" s="96"/>
    </row>
    <row r="31151" hidden="1">
      <c r="E31151" s="96"/>
    </row>
    <row r="31152" hidden="1">
      <c r="E31152" s="96"/>
    </row>
    <row r="31153" hidden="1">
      <c r="E31153" s="96"/>
    </row>
    <row r="31154" hidden="1">
      <c r="E31154" s="96"/>
    </row>
    <row r="31155" hidden="1">
      <c r="E31155" s="96"/>
    </row>
    <row r="31156" hidden="1">
      <c r="E31156" s="96"/>
    </row>
    <row r="31157" hidden="1">
      <c r="E31157" s="96"/>
    </row>
    <row r="31158" hidden="1">
      <c r="E31158" s="96"/>
    </row>
    <row r="31159" hidden="1">
      <c r="E31159" s="96"/>
    </row>
    <row r="31160" hidden="1">
      <c r="E31160" s="96"/>
    </row>
    <row r="31161" hidden="1">
      <c r="E31161" s="96"/>
    </row>
    <row r="31162" hidden="1">
      <c r="E31162" s="96"/>
    </row>
    <row r="31163" hidden="1">
      <c r="E31163" s="96"/>
    </row>
    <row r="31164" hidden="1">
      <c r="E31164" s="96"/>
    </row>
    <row r="31165" hidden="1">
      <c r="E31165" s="96"/>
    </row>
    <row r="31166" hidden="1">
      <c r="E31166" s="96"/>
    </row>
    <row r="31167" hidden="1">
      <c r="E31167" s="96"/>
    </row>
    <row r="31168" hidden="1">
      <c r="E31168" s="96"/>
    </row>
    <row r="31169" hidden="1">
      <c r="E31169" s="96"/>
    </row>
    <row r="31170" hidden="1">
      <c r="E31170" s="96"/>
    </row>
    <row r="31171" hidden="1">
      <c r="E31171" s="96"/>
    </row>
    <row r="31172" hidden="1">
      <c r="E31172" s="96"/>
    </row>
    <row r="31173" hidden="1">
      <c r="E31173" s="96"/>
    </row>
    <row r="31174" hidden="1">
      <c r="E31174" s="96"/>
    </row>
    <row r="31175" hidden="1">
      <c r="E31175" s="96"/>
    </row>
    <row r="31176" hidden="1">
      <c r="E31176" s="96"/>
    </row>
    <row r="31177" hidden="1">
      <c r="E31177" s="96"/>
    </row>
    <row r="31178" hidden="1">
      <c r="E31178" s="96"/>
    </row>
    <row r="31179" hidden="1">
      <c r="E31179" s="96"/>
    </row>
    <row r="31180" hidden="1">
      <c r="E31180" s="96"/>
    </row>
    <row r="31181" hidden="1">
      <c r="E31181" s="96"/>
    </row>
    <row r="31182" hidden="1">
      <c r="E31182" s="96"/>
    </row>
    <row r="31183" hidden="1">
      <c r="E31183" s="96"/>
    </row>
    <row r="31184" hidden="1">
      <c r="E31184" s="96"/>
    </row>
    <row r="31185" hidden="1">
      <c r="E31185" s="96"/>
    </row>
    <row r="31186" hidden="1">
      <c r="E31186" s="96"/>
    </row>
    <row r="31187" hidden="1">
      <c r="E31187" s="96"/>
    </row>
    <row r="31188" hidden="1">
      <c r="E31188" s="96"/>
    </row>
    <row r="31189" hidden="1">
      <c r="E31189" s="96"/>
    </row>
    <row r="31190" hidden="1">
      <c r="E31190" s="96"/>
    </row>
    <row r="31191" hidden="1">
      <c r="E31191" s="96"/>
    </row>
    <row r="31192" hidden="1">
      <c r="E31192" s="96"/>
    </row>
    <row r="31193" hidden="1">
      <c r="E31193" s="96"/>
    </row>
    <row r="31194" hidden="1">
      <c r="E31194" s="96"/>
    </row>
    <row r="31195" hidden="1">
      <c r="E31195" s="96"/>
    </row>
    <row r="31196" hidden="1">
      <c r="E31196" s="96"/>
    </row>
    <row r="31197" hidden="1">
      <c r="E31197" s="96"/>
    </row>
    <row r="31198" hidden="1">
      <c r="E31198" s="96"/>
    </row>
    <row r="31199" hidden="1">
      <c r="E31199" s="96"/>
    </row>
    <row r="31200" hidden="1">
      <c r="E31200" s="96"/>
    </row>
    <row r="31201" hidden="1">
      <c r="E31201" s="96"/>
    </row>
    <row r="31202" hidden="1">
      <c r="E31202" s="96"/>
    </row>
    <row r="31203" hidden="1">
      <c r="E31203" s="96"/>
    </row>
    <row r="31204" hidden="1">
      <c r="E31204" s="96"/>
    </row>
    <row r="31205" hidden="1">
      <c r="E31205" s="96"/>
    </row>
    <row r="31206" hidden="1">
      <c r="E31206" s="96"/>
    </row>
    <row r="31207" hidden="1">
      <c r="E31207" s="96"/>
    </row>
    <row r="31208" hidden="1">
      <c r="E31208" s="96"/>
    </row>
    <row r="31209" hidden="1">
      <c r="E31209" s="96"/>
    </row>
    <row r="31210" hidden="1">
      <c r="E31210" s="96"/>
    </row>
    <row r="31211" hidden="1">
      <c r="E31211" s="96"/>
    </row>
    <row r="31212" hidden="1">
      <c r="E31212" s="96"/>
    </row>
    <row r="31213" hidden="1">
      <c r="E31213" s="96"/>
    </row>
    <row r="31214" hidden="1">
      <c r="E31214" s="96"/>
    </row>
    <row r="31215" hidden="1">
      <c r="E31215" s="96"/>
    </row>
    <row r="31216" hidden="1">
      <c r="E31216" s="96"/>
    </row>
    <row r="31217" hidden="1">
      <c r="E31217" s="96"/>
    </row>
    <row r="31218" hidden="1">
      <c r="E31218" s="96"/>
    </row>
    <row r="31219" hidden="1">
      <c r="E31219" s="96"/>
    </row>
    <row r="31220" hidden="1">
      <c r="E31220" s="96"/>
    </row>
    <row r="31221" hidden="1">
      <c r="E31221" s="96"/>
    </row>
    <row r="31222" hidden="1">
      <c r="E31222" s="96"/>
    </row>
    <row r="31223" hidden="1">
      <c r="E31223" s="96"/>
    </row>
    <row r="31224" hidden="1">
      <c r="E31224" s="96"/>
    </row>
    <row r="31225" hidden="1">
      <c r="E31225" s="96"/>
    </row>
    <row r="31226" hidden="1">
      <c r="E31226" s="96"/>
    </row>
    <row r="31227" hidden="1">
      <c r="E31227" s="96"/>
    </row>
    <row r="31228" hidden="1">
      <c r="E31228" s="96"/>
    </row>
    <row r="31229" hidden="1">
      <c r="E31229" s="96"/>
    </row>
    <row r="31230" hidden="1">
      <c r="E31230" s="96"/>
    </row>
    <row r="31231" hidden="1">
      <c r="E31231" s="96"/>
    </row>
    <row r="31232" hidden="1">
      <c r="E31232" s="96"/>
    </row>
    <row r="31233" hidden="1">
      <c r="E31233" s="96"/>
    </row>
    <row r="31234" hidden="1">
      <c r="E31234" s="96"/>
    </row>
    <row r="31235" hidden="1">
      <c r="E31235" s="96"/>
    </row>
    <row r="31236" hidden="1">
      <c r="E31236" s="96"/>
    </row>
    <row r="31237" hidden="1">
      <c r="E31237" s="96"/>
    </row>
    <row r="31238" hidden="1">
      <c r="E31238" s="96"/>
    </row>
    <row r="31239" hidden="1">
      <c r="E31239" s="96"/>
    </row>
    <row r="31240" hidden="1">
      <c r="E31240" s="96"/>
    </row>
    <row r="31241" hidden="1">
      <c r="E31241" s="96"/>
    </row>
    <row r="31242" hidden="1">
      <c r="E31242" s="96"/>
    </row>
    <row r="31243" hidden="1">
      <c r="E31243" s="96"/>
    </row>
    <row r="31244" hidden="1">
      <c r="E31244" s="96"/>
    </row>
    <row r="31245" hidden="1">
      <c r="E31245" s="96"/>
    </row>
    <row r="31246" hidden="1">
      <c r="E31246" s="96"/>
    </row>
    <row r="31247" hidden="1">
      <c r="E31247" s="96"/>
    </row>
    <row r="31248" hidden="1">
      <c r="E31248" s="96"/>
    </row>
    <row r="31249" hidden="1">
      <c r="E31249" s="96"/>
    </row>
    <row r="31250" hidden="1">
      <c r="E31250" s="96"/>
    </row>
    <row r="31251" hidden="1">
      <c r="E31251" s="96"/>
    </row>
    <row r="31252" hidden="1">
      <c r="E31252" s="96"/>
    </row>
    <row r="31253" hidden="1">
      <c r="E31253" s="96"/>
    </row>
    <row r="31254" hidden="1">
      <c r="E31254" s="96"/>
    </row>
    <row r="31255" hidden="1">
      <c r="E31255" s="96"/>
    </row>
    <row r="31256" hidden="1">
      <c r="E31256" s="96"/>
    </row>
    <row r="31257" hidden="1">
      <c r="E31257" s="96"/>
    </row>
    <row r="31258" hidden="1">
      <c r="E31258" s="96"/>
    </row>
    <row r="31259" hidden="1">
      <c r="E31259" s="96"/>
    </row>
    <row r="31260" hidden="1">
      <c r="E31260" s="96"/>
    </row>
    <row r="31261" hidden="1">
      <c r="E31261" s="96"/>
    </row>
    <row r="31262" hidden="1">
      <c r="E31262" s="96"/>
    </row>
    <row r="31263" hidden="1">
      <c r="E31263" s="96"/>
    </row>
    <row r="31264" hidden="1">
      <c r="E31264" s="96"/>
    </row>
    <row r="31265" hidden="1">
      <c r="E31265" s="96"/>
    </row>
    <row r="31266" hidden="1">
      <c r="E31266" s="96"/>
    </row>
    <row r="31267" hidden="1">
      <c r="E31267" s="96"/>
    </row>
    <row r="31268" hidden="1">
      <c r="E31268" s="96"/>
    </row>
    <row r="31269" hidden="1">
      <c r="E31269" s="96"/>
    </row>
    <row r="31270" hidden="1">
      <c r="E31270" s="96"/>
    </row>
    <row r="31271" hidden="1">
      <c r="E31271" s="96"/>
    </row>
    <row r="31272" hidden="1">
      <c r="E31272" s="96"/>
    </row>
    <row r="31273" hidden="1">
      <c r="E31273" s="96"/>
    </row>
    <row r="31274" hidden="1">
      <c r="E31274" s="96"/>
    </row>
    <row r="31275" hidden="1">
      <c r="E31275" s="96"/>
    </row>
    <row r="31276" hidden="1">
      <c r="E31276" s="96"/>
    </row>
    <row r="31277" hidden="1">
      <c r="E31277" s="96"/>
    </row>
    <row r="31278" hidden="1">
      <c r="E31278" s="96"/>
    </row>
    <row r="31279" hidden="1">
      <c r="E31279" s="96"/>
    </row>
    <row r="31280" hidden="1">
      <c r="E31280" s="96"/>
    </row>
    <row r="31281" hidden="1">
      <c r="E31281" s="96"/>
    </row>
    <row r="31282" hidden="1">
      <c r="E31282" s="96"/>
    </row>
    <row r="31283" hidden="1">
      <c r="E31283" s="96"/>
    </row>
    <row r="31284" hidden="1">
      <c r="E31284" s="96"/>
    </row>
    <row r="31285" hidden="1">
      <c r="E31285" s="96"/>
    </row>
    <row r="31286" hidden="1">
      <c r="E31286" s="96"/>
    </row>
    <row r="31287" hidden="1">
      <c r="E31287" s="96"/>
    </row>
    <row r="31288" hidden="1">
      <c r="E31288" s="96"/>
    </row>
    <row r="31289" hidden="1">
      <c r="E31289" s="96"/>
    </row>
    <row r="31290" hidden="1">
      <c r="E31290" s="96"/>
    </row>
    <row r="31291" hidden="1">
      <c r="E31291" s="96"/>
    </row>
    <row r="31292" hidden="1">
      <c r="E31292" s="96"/>
    </row>
    <row r="31293" hidden="1">
      <c r="E31293" s="96"/>
    </row>
    <row r="31294" hidden="1">
      <c r="E31294" s="96"/>
    </row>
    <row r="31295" hidden="1">
      <c r="E31295" s="96"/>
    </row>
    <row r="31296" hidden="1">
      <c r="E31296" s="96"/>
    </row>
    <row r="31297" hidden="1">
      <c r="E31297" s="96"/>
    </row>
    <row r="31298" hidden="1">
      <c r="E31298" s="96"/>
    </row>
    <row r="31299" hidden="1">
      <c r="E31299" s="96"/>
    </row>
    <row r="31300" hidden="1">
      <c r="E31300" s="96"/>
    </row>
    <row r="31301" hidden="1">
      <c r="E31301" s="96"/>
    </row>
    <row r="31302" hidden="1">
      <c r="E31302" s="96"/>
    </row>
    <row r="31303" hidden="1">
      <c r="E31303" s="96"/>
    </row>
    <row r="31304" hidden="1">
      <c r="E31304" s="96"/>
    </row>
    <row r="31305" hidden="1">
      <c r="E31305" s="96"/>
    </row>
    <row r="31306" hidden="1">
      <c r="E31306" s="96"/>
    </row>
    <row r="31307" hidden="1">
      <c r="E31307" s="96"/>
    </row>
    <row r="31308" hidden="1">
      <c r="E31308" s="96"/>
    </row>
    <row r="31309" hidden="1">
      <c r="E31309" s="96"/>
    </row>
    <row r="31310" hidden="1">
      <c r="E31310" s="96"/>
    </row>
    <row r="31311" hidden="1">
      <c r="E31311" s="96"/>
    </row>
    <row r="31312" hidden="1">
      <c r="E31312" s="96"/>
    </row>
    <row r="31313" hidden="1">
      <c r="E31313" s="96"/>
    </row>
    <row r="31314" hidden="1">
      <c r="E31314" s="96"/>
    </row>
    <row r="31315" hidden="1">
      <c r="E31315" s="96"/>
    </row>
    <row r="31316" hidden="1">
      <c r="E31316" s="96"/>
    </row>
    <row r="31317" hidden="1">
      <c r="E31317" s="96"/>
    </row>
    <row r="31318" hidden="1">
      <c r="E31318" s="96"/>
    </row>
    <row r="31319" hidden="1">
      <c r="E31319" s="96"/>
    </row>
    <row r="31320" hidden="1">
      <c r="E31320" s="96"/>
    </row>
    <row r="31321" hidden="1">
      <c r="E31321" s="96"/>
    </row>
    <row r="31322" hidden="1">
      <c r="E31322" s="96"/>
    </row>
    <row r="31323" hidden="1">
      <c r="E31323" s="96"/>
    </row>
    <row r="31324" hidden="1">
      <c r="E31324" s="96"/>
    </row>
    <row r="31325" hidden="1">
      <c r="E31325" s="96"/>
    </row>
    <row r="31326" hidden="1">
      <c r="E31326" s="96"/>
    </row>
    <row r="31327" hidden="1">
      <c r="E31327" s="96"/>
    </row>
    <row r="31328" hidden="1">
      <c r="E31328" s="96"/>
    </row>
    <row r="31329" hidden="1">
      <c r="E31329" s="96"/>
    </row>
    <row r="31330" hidden="1">
      <c r="E31330" s="96"/>
    </row>
    <row r="31331" hidden="1">
      <c r="E31331" s="96"/>
    </row>
    <row r="31332" hidden="1">
      <c r="E31332" s="96"/>
    </row>
    <row r="31333" hidden="1">
      <c r="E31333" s="96"/>
    </row>
    <row r="31334" hidden="1">
      <c r="E31334" s="96"/>
    </row>
    <row r="31335" hidden="1">
      <c r="E31335" s="96"/>
    </row>
    <row r="31336" hidden="1">
      <c r="E31336" s="96"/>
    </row>
    <row r="31337" hidden="1">
      <c r="E31337" s="96"/>
    </row>
    <row r="31338" hidden="1">
      <c r="E31338" s="96"/>
    </row>
    <row r="31339" hidden="1">
      <c r="E31339" s="96"/>
    </row>
    <row r="31340" hidden="1">
      <c r="E31340" s="96"/>
    </row>
    <row r="31341" hidden="1">
      <c r="E31341" s="96"/>
    </row>
    <row r="31342" hidden="1">
      <c r="E31342" s="96"/>
    </row>
    <row r="31343" hidden="1">
      <c r="E31343" s="96"/>
    </row>
    <row r="31344" hidden="1">
      <c r="E31344" s="96"/>
    </row>
    <row r="31345" hidden="1">
      <c r="E31345" s="96"/>
    </row>
    <row r="31346" hidden="1">
      <c r="E31346" s="96"/>
    </row>
    <row r="31347" hidden="1">
      <c r="E31347" s="96"/>
    </row>
    <row r="31348" hidden="1">
      <c r="E31348" s="96"/>
    </row>
    <row r="31349" hidden="1">
      <c r="E31349" s="96"/>
    </row>
    <row r="31350" hidden="1">
      <c r="E31350" s="96"/>
    </row>
    <row r="31351" hidden="1">
      <c r="E31351" s="96"/>
    </row>
    <row r="31352" hidden="1">
      <c r="E31352" s="96"/>
    </row>
    <row r="31353" hidden="1">
      <c r="E31353" s="96"/>
    </row>
    <row r="31354" hidden="1">
      <c r="E31354" s="96"/>
    </row>
    <row r="31355" hidden="1">
      <c r="E31355" s="96"/>
    </row>
    <row r="31356" hidden="1">
      <c r="E31356" s="96"/>
    </row>
    <row r="31357" hidden="1">
      <c r="E31357" s="96"/>
    </row>
    <row r="31358" hidden="1">
      <c r="E31358" s="96"/>
    </row>
    <row r="31359" hidden="1">
      <c r="E31359" s="96"/>
    </row>
    <row r="31360" hidden="1">
      <c r="E31360" s="96"/>
    </row>
    <row r="31361" hidden="1">
      <c r="E31361" s="96"/>
    </row>
    <row r="31362" hidden="1">
      <c r="E31362" s="96"/>
    </row>
    <row r="31363" hidden="1">
      <c r="E31363" s="96"/>
    </row>
    <row r="31364" hidden="1">
      <c r="E31364" s="96"/>
    </row>
    <row r="31365" hidden="1">
      <c r="E31365" s="96"/>
    </row>
    <row r="31366" hidden="1">
      <c r="E31366" s="96"/>
    </row>
    <row r="31367" hidden="1">
      <c r="E31367" s="96"/>
    </row>
    <row r="31368" hidden="1">
      <c r="E31368" s="96"/>
    </row>
    <row r="31369" hidden="1">
      <c r="E31369" s="96"/>
    </row>
    <row r="31370" hidden="1">
      <c r="E31370" s="96"/>
    </row>
    <row r="31371" hidden="1">
      <c r="E31371" s="96"/>
    </row>
    <row r="31372" hidden="1">
      <c r="E31372" s="96"/>
    </row>
    <row r="31373" hidden="1">
      <c r="E31373" s="96"/>
    </row>
    <row r="31374" hidden="1">
      <c r="E31374" s="96"/>
    </row>
    <row r="31375" hidden="1">
      <c r="E31375" s="96"/>
    </row>
    <row r="31376" hidden="1">
      <c r="E31376" s="96"/>
    </row>
    <row r="31377" hidden="1">
      <c r="E31377" s="96"/>
    </row>
    <row r="31378" hidden="1">
      <c r="E31378" s="96"/>
    </row>
    <row r="31379" hidden="1">
      <c r="E31379" s="96"/>
    </row>
    <row r="31380" hidden="1">
      <c r="E31380" s="96"/>
    </row>
    <row r="31381" hidden="1">
      <c r="E31381" s="96"/>
    </row>
    <row r="31382" hidden="1">
      <c r="E31382" s="96"/>
    </row>
    <row r="31383" hidden="1">
      <c r="E31383" s="96"/>
    </row>
    <row r="31384" hidden="1">
      <c r="E31384" s="96"/>
    </row>
    <row r="31385" hidden="1">
      <c r="E31385" s="96"/>
    </row>
    <row r="31386" hidden="1">
      <c r="E31386" s="96"/>
    </row>
    <row r="31387" hidden="1">
      <c r="E31387" s="96"/>
    </row>
    <row r="31388" hidden="1">
      <c r="E31388" s="96"/>
    </row>
    <row r="31389" hidden="1">
      <c r="E31389" s="96"/>
    </row>
    <row r="31390" hidden="1">
      <c r="E31390" s="96"/>
    </row>
    <row r="31391" hidden="1">
      <c r="E31391" s="96"/>
    </row>
    <row r="31392" hidden="1">
      <c r="E31392" s="96"/>
    </row>
    <row r="31393" hidden="1">
      <c r="E31393" s="96"/>
    </row>
    <row r="31394" hidden="1">
      <c r="E31394" s="96"/>
    </row>
    <row r="31395" hidden="1">
      <c r="E31395" s="96"/>
    </row>
    <row r="31396" hidden="1">
      <c r="E31396" s="96"/>
    </row>
    <row r="31397" hidden="1">
      <c r="E31397" s="96"/>
    </row>
    <row r="31398" hidden="1">
      <c r="E31398" s="96"/>
    </row>
    <row r="31399" hidden="1">
      <c r="E31399" s="96"/>
    </row>
    <row r="31400" hidden="1">
      <c r="E31400" s="96"/>
    </row>
    <row r="31401" hidden="1">
      <c r="E31401" s="96"/>
    </row>
    <row r="31402" hidden="1">
      <c r="E31402" s="96"/>
    </row>
    <row r="31403" hidden="1">
      <c r="E31403" s="96"/>
    </row>
    <row r="31404" hidden="1">
      <c r="E31404" s="96"/>
    </row>
    <row r="31405" hidden="1">
      <c r="E31405" s="96"/>
    </row>
    <row r="31406" hidden="1">
      <c r="E31406" s="96"/>
    </row>
    <row r="31407" hidden="1">
      <c r="E31407" s="96"/>
    </row>
    <row r="31408" hidden="1">
      <c r="E31408" s="96"/>
    </row>
    <row r="31409" hidden="1">
      <c r="E31409" s="96"/>
    </row>
    <row r="31410" hidden="1">
      <c r="E31410" s="96"/>
    </row>
    <row r="31411" hidden="1">
      <c r="E31411" s="96"/>
    </row>
    <row r="31412" hidden="1">
      <c r="E31412" s="96"/>
    </row>
    <row r="31413" hidden="1">
      <c r="E31413" s="96"/>
    </row>
    <row r="31414" hidden="1">
      <c r="E31414" s="96"/>
    </row>
    <row r="31415" hidden="1">
      <c r="E31415" s="96"/>
    </row>
    <row r="31416" hidden="1">
      <c r="E31416" s="96"/>
    </row>
    <row r="31417" hidden="1">
      <c r="E31417" s="96"/>
    </row>
    <row r="31418" hidden="1">
      <c r="E31418" s="96"/>
    </row>
    <row r="31419" hidden="1">
      <c r="E31419" s="96"/>
    </row>
    <row r="31420" hidden="1">
      <c r="E31420" s="96"/>
    </row>
    <row r="31421" hidden="1">
      <c r="E31421" s="96"/>
    </row>
    <row r="31422" hidden="1">
      <c r="E31422" s="96"/>
    </row>
    <row r="31423" hidden="1">
      <c r="E31423" s="96"/>
    </row>
    <row r="31424" hidden="1">
      <c r="E31424" s="96"/>
    </row>
    <row r="31425" hidden="1">
      <c r="E31425" s="96"/>
    </row>
    <row r="31426" hidden="1">
      <c r="E31426" s="96"/>
    </row>
    <row r="31427" hidden="1">
      <c r="E31427" s="96"/>
    </row>
    <row r="31428" hidden="1">
      <c r="E31428" s="96"/>
    </row>
    <row r="31429" hidden="1">
      <c r="E31429" s="96"/>
    </row>
    <row r="31430" hidden="1">
      <c r="E31430" s="96"/>
    </row>
    <row r="31431" hidden="1">
      <c r="E31431" s="96"/>
    </row>
    <row r="31432" hidden="1">
      <c r="E31432" s="96"/>
    </row>
    <row r="31433" hidden="1">
      <c r="E31433" s="96"/>
    </row>
    <row r="31434" hidden="1">
      <c r="E31434" s="96"/>
    </row>
    <row r="31435" hidden="1">
      <c r="E31435" s="96"/>
    </row>
    <row r="31436" hidden="1">
      <c r="E31436" s="96"/>
    </row>
    <row r="31437" hidden="1">
      <c r="E31437" s="96"/>
    </row>
    <row r="31438" hidden="1">
      <c r="E31438" s="96"/>
    </row>
    <row r="31439" hidden="1">
      <c r="E31439" s="96"/>
    </row>
    <row r="31440" hidden="1">
      <c r="E31440" s="96"/>
    </row>
    <row r="31441" hidden="1">
      <c r="E31441" s="96"/>
    </row>
    <row r="31442" hidden="1">
      <c r="E31442" s="96"/>
    </row>
    <row r="31443" hidden="1">
      <c r="E31443" s="96"/>
    </row>
    <row r="31444" hidden="1">
      <c r="E31444" s="96"/>
    </row>
    <row r="31445" hidden="1">
      <c r="E31445" s="96"/>
    </row>
    <row r="31446" hidden="1">
      <c r="E31446" s="96"/>
    </row>
    <row r="31447" hidden="1">
      <c r="E31447" s="96"/>
    </row>
    <row r="31448" hidden="1">
      <c r="E31448" s="96"/>
    </row>
    <row r="31449" hidden="1">
      <c r="E31449" s="96"/>
    </row>
    <row r="31450" hidden="1">
      <c r="E31450" s="96"/>
    </row>
    <row r="31451" hidden="1">
      <c r="E31451" s="96"/>
    </row>
    <row r="31452" hidden="1">
      <c r="E31452" s="96"/>
    </row>
    <row r="31453" hidden="1">
      <c r="E31453" s="96"/>
    </row>
    <row r="31454" hidden="1">
      <c r="E31454" s="96"/>
    </row>
    <row r="31455" hidden="1">
      <c r="E31455" s="96"/>
    </row>
    <row r="31456" hidden="1">
      <c r="E31456" s="96"/>
    </row>
    <row r="31457" hidden="1">
      <c r="E31457" s="96"/>
    </row>
    <row r="31458" hidden="1">
      <c r="E31458" s="96"/>
    </row>
    <row r="31459" hidden="1">
      <c r="E31459" s="96"/>
    </row>
    <row r="31460" hidden="1">
      <c r="E31460" s="96"/>
    </row>
    <row r="31461" hidden="1">
      <c r="E31461" s="96"/>
    </row>
    <row r="31462" hidden="1">
      <c r="E31462" s="96"/>
    </row>
    <row r="31463" hidden="1">
      <c r="E31463" s="96"/>
    </row>
    <row r="31464" hidden="1">
      <c r="E31464" s="96"/>
    </row>
    <row r="31465" hidden="1">
      <c r="E31465" s="96"/>
    </row>
    <row r="31466" hidden="1">
      <c r="E31466" s="96"/>
    </row>
    <row r="31467" hidden="1">
      <c r="E31467" s="96"/>
    </row>
    <row r="31468" hidden="1">
      <c r="E31468" s="96"/>
    </row>
    <row r="31469" hidden="1">
      <c r="E31469" s="96"/>
    </row>
    <row r="31470" hidden="1">
      <c r="E31470" s="96"/>
    </row>
    <row r="31471" hidden="1">
      <c r="E31471" s="96"/>
    </row>
    <row r="31472" hidden="1">
      <c r="E31472" s="96"/>
    </row>
    <row r="31473" hidden="1">
      <c r="E31473" s="96"/>
    </row>
    <row r="31474" hidden="1">
      <c r="E31474" s="96"/>
    </row>
    <row r="31475" hidden="1">
      <c r="E31475" s="96"/>
    </row>
    <row r="31476" hidden="1">
      <c r="E31476" s="96"/>
    </row>
    <row r="31477" hidden="1">
      <c r="E31477" s="96"/>
    </row>
    <row r="31478" hidden="1">
      <c r="E31478" s="96"/>
    </row>
    <row r="31479" hidden="1">
      <c r="E31479" s="96"/>
    </row>
    <row r="31480" hidden="1">
      <c r="E31480" s="96"/>
    </row>
    <row r="31481" hidden="1">
      <c r="E31481" s="96"/>
    </row>
    <row r="31482" hidden="1">
      <c r="E31482" s="96"/>
    </row>
    <row r="31483" hidden="1">
      <c r="E31483" s="96"/>
    </row>
    <row r="31484" hidden="1">
      <c r="E31484" s="96"/>
    </row>
    <row r="31485" hidden="1">
      <c r="E31485" s="96"/>
    </row>
    <row r="31486" hidden="1">
      <c r="E31486" s="96"/>
    </row>
    <row r="31487" hidden="1">
      <c r="E31487" s="96"/>
    </row>
    <row r="31488" hidden="1">
      <c r="E31488" s="96"/>
    </row>
    <row r="31489" hidden="1">
      <c r="E31489" s="96"/>
    </row>
    <row r="31490" hidden="1">
      <c r="E31490" s="96"/>
    </row>
    <row r="31491" hidden="1">
      <c r="E31491" s="96"/>
    </row>
    <row r="31492" hidden="1">
      <c r="E31492" s="96"/>
    </row>
    <row r="31493" hidden="1">
      <c r="E31493" s="96"/>
    </row>
    <row r="31494" hidden="1">
      <c r="E31494" s="96"/>
    </row>
    <row r="31495" hidden="1">
      <c r="E31495" s="96"/>
    </row>
    <row r="31496" hidden="1">
      <c r="E31496" s="96"/>
    </row>
    <row r="31497" hidden="1">
      <c r="E31497" s="96"/>
    </row>
    <row r="31498" hidden="1">
      <c r="E31498" s="96"/>
    </row>
    <row r="31499" hidden="1">
      <c r="E31499" s="96"/>
    </row>
    <row r="31500" hidden="1">
      <c r="E31500" s="96"/>
    </row>
    <row r="31501" hidden="1">
      <c r="E31501" s="96"/>
    </row>
    <row r="31502" hidden="1">
      <c r="E31502" s="96"/>
    </row>
    <row r="31503" hidden="1">
      <c r="E31503" s="96"/>
    </row>
    <row r="31504" hidden="1">
      <c r="E31504" s="96"/>
    </row>
    <row r="31505" hidden="1">
      <c r="E31505" s="96"/>
    </row>
    <row r="31506" hidden="1">
      <c r="E31506" s="96"/>
    </row>
    <row r="31507" hidden="1">
      <c r="E31507" s="96"/>
    </row>
    <row r="31508" hidden="1">
      <c r="E31508" s="96"/>
    </row>
    <row r="31509" hidden="1">
      <c r="E31509" s="96"/>
    </row>
    <row r="31510" hidden="1">
      <c r="E31510" s="96"/>
    </row>
    <row r="31511" hidden="1">
      <c r="E31511" s="96"/>
    </row>
    <row r="31512" hidden="1">
      <c r="E31512" s="96"/>
    </row>
    <row r="31513" hidden="1">
      <c r="E31513" s="96"/>
    </row>
    <row r="31514" hidden="1">
      <c r="E31514" s="96"/>
    </row>
    <row r="31515" hidden="1">
      <c r="E31515" s="96"/>
    </row>
    <row r="31516" hidden="1">
      <c r="E31516" s="96"/>
    </row>
    <row r="31517" hidden="1">
      <c r="E31517" s="96"/>
    </row>
    <row r="31518" hidden="1">
      <c r="E31518" s="96"/>
    </row>
    <row r="31519" hidden="1">
      <c r="E31519" s="96"/>
    </row>
    <row r="31520" hidden="1">
      <c r="E31520" s="96"/>
    </row>
    <row r="31521" hidden="1">
      <c r="E31521" s="96"/>
    </row>
    <row r="31522" hidden="1">
      <c r="E31522" s="96"/>
    </row>
    <row r="31523" hidden="1">
      <c r="E31523" s="96"/>
    </row>
    <row r="31524" hidden="1">
      <c r="E31524" s="96"/>
    </row>
    <row r="31525" hidden="1">
      <c r="E31525" s="96"/>
    </row>
    <row r="31526" hidden="1">
      <c r="E31526" s="96"/>
    </row>
    <row r="31527" hidden="1">
      <c r="E31527" s="96"/>
    </row>
    <row r="31528" hidden="1">
      <c r="E31528" s="96"/>
    </row>
    <row r="31529" hidden="1">
      <c r="E31529" s="96"/>
    </row>
    <row r="31530" hidden="1">
      <c r="E31530" s="96"/>
    </row>
    <row r="31531" hidden="1">
      <c r="E31531" s="96"/>
    </row>
    <row r="31532" hidden="1">
      <c r="E31532" s="96"/>
    </row>
    <row r="31533" hidden="1">
      <c r="E31533" s="96"/>
    </row>
    <row r="31534" hidden="1">
      <c r="E31534" s="96"/>
    </row>
    <row r="31535" hidden="1">
      <c r="E31535" s="96"/>
    </row>
    <row r="31536" hidden="1">
      <c r="E31536" s="96"/>
    </row>
    <row r="31537" hidden="1">
      <c r="E31537" s="96"/>
    </row>
    <row r="31538" hidden="1">
      <c r="E31538" s="96"/>
    </row>
    <row r="31539" hidden="1">
      <c r="E31539" s="96"/>
    </row>
    <row r="31540" hidden="1">
      <c r="E31540" s="96"/>
    </row>
    <row r="31541" hidden="1">
      <c r="E31541" s="96"/>
    </row>
    <row r="31542" hidden="1">
      <c r="E31542" s="96"/>
    </row>
    <row r="31543" hidden="1">
      <c r="E31543" s="96"/>
    </row>
    <row r="31544" hidden="1">
      <c r="E31544" s="96"/>
    </row>
    <row r="31545" hidden="1">
      <c r="E31545" s="96"/>
    </row>
    <row r="31546" hidden="1">
      <c r="E31546" s="96"/>
    </row>
    <row r="31547" hidden="1">
      <c r="E31547" s="96"/>
    </row>
    <row r="31548" hidden="1">
      <c r="E31548" s="96"/>
    </row>
    <row r="31549" hidden="1">
      <c r="E31549" s="96"/>
    </row>
    <row r="31550" hidden="1">
      <c r="E31550" s="96"/>
    </row>
    <row r="31551" hidden="1">
      <c r="E31551" s="96"/>
    </row>
    <row r="31552" hidden="1">
      <c r="E31552" s="96"/>
    </row>
    <row r="31553" hidden="1">
      <c r="E31553" s="96"/>
    </row>
    <row r="31554" hidden="1">
      <c r="E31554" s="96"/>
    </row>
    <row r="31555" hidden="1">
      <c r="E31555" s="96"/>
    </row>
    <row r="31556" hidden="1">
      <c r="E31556" s="96"/>
    </row>
    <row r="31557" hidden="1">
      <c r="E31557" s="96"/>
    </row>
    <row r="31558" hidden="1">
      <c r="E31558" s="96"/>
    </row>
    <row r="31559" hidden="1">
      <c r="E31559" s="96"/>
    </row>
    <row r="31560" hidden="1">
      <c r="E31560" s="96"/>
    </row>
    <row r="31561" hidden="1">
      <c r="E31561" s="96"/>
    </row>
    <row r="31562" hidden="1">
      <c r="E31562" s="96"/>
    </row>
    <row r="31563" hidden="1">
      <c r="E31563" s="96"/>
    </row>
    <row r="31564" hidden="1">
      <c r="E31564" s="96"/>
    </row>
    <row r="31565" hidden="1">
      <c r="E31565" s="96"/>
    </row>
    <row r="31566" hidden="1">
      <c r="E31566" s="96"/>
    </row>
    <row r="31567" hidden="1">
      <c r="E31567" s="96"/>
    </row>
    <row r="31568" hidden="1">
      <c r="E31568" s="96"/>
    </row>
    <row r="31569" hidden="1">
      <c r="E31569" s="96"/>
    </row>
    <row r="31570" hidden="1">
      <c r="E31570" s="96"/>
    </row>
    <row r="31571" hidden="1">
      <c r="E31571" s="96"/>
    </row>
    <row r="31572" hidden="1">
      <c r="E31572" s="96"/>
    </row>
    <row r="31573" hidden="1">
      <c r="E31573" s="96"/>
    </row>
    <row r="31574" hidden="1">
      <c r="E31574" s="96"/>
    </row>
    <row r="31575" hidden="1">
      <c r="E31575" s="96"/>
    </row>
    <row r="31576" hidden="1">
      <c r="E31576" s="96"/>
    </row>
    <row r="31577" hidden="1">
      <c r="E31577" s="96"/>
    </row>
    <row r="31578" hidden="1">
      <c r="E31578" s="96"/>
    </row>
    <row r="31579" hidden="1">
      <c r="E31579" s="96"/>
    </row>
    <row r="31580" hidden="1">
      <c r="E31580" s="96"/>
    </row>
    <row r="31581" hidden="1">
      <c r="E31581" s="96"/>
    </row>
    <row r="31582" hidden="1">
      <c r="E31582" s="96"/>
    </row>
    <row r="31583" hidden="1">
      <c r="E31583" s="96"/>
    </row>
    <row r="31584" hidden="1">
      <c r="E31584" s="96"/>
    </row>
    <row r="31585" hidden="1">
      <c r="E31585" s="96"/>
    </row>
    <row r="31586" hidden="1">
      <c r="E31586" s="96"/>
    </row>
    <row r="31587" hidden="1">
      <c r="E31587" s="96"/>
    </row>
    <row r="31588" hidden="1">
      <c r="E31588" s="96"/>
    </row>
    <row r="31589" hidden="1">
      <c r="E31589" s="96"/>
    </row>
    <row r="31590" hidden="1">
      <c r="E31590" s="96"/>
    </row>
    <row r="31591" hidden="1">
      <c r="E31591" s="96"/>
    </row>
    <row r="31592" hidden="1">
      <c r="E31592" s="96"/>
    </row>
    <row r="31593" hidden="1">
      <c r="E31593" s="96"/>
    </row>
    <row r="31594" hidden="1">
      <c r="E31594" s="96"/>
    </row>
    <row r="31595" hidden="1">
      <c r="E31595" s="96"/>
    </row>
    <row r="31596" hidden="1">
      <c r="E31596" s="96"/>
    </row>
    <row r="31597" hidden="1">
      <c r="E31597" s="96"/>
    </row>
    <row r="31598" hidden="1">
      <c r="E31598" s="96"/>
    </row>
    <row r="31599" hidden="1">
      <c r="E31599" s="96"/>
    </row>
    <row r="31600" hidden="1">
      <c r="E31600" s="96"/>
    </row>
    <row r="31601" hidden="1">
      <c r="E31601" s="96"/>
    </row>
    <row r="31602" hidden="1">
      <c r="E31602" s="96"/>
    </row>
    <row r="31603" hidden="1">
      <c r="E31603" s="96"/>
    </row>
    <row r="31604" hidden="1">
      <c r="E31604" s="96"/>
    </row>
    <row r="31605" hidden="1">
      <c r="E31605" s="96"/>
    </row>
    <row r="31606" hidden="1">
      <c r="E31606" s="96"/>
    </row>
    <row r="31607" hidden="1">
      <c r="E31607" s="96"/>
    </row>
    <row r="31608" hidden="1">
      <c r="E31608" s="96"/>
    </row>
    <row r="31609" hidden="1">
      <c r="E31609" s="96"/>
    </row>
    <row r="31610" hidden="1">
      <c r="E31610" s="96"/>
    </row>
    <row r="31611" hidden="1">
      <c r="E31611" s="96"/>
    </row>
    <row r="31612" hidden="1">
      <c r="E31612" s="96"/>
    </row>
    <row r="31613" hidden="1">
      <c r="E31613" s="96"/>
    </row>
    <row r="31614" hidden="1">
      <c r="E31614" s="96"/>
    </row>
    <row r="31615" hidden="1">
      <c r="E31615" s="96"/>
    </row>
    <row r="31616" hidden="1">
      <c r="E31616" s="96"/>
    </row>
    <row r="31617" hidden="1">
      <c r="E31617" s="96"/>
    </row>
    <row r="31618" hidden="1">
      <c r="E31618" s="96"/>
    </row>
    <row r="31619" hidden="1">
      <c r="E31619" s="96"/>
    </row>
    <row r="31620" hidden="1">
      <c r="E31620" s="96"/>
    </row>
    <row r="31621" hidden="1">
      <c r="E31621" s="96"/>
    </row>
    <row r="31622" hidden="1">
      <c r="E31622" s="96"/>
    </row>
    <row r="31623" hidden="1">
      <c r="E31623" s="96"/>
    </row>
    <row r="31624" hidden="1">
      <c r="E31624" s="96"/>
    </row>
    <row r="31625" hidden="1">
      <c r="E31625" s="96"/>
    </row>
    <row r="31626" hidden="1">
      <c r="E31626" s="96"/>
    </row>
    <row r="31627" hidden="1">
      <c r="E31627" s="96"/>
    </row>
    <row r="31628" hidden="1">
      <c r="E31628" s="96"/>
    </row>
    <row r="31629" hidden="1">
      <c r="E31629" s="96"/>
    </row>
    <row r="31630" hidden="1">
      <c r="E31630" s="96"/>
    </row>
    <row r="31631" hidden="1">
      <c r="E31631" s="96"/>
    </row>
    <row r="31632" hidden="1">
      <c r="E31632" s="96"/>
    </row>
    <row r="31633" hidden="1">
      <c r="E31633" s="96"/>
    </row>
    <row r="31634" hidden="1">
      <c r="E31634" s="96"/>
    </row>
    <row r="31635" hidden="1">
      <c r="E31635" s="96"/>
    </row>
    <row r="31636" hidden="1">
      <c r="E31636" s="96"/>
    </row>
    <row r="31637" hidden="1">
      <c r="E31637" s="96"/>
    </row>
    <row r="31638" hidden="1">
      <c r="E31638" s="96"/>
    </row>
    <row r="31639" hidden="1">
      <c r="E31639" s="96"/>
    </row>
    <row r="31640" hidden="1">
      <c r="E31640" s="96"/>
    </row>
    <row r="31641" hidden="1">
      <c r="E31641" s="96"/>
    </row>
    <row r="31642" hidden="1">
      <c r="E31642" s="96"/>
    </row>
    <row r="31643" hidden="1">
      <c r="E31643" s="96"/>
    </row>
    <row r="31644" hidden="1">
      <c r="E31644" s="96"/>
    </row>
    <row r="31645" hidden="1">
      <c r="E31645" s="96"/>
    </row>
    <row r="31646" hidden="1">
      <c r="E31646" s="96"/>
    </row>
    <row r="31647" hidden="1">
      <c r="E31647" s="96"/>
    </row>
    <row r="31648" hidden="1">
      <c r="E31648" s="96"/>
    </row>
    <row r="31649" hidden="1">
      <c r="E31649" s="96"/>
    </row>
    <row r="31650" hidden="1">
      <c r="E31650" s="96"/>
    </row>
    <row r="31651" hidden="1">
      <c r="E31651" s="96"/>
    </row>
    <row r="31652" hidden="1">
      <c r="E31652" s="96"/>
    </row>
    <row r="31653" hidden="1">
      <c r="E31653" s="96"/>
    </row>
    <row r="31654" hidden="1">
      <c r="E31654" s="96"/>
    </row>
    <row r="31655" hidden="1">
      <c r="E31655" s="96"/>
    </row>
    <row r="31656" hidden="1">
      <c r="E31656" s="96"/>
    </row>
    <row r="31657" hidden="1">
      <c r="E31657" s="96"/>
    </row>
    <row r="31658" hidden="1">
      <c r="E31658" s="96"/>
    </row>
    <row r="31659" hidden="1">
      <c r="E31659" s="96"/>
    </row>
    <row r="31660" hidden="1">
      <c r="E31660" s="96"/>
    </row>
    <row r="31661" hidden="1">
      <c r="E31661" s="96"/>
    </row>
    <row r="31662" hidden="1">
      <c r="E31662" s="96"/>
    </row>
    <row r="31663" hidden="1">
      <c r="E31663" s="96"/>
    </row>
    <row r="31664" hidden="1">
      <c r="E31664" s="96"/>
    </row>
    <row r="31665" hidden="1">
      <c r="E31665" s="96"/>
    </row>
    <row r="31666" hidden="1">
      <c r="E31666" s="96"/>
    </row>
    <row r="31667" hidden="1">
      <c r="E31667" s="96"/>
    </row>
    <row r="31668" hidden="1">
      <c r="E31668" s="96"/>
    </row>
    <row r="31669" hidden="1">
      <c r="E31669" s="96"/>
    </row>
    <row r="31670" hidden="1">
      <c r="E31670" s="96"/>
    </row>
    <row r="31671" hidden="1">
      <c r="E31671" s="96"/>
    </row>
    <row r="31672" hidden="1">
      <c r="E31672" s="96"/>
    </row>
    <row r="31673" hidden="1">
      <c r="E31673" s="96"/>
    </row>
    <row r="31674" hidden="1">
      <c r="E31674" s="96"/>
    </row>
    <row r="31675" hidden="1">
      <c r="E31675" s="96"/>
    </row>
    <row r="31676" hidden="1">
      <c r="E31676" s="96"/>
    </row>
    <row r="31677" hidden="1">
      <c r="E31677" s="96"/>
    </row>
    <row r="31678" hidden="1">
      <c r="E31678" s="96"/>
    </row>
    <row r="31679" hidden="1">
      <c r="E31679" s="96"/>
    </row>
    <row r="31680" hidden="1">
      <c r="E31680" s="96"/>
    </row>
    <row r="31681" hidden="1">
      <c r="E31681" s="96"/>
    </row>
    <row r="31682" hidden="1">
      <c r="E31682" s="96"/>
    </row>
    <row r="31683" hidden="1">
      <c r="E31683" s="96"/>
    </row>
    <row r="31684" hidden="1">
      <c r="E31684" s="96"/>
    </row>
    <row r="31685" hidden="1">
      <c r="E31685" s="96"/>
    </row>
    <row r="31686" hidden="1">
      <c r="E31686" s="96"/>
    </row>
    <row r="31687" hidden="1">
      <c r="E31687" s="96"/>
    </row>
    <row r="31688" hidden="1">
      <c r="E31688" s="96"/>
    </row>
    <row r="31689" hidden="1">
      <c r="E31689" s="96"/>
    </row>
    <row r="31690" hidden="1">
      <c r="E31690" s="96"/>
    </row>
    <row r="31691" hidden="1">
      <c r="E31691" s="96"/>
    </row>
    <row r="31692" hidden="1">
      <c r="E31692" s="96"/>
    </row>
    <row r="31693" hidden="1">
      <c r="E31693" s="96"/>
    </row>
    <row r="31694" hidden="1">
      <c r="E31694" s="96"/>
    </row>
    <row r="31695" hidden="1">
      <c r="E31695" s="96"/>
    </row>
    <row r="31696" hidden="1">
      <c r="E31696" s="96"/>
    </row>
    <row r="31697" hidden="1">
      <c r="E31697" s="96"/>
    </row>
    <row r="31698" hidden="1">
      <c r="E31698" s="96"/>
    </row>
    <row r="31699" hidden="1">
      <c r="E31699" s="96"/>
    </row>
    <row r="31700" hidden="1">
      <c r="E31700" s="96"/>
    </row>
    <row r="31701" hidden="1">
      <c r="E31701" s="96"/>
    </row>
    <row r="31702" hidden="1">
      <c r="E31702" s="96"/>
    </row>
    <row r="31703" hidden="1">
      <c r="E31703" s="96"/>
    </row>
    <row r="31704" hidden="1">
      <c r="E31704" s="96"/>
    </row>
    <row r="31705" hidden="1">
      <c r="E31705" s="96"/>
    </row>
    <row r="31706" hidden="1">
      <c r="E31706" s="96"/>
    </row>
    <row r="31707" hidden="1">
      <c r="E31707" s="96"/>
    </row>
    <row r="31708" hidden="1">
      <c r="E31708" s="96"/>
    </row>
    <row r="31709" hidden="1">
      <c r="E31709" s="96"/>
    </row>
    <row r="31710" hidden="1">
      <c r="E31710" s="96"/>
    </row>
    <row r="31711" hidden="1">
      <c r="E31711" s="96"/>
    </row>
    <row r="31712" hidden="1">
      <c r="E31712" s="96"/>
    </row>
    <row r="31713" hidden="1">
      <c r="E31713" s="96"/>
    </row>
    <row r="31714" hidden="1">
      <c r="E31714" s="96"/>
    </row>
    <row r="31715" hidden="1">
      <c r="E31715" s="96"/>
    </row>
    <row r="31716" hidden="1">
      <c r="E31716" s="96"/>
    </row>
    <row r="31717" hidden="1">
      <c r="E31717" s="96"/>
    </row>
    <row r="31718" hidden="1">
      <c r="E31718" s="96"/>
    </row>
    <row r="31719" hidden="1">
      <c r="E31719" s="96"/>
    </row>
    <row r="31720" hidden="1">
      <c r="E31720" s="96"/>
    </row>
    <row r="31721" hidden="1">
      <c r="E31721" s="96"/>
    </row>
    <row r="31722" hidden="1">
      <c r="E31722" s="96"/>
    </row>
    <row r="31723" hidden="1">
      <c r="E31723" s="96"/>
    </row>
    <row r="31724" hidden="1">
      <c r="E31724" s="96"/>
    </row>
    <row r="31725" hidden="1">
      <c r="E31725" s="96"/>
    </row>
    <row r="31726" hidden="1">
      <c r="E31726" s="96"/>
    </row>
    <row r="31727" hidden="1">
      <c r="E31727" s="96"/>
    </row>
    <row r="31728" hidden="1">
      <c r="E31728" s="96"/>
    </row>
    <row r="31729" hidden="1">
      <c r="E31729" s="96"/>
    </row>
    <row r="31730" hidden="1">
      <c r="E31730" s="96"/>
    </row>
    <row r="31731" hidden="1">
      <c r="E31731" s="96"/>
    </row>
    <row r="31732" hidden="1">
      <c r="E31732" s="96"/>
    </row>
    <row r="31733" hidden="1">
      <c r="E31733" s="96"/>
    </row>
    <row r="31734" hidden="1">
      <c r="E31734" s="96"/>
    </row>
    <row r="31735" hidden="1">
      <c r="E31735" s="96"/>
    </row>
    <row r="31736" hidden="1">
      <c r="E31736" s="96"/>
    </row>
    <row r="31737" hidden="1">
      <c r="E31737" s="96"/>
    </row>
    <row r="31738" hidden="1">
      <c r="E31738" s="96"/>
    </row>
    <row r="31739" hidden="1">
      <c r="E31739" s="96"/>
    </row>
    <row r="31740" hidden="1">
      <c r="E31740" s="96"/>
    </row>
    <row r="31741" hidden="1">
      <c r="E31741" s="96"/>
    </row>
    <row r="31742" hidden="1">
      <c r="E31742" s="96"/>
    </row>
    <row r="31743" hidden="1">
      <c r="E31743" s="96"/>
    </row>
    <row r="31744" hidden="1">
      <c r="E31744" s="96"/>
    </row>
    <row r="31745" hidden="1">
      <c r="E31745" s="96"/>
    </row>
    <row r="31746" hidden="1">
      <c r="E31746" s="96"/>
    </row>
    <row r="31747" hidden="1">
      <c r="E31747" s="96"/>
    </row>
    <row r="31748" hidden="1">
      <c r="E31748" s="96"/>
    </row>
    <row r="31749" hidden="1">
      <c r="E31749" s="96"/>
    </row>
    <row r="31750" hidden="1">
      <c r="E31750" s="96"/>
    </row>
    <row r="31751" hidden="1">
      <c r="E31751" s="96"/>
    </row>
    <row r="31752" hidden="1">
      <c r="E31752" s="96"/>
    </row>
    <row r="31753" hidden="1">
      <c r="E31753" s="96"/>
    </row>
    <row r="31754" hidden="1">
      <c r="E31754" s="96"/>
    </row>
    <row r="31755" hidden="1">
      <c r="E31755" s="96"/>
    </row>
    <row r="31756" hidden="1">
      <c r="E31756" s="96"/>
    </row>
    <row r="31757" hidden="1">
      <c r="E31757" s="96"/>
    </row>
    <row r="31758" hidden="1">
      <c r="E31758" s="96"/>
    </row>
    <row r="31759" hidden="1">
      <c r="E31759" s="96"/>
    </row>
    <row r="31760" hidden="1">
      <c r="E31760" s="96"/>
    </row>
    <row r="31761" hidden="1">
      <c r="E31761" s="96"/>
    </row>
    <row r="31762" hidden="1">
      <c r="E31762" s="96"/>
    </row>
    <row r="31763" hidden="1">
      <c r="E31763" s="96"/>
    </row>
    <row r="31764" hidden="1">
      <c r="E31764" s="96"/>
    </row>
    <row r="31765" hidden="1">
      <c r="E31765" s="96"/>
    </row>
    <row r="31766" hidden="1">
      <c r="E31766" s="96"/>
    </row>
    <row r="31767" hidden="1">
      <c r="E31767" s="96"/>
    </row>
    <row r="31768" hidden="1">
      <c r="E31768" s="96"/>
    </row>
    <row r="31769" hidden="1">
      <c r="E31769" s="96"/>
    </row>
    <row r="31770" hidden="1">
      <c r="E31770" s="96"/>
    </row>
    <row r="31771" hidden="1">
      <c r="E31771" s="96"/>
    </row>
    <row r="31772" hidden="1">
      <c r="E31772" s="96"/>
    </row>
    <row r="31773" hidden="1">
      <c r="E31773" s="96"/>
    </row>
    <row r="31774" hidden="1">
      <c r="E31774" s="96"/>
    </row>
    <row r="31775" hidden="1">
      <c r="E31775" s="96"/>
    </row>
    <row r="31776" hidden="1">
      <c r="E31776" s="96"/>
    </row>
    <row r="31777" hidden="1">
      <c r="E31777" s="96"/>
    </row>
    <row r="31778" hidden="1">
      <c r="E31778" s="96"/>
    </row>
    <row r="31779" hidden="1">
      <c r="E31779" s="96"/>
    </row>
    <row r="31780" hidden="1">
      <c r="E31780" s="96"/>
    </row>
    <row r="31781" hidden="1">
      <c r="E31781" s="96"/>
    </row>
    <row r="31782" hidden="1">
      <c r="E31782" s="96"/>
    </row>
    <row r="31783" hidden="1">
      <c r="E31783" s="96"/>
    </row>
    <row r="31784" hidden="1">
      <c r="E31784" s="96"/>
    </row>
    <row r="31785" hidden="1">
      <c r="E31785" s="96"/>
    </row>
    <row r="31786" hidden="1">
      <c r="E31786" s="96"/>
    </row>
    <row r="31787" hidden="1">
      <c r="E31787" s="96"/>
    </row>
    <row r="31788" hidden="1">
      <c r="E31788" s="96"/>
    </row>
    <row r="31789" hidden="1">
      <c r="E31789" s="96"/>
    </row>
    <row r="31790" hidden="1">
      <c r="E31790" s="96"/>
    </row>
    <row r="31791" hidden="1">
      <c r="E31791" s="96"/>
    </row>
    <row r="31792" hidden="1">
      <c r="E31792" s="96"/>
    </row>
    <row r="31793" hidden="1">
      <c r="E31793" s="96"/>
    </row>
    <row r="31794" hidden="1">
      <c r="E31794" s="96"/>
    </row>
    <row r="31795" hidden="1">
      <c r="E31795" s="96"/>
    </row>
    <row r="31796" hidden="1">
      <c r="E31796" s="96"/>
    </row>
    <row r="31797" hidden="1">
      <c r="E31797" s="96"/>
    </row>
    <row r="31798" hidden="1">
      <c r="E31798" s="96"/>
    </row>
    <row r="31799" hidden="1">
      <c r="E31799" s="96"/>
    </row>
    <row r="31800" hidden="1">
      <c r="E31800" s="96"/>
    </row>
    <row r="31801" hidden="1">
      <c r="E31801" s="96"/>
    </row>
    <row r="31802" hidden="1">
      <c r="E31802" s="96"/>
    </row>
    <row r="31803" hidden="1">
      <c r="E31803" s="96"/>
    </row>
    <row r="31804" hidden="1">
      <c r="E31804" s="96"/>
    </row>
    <row r="31805" hidden="1">
      <c r="E31805" s="96"/>
    </row>
    <row r="31806" hidden="1">
      <c r="E31806" s="96"/>
    </row>
    <row r="31807" hidden="1">
      <c r="E31807" s="96"/>
    </row>
    <row r="31808" hidden="1">
      <c r="E31808" s="96"/>
    </row>
    <row r="31809" hidden="1">
      <c r="E31809" s="96"/>
    </row>
    <row r="31810" hidden="1">
      <c r="E31810" s="96"/>
    </row>
    <row r="31811" hidden="1">
      <c r="E31811" s="96"/>
    </row>
    <row r="31812" hidden="1">
      <c r="E31812" s="96"/>
    </row>
    <row r="31813" hidden="1">
      <c r="E31813" s="96"/>
    </row>
    <row r="31814" hidden="1">
      <c r="E31814" s="96"/>
    </row>
    <row r="31815" hidden="1">
      <c r="E31815" s="96"/>
    </row>
    <row r="31816" hidden="1">
      <c r="E31816" s="96"/>
    </row>
    <row r="31817" hidden="1">
      <c r="E31817" s="96"/>
    </row>
    <row r="31818" hidden="1">
      <c r="E31818" s="96"/>
    </row>
    <row r="31819" hidden="1">
      <c r="E31819" s="96"/>
    </row>
    <row r="31820" hidden="1">
      <c r="E31820" s="96"/>
    </row>
    <row r="31821" hidden="1">
      <c r="E31821" s="96"/>
    </row>
    <row r="31822" hidden="1">
      <c r="E31822" s="96"/>
    </row>
    <row r="31823" hidden="1">
      <c r="E31823" s="96"/>
    </row>
    <row r="31824" hidden="1">
      <c r="E31824" s="96"/>
    </row>
    <row r="31825" hidden="1">
      <c r="E31825" s="96"/>
    </row>
    <row r="31826" hidden="1">
      <c r="E31826" s="96"/>
    </row>
    <row r="31827" hidden="1">
      <c r="E31827" s="96"/>
    </row>
    <row r="31828" hidden="1">
      <c r="E31828" s="96"/>
    </row>
    <row r="31829" hidden="1">
      <c r="E31829" s="96"/>
    </row>
    <row r="31830" hidden="1">
      <c r="E31830" s="96"/>
    </row>
    <row r="31831" hidden="1">
      <c r="E31831" s="96"/>
    </row>
    <row r="31832" hidden="1">
      <c r="E31832" s="96"/>
    </row>
    <row r="31833" hidden="1">
      <c r="E31833" s="96"/>
    </row>
    <row r="31834" hidden="1">
      <c r="E31834" s="96"/>
    </row>
    <row r="31835" hidden="1">
      <c r="E31835" s="96"/>
    </row>
    <row r="31836" hidden="1">
      <c r="E31836" s="96"/>
    </row>
    <row r="31837" hidden="1">
      <c r="E31837" s="96"/>
    </row>
    <row r="31838" hidden="1">
      <c r="E31838" s="96"/>
    </row>
    <row r="31839" hidden="1">
      <c r="E31839" s="96"/>
    </row>
    <row r="31840" hidden="1">
      <c r="E31840" s="96"/>
    </row>
    <row r="31841" hidden="1">
      <c r="E31841" s="96"/>
    </row>
    <row r="31842" hidden="1">
      <c r="E31842" s="96"/>
    </row>
    <row r="31843" hidden="1">
      <c r="E31843" s="96"/>
    </row>
    <row r="31844" hidden="1">
      <c r="E31844" s="96"/>
    </row>
    <row r="31845" hidden="1">
      <c r="E31845" s="96"/>
    </row>
    <row r="31846" hidden="1">
      <c r="E31846" s="96"/>
    </row>
    <row r="31847" hidden="1">
      <c r="E31847" s="96"/>
    </row>
    <row r="31848" hidden="1">
      <c r="E31848" s="96"/>
    </row>
    <row r="31849" hidden="1">
      <c r="E31849" s="96"/>
    </row>
    <row r="31850" hidden="1">
      <c r="E31850" s="96"/>
    </row>
    <row r="31851" hidden="1">
      <c r="E31851" s="96"/>
    </row>
    <row r="31852" hidden="1">
      <c r="E31852" s="96"/>
    </row>
    <row r="31853" hidden="1">
      <c r="E31853" s="96"/>
    </row>
    <row r="31854" hidden="1">
      <c r="E31854" s="96"/>
    </row>
    <row r="31855" hidden="1">
      <c r="E31855" s="96"/>
    </row>
    <row r="31856" hidden="1">
      <c r="E31856" s="96"/>
    </row>
    <row r="31857" hidden="1">
      <c r="E31857" s="96"/>
    </row>
    <row r="31858" hidden="1">
      <c r="E31858" s="96"/>
    </row>
    <row r="31859" hidden="1">
      <c r="E31859" s="96"/>
    </row>
    <row r="31860" hidden="1">
      <c r="E31860" s="96"/>
    </row>
    <row r="31861" hidden="1">
      <c r="E31861" s="96"/>
    </row>
    <row r="31862" hidden="1">
      <c r="E31862" s="96"/>
    </row>
    <row r="31863" hidden="1">
      <c r="E31863" s="96"/>
    </row>
    <row r="31864" hidden="1">
      <c r="E31864" s="96"/>
    </row>
    <row r="31865" hidden="1">
      <c r="E31865" s="96"/>
    </row>
    <row r="31866" hidden="1">
      <c r="E31866" s="96"/>
    </row>
    <row r="31867" hidden="1">
      <c r="E31867" s="96"/>
    </row>
    <row r="31868" hidden="1">
      <c r="E31868" s="96"/>
    </row>
    <row r="31869" hidden="1">
      <c r="E31869" s="96"/>
    </row>
    <row r="31870" hidden="1">
      <c r="E31870" s="96"/>
    </row>
    <row r="31871" hidden="1">
      <c r="E31871" s="96"/>
    </row>
    <row r="31872" hidden="1">
      <c r="E31872" s="96"/>
    </row>
    <row r="31873" hidden="1">
      <c r="E31873" s="96"/>
    </row>
    <row r="31874" hidden="1">
      <c r="E31874" s="96"/>
    </row>
    <row r="31875" hidden="1">
      <c r="E31875" s="96"/>
    </row>
    <row r="31876" hidden="1">
      <c r="E31876" s="96"/>
    </row>
    <row r="31877" hidden="1">
      <c r="E31877" s="96"/>
    </row>
    <row r="31878" hidden="1">
      <c r="E31878" s="96"/>
    </row>
    <row r="31879" hidden="1">
      <c r="E31879" s="96"/>
    </row>
    <row r="31880" hidden="1">
      <c r="E31880" s="96"/>
    </row>
    <row r="31881" hidden="1">
      <c r="E31881" s="96"/>
    </row>
    <row r="31882" hidden="1">
      <c r="E31882" s="96"/>
    </row>
    <row r="31883" hidden="1">
      <c r="E31883" s="96"/>
    </row>
    <row r="31884" hidden="1">
      <c r="E31884" s="96"/>
    </row>
    <row r="31885" hidden="1">
      <c r="E31885" s="96"/>
    </row>
    <row r="31886" hidden="1">
      <c r="E31886" s="96"/>
    </row>
    <row r="31887" hidden="1">
      <c r="E31887" s="96"/>
    </row>
    <row r="31888" hidden="1">
      <c r="E31888" s="96"/>
    </row>
    <row r="31889" hidden="1">
      <c r="E31889" s="96"/>
    </row>
    <row r="31890" hidden="1">
      <c r="E31890" s="96"/>
    </row>
    <row r="31891" hidden="1">
      <c r="E31891" s="96"/>
    </row>
    <row r="31892" hidden="1">
      <c r="E31892" s="96"/>
    </row>
    <row r="31893" hidden="1">
      <c r="E31893" s="96"/>
    </row>
    <row r="31894" hidden="1">
      <c r="E31894" s="96"/>
    </row>
    <row r="31895" hidden="1">
      <c r="E31895" s="96"/>
    </row>
    <row r="31896" hidden="1">
      <c r="E31896" s="96"/>
    </row>
    <row r="31897" hidden="1">
      <c r="E31897" s="96"/>
    </row>
    <row r="31898" hidden="1">
      <c r="E31898" s="96"/>
    </row>
    <row r="31899" hidden="1">
      <c r="E31899" s="96"/>
    </row>
    <row r="31900" hidden="1">
      <c r="E31900" s="96"/>
    </row>
    <row r="31901" hidden="1">
      <c r="E31901" s="96"/>
    </row>
    <row r="31902" hidden="1">
      <c r="E31902" s="96"/>
    </row>
    <row r="31903" hidden="1">
      <c r="E31903" s="96"/>
    </row>
    <row r="31904" hidden="1">
      <c r="E31904" s="96"/>
    </row>
    <row r="31905" hidden="1">
      <c r="E31905" s="96"/>
    </row>
    <row r="31906" hidden="1">
      <c r="E31906" s="96"/>
    </row>
    <row r="31907" hidden="1">
      <c r="E31907" s="96"/>
    </row>
    <row r="31908" hidden="1">
      <c r="E31908" s="96"/>
    </row>
    <row r="31909" hidden="1">
      <c r="E31909" s="96"/>
    </row>
    <row r="31910" hidden="1">
      <c r="E31910" s="96"/>
    </row>
    <row r="31911" hidden="1">
      <c r="E31911" s="96"/>
    </row>
    <row r="31912" hidden="1">
      <c r="E31912" s="96"/>
    </row>
    <row r="31913" hidden="1">
      <c r="E31913" s="96"/>
    </row>
    <row r="31914" hidden="1">
      <c r="E31914" s="96"/>
    </row>
    <row r="31915" hidden="1">
      <c r="E31915" s="96"/>
    </row>
    <row r="31916" hidden="1">
      <c r="E31916" s="96"/>
    </row>
    <row r="31917" hidden="1">
      <c r="E31917" s="96"/>
    </row>
    <row r="31918" hidden="1">
      <c r="E31918" s="96"/>
    </row>
    <row r="31919" hidden="1">
      <c r="E31919" s="96"/>
    </row>
    <row r="31920" hidden="1">
      <c r="E31920" s="96"/>
    </row>
    <row r="31921" hidden="1">
      <c r="E31921" s="96"/>
    </row>
    <row r="31922" hidden="1">
      <c r="E31922" s="96"/>
    </row>
    <row r="31923" hidden="1">
      <c r="E31923" s="96"/>
    </row>
    <row r="31924" hidden="1">
      <c r="E31924" s="96"/>
    </row>
    <row r="31925" hidden="1">
      <c r="E31925" s="96"/>
    </row>
    <row r="31926" hidden="1">
      <c r="E31926" s="96"/>
    </row>
    <row r="31927" hidden="1">
      <c r="E31927" s="96"/>
    </row>
    <row r="31928" hidden="1">
      <c r="E31928" s="96"/>
    </row>
    <row r="31929" hidden="1">
      <c r="E31929" s="96"/>
    </row>
    <row r="31930" hidden="1">
      <c r="E31930" s="96"/>
    </row>
    <row r="31931" hidden="1">
      <c r="E31931" s="96"/>
    </row>
    <row r="31932" hidden="1">
      <c r="E31932" s="96"/>
    </row>
    <row r="31933" hidden="1">
      <c r="E31933" s="96"/>
    </row>
    <row r="31934" hidden="1">
      <c r="E31934" s="96"/>
    </row>
    <row r="31935" hidden="1">
      <c r="E31935" s="96"/>
    </row>
    <row r="31936" hidden="1">
      <c r="E31936" s="96"/>
    </row>
    <row r="31937" hidden="1">
      <c r="E31937" s="96"/>
    </row>
    <row r="31938" hidden="1">
      <c r="E31938" s="96"/>
    </row>
    <row r="31939" hidden="1">
      <c r="E31939" s="96"/>
    </row>
    <row r="31940" hidden="1">
      <c r="E31940" s="96"/>
    </row>
    <row r="31941" hidden="1">
      <c r="E31941" s="96"/>
    </row>
    <row r="31942" hidden="1">
      <c r="E31942" s="96"/>
    </row>
    <row r="31943" hidden="1">
      <c r="E31943" s="96"/>
    </row>
    <row r="31944" hidden="1">
      <c r="E31944" s="96"/>
    </row>
    <row r="31945" hidden="1">
      <c r="E31945" s="96"/>
    </row>
    <row r="31946" hidden="1">
      <c r="E31946" s="96"/>
    </row>
    <row r="31947" hidden="1">
      <c r="E31947" s="96"/>
    </row>
    <row r="31948" hidden="1">
      <c r="E31948" s="96"/>
    </row>
    <row r="31949" hidden="1">
      <c r="E31949" s="96"/>
    </row>
    <row r="31950" hidden="1">
      <c r="E31950" s="96"/>
    </row>
    <row r="31951" hidden="1">
      <c r="E31951" s="96"/>
    </row>
    <row r="31952" hidden="1">
      <c r="E31952" s="96"/>
    </row>
    <row r="31953" hidden="1">
      <c r="E31953" s="96"/>
    </row>
    <row r="31954" hidden="1">
      <c r="E31954" s="96"/>
    </row>
    <row r="31955" hidden="1">
      <c r="E31955" s="96"/>
    </row>
    <row r="31956" hidden="1">
      <c r="E31956" s="96"/>
    </row>
    <row r="31957" hidden="1">
      <c r="E31957" s="96"/>
    </row>
    <row r="31958" hidden="1">
      <c r="E31958" s="96"/>
    </row>
    <row r="31959" hidden="1">
      <c r="E31959" s="96"/>
    </row>
    <row r="31960" hidden="1">
      <c r="E31960" s="96"/>
    </row>
    <row r="31961" hidden="1">
      <c r="E31961" s="96"/>
    </row>
    <row r="31962" hidden="1">
      <c r="E31962" s="96"/>
    </row>
    <row r="31963" hidden="1">
      <c r="E31963" s="96"/>
    </row>
    <row r="31964" hidden="1">
      <c r="E31964" s="96"/>
    </row>
    <row r="31965" hidden="1">
      <c r="E31965" s="96"/>
    </row>
    <row r="31966" hidden="1">
      <c r="E31966" s="96"/>
    </row>
    <row r="31967" hidden="1">
      <c r="E31967" s="96"/>
    </row>
    <row r="31968" hidden="1">
      <c r="E31968" s="96"/>
    </row>
    <row r="31969" hidden="1">
      <c r="E31969" s="96"/>
    </row>
    <row r="31970" hidden="1">
      <c r="E31970" s="96"/>
    </row>
    <row r="31971" hidden="1">
      <c r="E31971" s="96"/>
    </row>
    <row r="31972" hidden="1">
      <c r="E31972" s="96"/>
    </row>
    <row r="31973" hidden="1">
      <c r="E31973" s="96"/>
    </row>
    <row r="31974" hidden="1">
      <c r="E31974" s="96"/>
    </row>
    <row r="31975" hidden="1">
      <c r="E31975" s="96"/>
    </row>
    <row r="31976" hidden="1">
      <c r="E31976" s="96"/>
    </row>
    <row r="31977" hidden="1">
      <c r="E31977" s="96"/>
    </row>
    <row r="31978" hidden="1">
      <c r="E31978" s="96"/>
    </row>
    <row r="31979" hidden="1">
      <c r="E31979" s="96"/>
    </row>
    <row r="31980" hidden="1">
      <c r="E31980" s="96"/>
    </row>
    <row r="31981" hidden="1">
      <c r="E31981" s="96"/>
    </row>
    <row r="31982" hidden="1">
      <c r="E31982" s="96"/>
    </row>
    <row r="31983" hidden="1">
      <c r="E31983" s="96"/>
    </row>
    <row r="31984" hidden="1">
      <c r="E31984" s="96"/>
    </row>
    <row r="31985" hidden="1">
      <c r="E31985" s="96"/>
    </row>
    <row r="31986" hidden="1">
      <c r="E31986" s="96"/>
    </row>
    <row r="31987" hidden="1">
      <c r="E31987" s="96"/>
    </row>
    <row r="31988" hidden="1">
      <c r="E31988" s="96"/>
    </row>
    <row r="31989" hidden="1">
      <c r="E31989" s="96"/>
    </row>
    <row r="31990" hidden="1">
      <c r="E31990" s="96"/>
    </row>
    <row r="31991" hidden="1">
      <c r="E31991" s="96"/>
    </row>
    <row r="31992" hidden="1">
      <c r="E31992" s="96"/>
    </row>
    <row r="31993" hidden="1">
      <c r="E31993" s="96"/>
    </row>
    <row r="31994" hidden="1">
      <c r="E31994" s="96"/>
    </row>
    <row r="31995" hidden="1">
      <c r="E31995" s="96"/>
    </row>
    <row r="31996" hidden="1">
      <c r="E31996" s="96"/>
    </row>
    <row r="31997" hidden="1">
      <c r="E31997" s="96"/>
    </row>
    <row r="31998" hidden="1">
      <c r="E31998" s="96"/>
    </row>
    <row r="31999" hidden="1">
      <c r="E31999" s="96"/>
    </row>
    <row r="32000" hidden="1">
      <c r="E32000" s="96"/>
    </row>
    <row r="32001" hidden="1">
      <c r="E32001" s="96"/>
    </row>
    <row r="32002" hidden="1">
      <c r="E32002" s="96"/>
    </row>
    <row r="32003" hidden="1">
      <c r="E32003" s="96"/>
    </row>
    <row r="32004" hidden="1">
      <c r="E32004" s="96"/>
    </row>
    <row r="32005" hidden="1">
      <c r="E32005" s="96"/>
    </row>
    <row r="32006" hidden="1">
      <c r="E32006" s="96"/>
    </row>
    <row r="32007" hidden="1">
      <c r="E32007" s="96"/>
    </row>
    <row r="32008" hidden="1">
      <c r="E32008" s="96"/>
    </row>
    <row r="32009" hidden="1">
      <c r="E32009" s="96"/>
    </row>
    <row r="32010" hidden="1">
      <c r="E32010" s="96"/>
    </row>
    <row r="32011" hidden="1">
      <c r="E32011" s="96"/>
    </row>
    <row r="32012" hidden="1">
      <c r="E32012" s="96"/>
    </row>
    <row r="32013" hidden="1">
      <c r="E32013" s="96"/>
    </row>
    <row r="32014" hidden="1">
      <c r="E32014" s="96"/>
    </row>
    <row r="32015" hidden="1">
      <c r="E32015" s="96"/>
    </row>
    <row r="32016" hidden="1">
      <c r="E32016" s="96"/>
    </row>
    <row r="32017" hidden="1">
      <c r="E32017" s="96"/>
    </row>
    <row r="32018" hidden="1">
      <c r="E32018" s="96"/>
    </row>
    <row r="32019" hidden="1">
      <c r="E32019" s="96"/>
    </row>
    <row r="32020" hidden="1">
      <c r="E32020" s="96"/>
    </row>
    <row r="32021" hidden="1">
      <c r="E32021" s="96"/>
    </row>
    <row r="32022" hidden="1">
      <c r="E32022" s="96"/>
    </row>
    <row r="32023" hidden="1">
      <c r="E32023" s="96"/>
    </row>
    <row r="32024" hidden="1">
      <c r="E32024" s="96"/>
    </row>
    <row r="32025" hidden="1">
      <c r="E32025" s="96"/>
    </row>
    <row r="32026" hidden="1">
      <c r="E32026" s="96"/>
    </row>
    <row r="32027" hidden="1">
      <c r="E32027" s="96"/>
    </row>
    <row r="32028" hidden="1">
      <c r="E32028" s="96"/>
    </row>
    <row r="32029" hidden="1">
      <c r="E32029" s="96"/>
    </row>
    <row r="32030" hidden="1">
      <c r="E32030" s="96"/>
    </row>
    <row r="32031" hidden="1">
      <c r="E32031" s="96"/>
    </row>
    <row r="32032" hidden="1">
      <c r="E32032" s="96"/>
    </row>
    <row r="32033" hidden="1">
      <c r="E32033" s="96"/>
    </row>
    <row r="32034" hidden="1">
      <c r="E32034" s="96"/>
    </row>
    <row r="32035" hidden="1">
      <c r="E32035" s="96"/>
    </row>
    <row r="32036" hidden="1">
      <c r="E32036" s="96"/>
    </row>
    <row r="32037" hidden="1">
      <c r="E32037" s="96"/>
    </row>
    <row r="32038" hidden="1">
      <c r="E32038" s="96"/>
    </row>
    <row r="32039" hidden="1">
      <c r="E32039" s="96"/>
    </row>
    <row r="32040" hidden="1">
      <c r="E32040" s="96"/>
    </row>
    <row r="32041" hidden="1">
      <c r="E32041" s="96"/>
    </row>
    <row r="32042" hidden="1">
      <c r="E32042" s="96"/>
    </row>
    <row r="32043" hidden="1">
      <c r="E32043" s="96"/>
    </row>
    <row r="32044" hidden="1">
      <c r="E32044" s="96"/>
    </row>
    <row r="32045" hidden="1">
      <c r="E32045" s="96"/>
    </row>
    <row r="32046" hidden="1">
      <c r="E32046" s="96"/>
    </row>
    <row r="32047" hidden="1">
      <c r="E32047" s="96"/>
    </row>
    <row r="32048" hidden="1">
      <c r="E32048" s="96"/>
    </row>
    <row r="32049" hidden="1">
      <c r="E32049" s="96"/>
    </row>
    <row r="32050" hidden="1">
      <c r="E32050" s="96"/>
    </row>
    <row r="32051" hidden="1">
      <c r="E32051" s="96"/>
    </row>
    <row r="32052" hidden="1">
      <c r="E32052" s="96"/>
    </row>
    <row r="32053" hidden="1">
      <c r="E32053" s="96"/>
    </row>
    <row r="32054" hidden="1">
      <c r="E32054" s="96"/>
    </row>
    <row r="32055" hidden="1">
      <c r="E32055" s="96"/>
    </row>
    <row r="32056" hidden="1">
      <c r="E32056" s="96"/>
    </row>
    <row r="32057" hidden="1">
      <c r="E32057" s="96"/>
    </row>
    <row r="32058" hidden="1">
      <c r="E32058" s="96"/>
    </row>
    <row r="32059" hidden="1">
      <c r="E32059" s="96"/>
    </row>
    <row r="32060" hidden="1">
      <c r="E32060" s="96"/>
    </row>
    <row r="32061" hidden="1">
      <c r="E32061" s="96"/>
    </row>
    <row r="32062" hidden="1">
      <c r="E32062" s="96"/>
    </row>
    <row r="32063" hidden="1">
      <c r="E32063" s="96"/>
    </row>
    <row r="32064" hidden="1">
      <c r="E32064" s="96"/>
    </row>
    <row r="32065" hidden="1">
      <c r="E32065" s="96"/>
    </row>
    <row r="32066" hidden="1">
      <c r="E32066" s="96"/>
    </row>
    <row r="32067" hidden="1">
      <c r="E32067" s="96"/>
    </row>
    <row r="32068" hidden="1">
      <c r="E32068" s="96"/>
    </row>
    <row r="32069" hidden="1">
      <c r="E32069" s="96"/>
    </row>
    <row r="32070" hidden="1">
      <c r="E32070" s="96"/>
    </row>
    <row r="32071" hidden="1">
      <c r="E32071" s="96"/>
    </row>
    <row r="32072" hidden="1">
      <c r="E32072" s="96"/>
    </row>
    <row r="32073" hidden="1">
      <c r="E32073" s="96"/>
    </row>
    <row r="32074" hidden="1">
      <c r="E32074" s="96"/>
    </row>
    <row r="32075" hidden="1">
      <c r="E32075" s="96"/>
    </row>
    <row r="32076" hidden="1">
      <c r="E32076" s="96"/>
    </row>
    <row r="32077" hidden="1">
      <c r="E32077" s="96"/>
    </row>
    <row r="32078" hidden="1">
      <c r="E32078" s="96"/>
    </row>
    <row r="32079" hidden="1">
      <c r="E32079" s="96"/>
    </row>
    <row r="32080" hidden="1">
      <c r="E32080" s="96"/>
    </row>
    <row r="32081" hidden="1">
      <c r="E32081" s="96"/>
    </row>
    <row r="32082" hidden="1">
      <c r="E32082" s="96"/>
    </row>
    <row r="32083" hidden="1">
      <c r="E32083" s="96"/>
    </row>
    <row r="32084" hidden="1">
      <c r="E32084" s="96"/>
    </row>
    <row r="32085" hidden="1">
      <c r="E32085" s="96"/>
    </row>
    <row r="32086" hidden="1">
      <c r="E32086" s="96"/>
    </row>
    <row r="32087" hidden="1">
      <c r="E32087" s="96"/>
    </row>
    <row r="32088" hidden="1">
      <c r="E32088" s="96"/>
    </row>
    <row r="32089" hidden="1">
      <c r="E32089" s="96"/>
    </row>
    <row r="32090" hidden="1">
      <c r="E32090" s="96"/>
    </row>
    <row r="32091" hidden="1">
      <c r="E32091" s="96"/>
    </row>
    <row r="32092" hidden="1">
      <c r="E32092" s="96"/>
    </row>
    <row r="32093" hidden="1">
      <c r="E32093" s="96"/>
    </row>
    <row r="32094" hidden="1">
      <c r="E32094" s="96"/>
    </row>
    <row r="32095" hidden="1">
      <c r="E32095" s="96"/>
    </row>
    <row r="32096" hidden="1">
      <c r="E32096" s="96"/>
    </row>
    <row r="32097" hidden="1">
      <c r="E32097" s="96"/>
    </row>
    <row r="32098" hidden="1">
      <c r="E32098" s="96"/>
    </row>
    <row r="32099" hidden="1">
      <c r="E32099" s="96"/>
    </row>
    <row r="32100" hidden="1">
      <c r="E32100" s="96"/>
    </row>
    <row r="32101" hidden="1">
      <c r="E32101" s="96"/>
    </row>
    <row r="32102" hidden="1">
      <c r="E32102" s="96"/>
    </row>
    <row r="32103" hidden="1">
      <c r="E32103" s="96"/>
    </row>
    <row r="32104" hidden="1">
      <c r="E32104" s="96"/>
    </row>
    <row r="32105" hidden="1">
      <c r="E32105" s="96"/>
    </row>
    <row r="32106" hidden="1">
      <c r="E32106" s="96"/>
    </row>
    <row r="32107" hidden="1">
      <c r="E32107" s="96"/>
    </row>
    <row r="32108" hidden="1">
      <c r="E32108" s="96"/>
    </row>
    <row r="32109" hidden="1">
      <c r="E32109" s="96"/>
    </row>
    <row r="32110" hidden="1">
      <c r="E32110" s="96"/>
    </row>
    <row r="32111" hidden="1">
      <c r="E32111" s="96"/>
    </row>
    <row r="32112" hidden="1">
      <c r="E32112" s="96"/>
    </row>
    <row r="32113" hidden="1">
      <c r="E32113" s="96"/>
    </row>
    <row r="32114" hidden="1">
      <c r="E32114" s="96"/>
    </row>
    <row r="32115" hidden="1">
      <c r="E32115" s="96"/>
    </row>
    <row r="32116" hidden="1">
      <c r="E32116" s="96"/>
    </row>
    <row r="32117" hidden="1">
      <c r="E32117" s="96"/>
    </row>
    <row r="32118" hidden="1">
      <c r="E32118" s="96"/>
    </row>
    <row r="32119" hidden="1">
      <c r="E32119" s="96"/>
    </row>
    <row r="32120" hidden="1">
      <c r="E32120" s="96"/>
    </row>
    <row r="32121" hidden="1">
      <c r="E32121" s="96"/>
    </row>
    <row r="32122" hidden="1">
      <c r="E32122" s="96"/>
    </row>
    <row r="32123" hidden="1">
      <c r="E32123" s="96"/>
    </row>
    <row r="32124" hidden="1">
      <c r="E32124" s="96"/>
    </row>
    <row r="32125" hidden="1">
      <c r="E32125" s="96"/>
    </row>
    <row r="32126" hidden="1">
      <c r="E32126" s="96"/>
    </row>
    <row r="32127" hidden="1">
      <c r="E32127" s="96"/>
    </row>
    <row r="32128" hidden="1">
      <c r="E32128" s="96"/>
    </row>
    <row r="32129" hidden="1">
      <c r="E32129" s="96"/>
    </row>
    <row r="32130" hidden="1">
      <c r="E32130" s="96"/>
    </row>
    <row r="32131" hidden="1">
      <c r="E32131" s="96"/>
    </row>
    <row r="32132" hidden="1">
      <c r="E32132" s="96"/>
    </row>
    <row r="32133" hidden="1">
      <c r="E32133" s="96"/>
    </row>
    <row r="32134" hidden="1">
      <c r="E32134" s="96"/>
    </row>
    <row r="32135" hidden="1">
      <c r="E32135" s="96"/>
    </row>
    <row r="32136" hidden="1">
      <c r="E32136" s="96"/>
    </row>
    <row r="32137" hidden="1">
      <c r="E32137" s="96"/>
    </row>
    <row r="32138" hidden="1">
      <c r="E32138" s="96"/>
    </row>
    <row r="32139" hidden="1">
      <c r="E32139" s="96"/>
    </row>
    <row r="32140" hidden="1">
      <c r="E32140" s="96"/>
    </row>
    <row r="32141" hidden="1">
      <c r="E32141" s="96"/>
    </row>
    <row r="32142" hidden="1">
      <c r="E32142" s="96"/>
    </row>
    <row r="32143" hidden="1">
      <c r="E32143" s="96"/>
    </row>
    <row r="32144" hidden="1">
      <c r="E32144" s="96"/>
    </row>
    <row r="32145" hidden="1">
      <c r="E32145" s="96"/>
    </row>
    <row r="32146" hidden="1">
      <c r="E32146" s="96"/>
    </row>
    <row r="32147" hidden="1">
      <c r="E32147" s="96"/>
    </row>
    <row r="32148" hidden="1">
      <c r="E32148" s="96"/>
    </row>
    <row r="32149" hidden="1">
      <c r="E32149" s="96"/>
    </row>
    <row r="32150" hidden="1">
      <c r="E32150" s="96"/>
    </row>
    <row r="32151" hidden="1">
      <c r="E32151" s="96"/>
    </row>
    <row r="32152" hidden="1">
      <c r="E32152" s="96"/>
    </row>
    <row r="32153" hidden="1">
      <c r="E32153" s="96"/>
    </row>
    <row r="32154" hidden="1">
      <c r="E32154" s="96"/>
    </row>
    <row r="32155" hidden="1">
      <c r="E32155" s="96"/>
    </row>
    <row r="32156" hidden="1">
      <c r="E32156" s="96"/>
    </row>
    <row r="32157" hidden="1">
      <c r="E32157" s="96"/>
    </row>
    <row r="32158" hidden="1">
      <c r="E32158" s="96"/>
    </row>
    <row r="32159" hidden="1">
      <c r="E32159" s="96"/>
    </row>
    <row r="32160" hidden="1">
      <c r="E32160" s="96"/>
    </row>
    <row r="32161" hidden="1">
      <c r="E32161" s="96"/>
    </row>
    <row r="32162" hidden="1">
      <c r="E32162" s="96"/>
    </row>
    <row r="32163" hidden="1">
      <c r="E32163" s="96"/>
    </row>
    <row r="32164" hidden="1">
      <c r="E32164" s="96"/>
    </row>
    <row r="32165" hidden="1">
      <c r="E32165" s="96"/>
    </row>
    <row r="32166" hidden="1">
      <c r="E32166" s="96"/>
    </row>
    <row r="32167" hidden="1">
      <c r="E32167" s="96"/>
    </row>
    <row r="32168" hidden="1">
      <c r="E32168" s="96"/>
    </row>
    <row r="32169" hidden="1">
      <c r="E32169" s="96"/>
    </row>
    <row r="32170" hidden="1">
      <c r="E32170" s="96"/>
    </row>
    <row r="32171" hidden="1">
      <c r="E32171" s="96"/>
    </row>
    <row r="32172" hidden="1">
      <c r="E32172" s="96"/>
    </row>
    <row r="32173" hidden="1">
      <c r="E32173" s="96"/>
    </row>
    <row r="32174" hidden="1">
      <c r="E32174" s="96"/>
    </row>
    <row r="32175" hidden="1">
      <c r="E32175" s="96"/>
    </row>
    <row r="32176" hidden="1">
      <c r="E32176" s="96"/>
    </row>
    <row r="32177" hidden="1">
      <c r="E32177" s="96"/>
    </row>
    <row r="32178" hidden="1">
      <c r="E32178" s="96"/>
    </row>
    <row r="32179" hidden="1">
      <c r="E32179" s="96"/>
    </row>
    <row r="32180" hidden="1">
      <c r="E32180" s="96"/>
    </row>
    <row r="32181" hidden="1">
      <c r="E32181" s="96"/>
    </row>
    <row r="32182" hidden="1">
      <c r="E32182" s="96"/>
    </row>
    <row r="32183" hidden="1">
      <c r="E32183" s="96"/>
    </row>
    <row r="32184" hidden="1">
      <c r="E32184" s="96"/>
    </row>
    <row r="32185" hidden="1">
      <c r="E32185" s="96"/>
    </row>
    <row r="32186" hidden="1">
      <c r="E32186" s="96"/>
    </row>
    <row r="32187" hidden="1">
      <c r="E32187" s="96"/>
    </row>
    <row r="32188" hidden="1">
      <c r="E32188" s="96"/>
    </row>
    <row r="32189" hidden="1">
      <c r="E32189" s="96"/>
    </row>
    <row r="32190" hidden="1">
      <c r="E32190" s="96"/>
    </row>
    <row r="32191" hidden="1">
      <c r="E32191" s="96"/>
    </row>
    <row r="32192" hidden="1">
      <c r="E32192" s="96"/>
    </row>
    <row r="32193" hidden="1">
      <c r="E32193" s="96"/>
    </row>
    <row r="32194" hidden="1">
      <c r="E32194" s="96"/>
    </row>
    <row r="32195" hidden="1">
      <c r="E32195" s="96"/>
    </row>
    <row r="32196" hidden="1">
      <c r="E32196" s="96"/>
    </row>
    <row r="32197" hidden="1">
      <c r="E32197" s="96"/>
    </row>
    <row r="32198" hidden="1">
      <c r="E32198" s="96"/>
    </row>
    <row r="32199" hidden="1">
      <c r="E32199" s="96"/>
    </row>
    <row r="32200" hidden="1">
      <c r="E32200" s="96"/>
    </row>
    <row r="32201" hidden="1">
      <c r="E32201" s="96"/>
    </row>
    <row r="32202" hidden="1">
      <c r="E32202" s="96"/>
    </row>
    <row r="32203" hidden="1">
      <c r="E32203" s="96"/>
    </row>
    <row r="32204" hidden="1">
      <c r="E32204" s="96"/>
    </row>
    <row r="32205" hidden="1">
      <c r="E32205" s="96"/>
    </row>
    <row r="32206" hidden="1">
      <c r="E32206" s="96"/>
    </row>
    <row r="32207" hidden="1">
      <c r="E32207" s="96"/>
    </row>
    <row r="32208" hidden="1">
      <c r="E32208" s="96"/>
    </row>
    <row r="32209" hidden="1">
      <c r="E32209" s="96"/>
    </row>
    <row r="32210" hidden="1">
      <c r="E32210" s="96"/>
    </row>
    <row r="32211" hidden="1">
      <c r="E32211" s="96"/>
    </row>
    <row r="32212" hidden="1">
      <c r="E32212" s="96"/>
    </row>
    <row r="32213" hidden="1">
      <c r="E32213" s="96"/>
    </row>
    <row r="32214" hidden="1">
      <c r="E32214" s="96"/>
    </row>
    <row r="32215" hidden="1">
      <c r="E32215" s="96"/>
    </row>
    <row r="32216" hidden="1">
      <c r="E32216" s="96"/>
    </row>
    <row r="32217" hidden="1">
      <c r="E32217" s="96"/>
    </row>
    <row r="32218" hidden="1">
      <c r="E32218" s="96"/>
    </row>
    <row r="32219" hidden="1">
      <c r="E32219" s="96"/>
    </row>
    <row r="32220" hidden="1">
      <c r="E32220" s="96"/>
    </row>
    <row r="32221" hidden="1">
      <c r="E32221" s="96"/>
    </row>
    <row r="32222" hidden="1">
      <c r="E32222" s="96"/>
    </row>
    <row r="32223" hidden="1">
      <c r="E32223" s="96"/>
    </row>
    <row r="32224" hidden="1">
      <c r="E32224" s="96"/>
    </row>
    <row r="32225" hidden="1">
      <c r="E32225" s="96"/>
    </row>
    <row r="32226" hidden="1">
      <c r="E32226" s="96"/>
    </row>
    <row r="32227" hidden="1">
      <c r="E32227" s="96"/>
    </row>
    <row r="32228" hidden="1">
      <c r="E32228" s="96"/>
    </row>
    <row r="32229" hidden="1">
      <c r="E32229" s="96"/>
    </row>
    <row r="32230" hidden="1">
      <c r="E32230" s="96"/>
    </row>
    <row r="32231" hidden="1">
      <c r="E32231" s="96"/>
    </row>
    <row r="32232" hidden="1">
      <c r="E32232" s="96"/>
    </row>
    <row r="32233" hidden="1">
      <c r="E32233" s="96"/>
    </row>
    <row r="32234" hidden="1">
      <c r="E32234" s="96"/>
    </row>
    <row r="32235" hidden="1">
      <c r="E32235" s="96"/>
    </row>
    <row r="32236" hidden="1">
      <c r="E32236" s="96"/>
    </row>
    <row r="32237" hidden="1">
      <c r="E32237" s="96"/>
    </row>
    <row r="32238" hidden="1">
      <c r="E32238" s="96"/>
    </row>
    <row r="32239" hidden="1">
      <c r="E32239" s="96"/>
    </row>
    <row r="32240" hidden="1">
      <c r="E32240" s="96"/>
    </row>
    <row r="32241" hidden="1">
      <c r="E32241" s="96"/>
    </row>
    <row r="32242" hidden="1">
      <c r="E32242" s="96"/>
    </row>
    <row r="32243" hidden="1">
      <c r="E32243" s="96"/>
    </row>
    <row r="32244" hidden="1">
      <c r="E32244" s="96"/>
    </row>
    <row r="32245" hidden="1">
      <c r="E32245" s="96"/>
    </row>
    <row r="32246" hidden="1">
      <c r="E32246" s="96"/>
    </row>
    <row r="32247" hidden="1">
      <c r="E32247" s="96"/>
    </row>
    <row r="32248" hidden="1">
      <c r="E32248" s="96"/>
    </row>
    <row r="32249" hidden="1">
      <c r="E32249" s="96"/>
    </row>
    <row r="32250" hidden="1">
      <c r="E32250" s="96"/>
    </row>
    <row r="32251" hidden="1">
      <c r="E32251" s="96"/>
    </row>
    <row r="32252" hidden="1">
      <c r="E32252" s="96"/>
    </row>
    <row r="32253" hidden="1">
      <c r="E32253" s="96"/>
    </row>
    <row r="32254" hidden="1">
      <c r="E32254" s="96"/>
    </row>
    <row r="32255" hidden="1">
      <c r="E32255" s="96"/>
    </row>
    <row r="32256" hidden="1">
      <c r="E32256" s="96"/>
    </row>
    <row r="32257" hidden="1">
      <c r="E32257" s="96"/>
    </row>
    <row r="32258" hidden="1">
      <c r="E32258" s="96"/>
    </row>
    <row r="32259" hidden="1">
      <c r="E32259" s="96"/>
    </row>
    <row r="32260" hidden="1">
      <c r="E32260" s="96"/>
    </row>
    <row r="32261" hidden="1">
      <c r="E32261" s="96"/>
    </row>
    <row r="32262" hidden="1">
      <c r="E32262" s="96"/>
    </row>
    <row r="32263" hidden="1">
      <c r="E32263" s="96"/>
    </row>
    <row r="32264" hidden="1">
      <c r="E32264" s="96"/>
    </row>
    <row r="32265" hidden="1">
      <c r="E32265" s="96"/>
    </row>
    <row r="32266" hidden="1">
      <c r="E32266" s="96"/>
    </row>
    <row r="32267" hidden="1">
      <c r="E32267" s="96"/>
    </row>
    <row r="32268" hidden="1">
      <c r="E32268" s="96"/>
    </row>
    <row r="32269" hidden="1">
      <c r="E32269" s="96"/>
    </row>
    <row r="32270" hidden="1">
      <c r="E32270" s="96"/>
    </row>
    <row r="32271" hidden="1">
      <c r="E32271" s="96"/>
    </row>
    <row r="32272" hidden="1">
      <c r="E32272" s="96"/>
    </row>
    <row r="32273" hidden="1">
      <c r="E32273" s="96"/>
    </row>
    <row r="32274" hidden="1">
      <c r="E32274" s="96"/>
    </row>
    <row r="32275" hidden="1">
      <c r="E32275" s="96"/>
    </row>
    <row r="32276" hidden="1">
      <c r="E32276" s="96"/>
    </row>
    <row r="32277" hidden="1">
      <c r="E32277" s="96"/>
    </row>
    <row r="32278" hidden="1">
      <c r="E32278" s="96"/>
    </row>
    <row r="32279" hidden="1">
      <c r="E32279" s="96"/>
    </row>
    <row r="32280" hidden="1">
      <c r="E32280" s="96"/>
    </row>
    <row r="32281" hidden="1">
      <c r="E32281" s="96"/>
    </row>
    <row r="32282" hidden="1">
      <c r="E32282" s="96"/>
    </row>
    <row r="32283" hidden="1">
      <c r="E32283" s="96"/>
    </row>
    <row r="32284" hidden="1">
      <c r="E32284" s="96"/>
    </row>
    <row r="32285" hidden="1">
      <c r="E32285" s="96"/>
    </row>
    <row r="32286" hidden="1">
      <c r="E32286" s="96"/>
    </row>
    <row r="32287" hidden="1">
      <c r="E32287" s="96"/>
    </row>
    <row r="32288" hidden="1">
      <c r="E32288" s="96"/>
    </row>
    <row r="32289" hidden="1">
      <c r="E32289" s="96"/>
    </row>
    <row r="32290" hidden="1">
      <c r="E32290" s="96"/>
    </row>
    <row r="32291" hidden="1">
      <c r="E32291" s="96"/>
    </row>
    <row r="32292" hidden="1">
      <c r="E32292" s="96"/>
    </row>
    <row r="32293" hidden="1">
      <c r="E32293" s="96"/>
    </row>
    <row r="32294" hidden="1">
      <c r="E32294" s="96"/>
    </row>
    <row r="32295" hidden="1">
      <c r="E32295" s="96"/>
    </row>
    <row r="32296" hidden="1">
      <c r="E32296" s="96"/>
    </row>
    <row r="32297" hidden="1">
      <c r="E32297" s="96"/>
    </row>
    <row r="32298" hidden="1">
      <c r="E32298" s="96"/>
    </row>
    <row r="32299" hidden="1">
      <c r="E32299" s="96"/>
    </row>
    <row r="32300" hidden="1">
      <c r="E32300" s="96"/>
    </row>
    <row r="32301" hidden="1">
      <c r="E32301" s="96"/>
    </row>
    <row r="32302" hidden="1">
      <c r="E32302" s="96"/>
    </row>
    <row r="32303" hidden="1">
      <c r="E32303" s="96"/>
    </row>
    <row r="32304" hidden="1">
      <c r="E32304" s="96"/>
    </row>
    <row r="32305" hidden="1">
      <c r="E32305" s="96"/>
    </row>
    <row r="32306" hidden="1">
      <c r="E32306" s="96"/>
    </row>
    <row r="32307" hidden="1">
      <c r="E32307" s="96"/>
    </row>
    <row r="32308" hidden="1">
      <c r="E32308" s="96"/>
    </row>
    <row r="32309" hidden="1">
      <c r="E32309" s="96"/>
    </row>
    <row r="32310" hidden="1">
      <c r="E32310" s="96"/>
    </row>
    <row r="32311" hidden="1">
      <c r="E32311" s="96"/>
    </row>
    <row r="32312" hidden="1">
      <c r="E32312" s="96"/>
    </row>
    <row r="32313" hidden="1">
      <c r="E32313" s="96"/>
    </row>
    <row r="32314" hidden="1">
      <c r="E32314" s="96"/>
    </row>
    <row r="32315" hidden="1">
      <c r="E32315" s="96"/>
    </row>
    <row r="32316" hidden="1">
      <c r="E32316" s="96"/>
    </row>
    <row r="32317" hidden="1">
      <c r="E32317" s="96"/>
    </row>
    <row r="32318" hidden="1">
      <c r="E32318" s="96"/>
    </row>
    <row r="32319" hidden="1">
      <c r="E32319" s="96"/>
    </row>
    <row r="32320" hidden="1">
      <c r="E32320" s="96"/>
    </row>
    <row r="32321" hidden="1">
      <c r="E32321" s="96"/>
    </row>
    <row r="32322" hidden="1">
      <c r="E32322" s="96"/>
    </row>
    <row r="32323" hidden="1">
      <c r="E32323" s="96"/>
    </row>
    <row r="32324" hidden="1">
      <c r="E32324" s="96"/>
    </row>
    <row r="32325" hidden="1">
      <c r="E32325" s="96"/>
    </row>
    <row r="32326" hidden="1">
      <c r="E32326" s="96"/>
    </row>
    <row r="32327" hidden="1">
      <c r="E32327" s="96"/>
    </row>
    <row r="32328" hidden="1">
      <c r="E32328" s="96"/>
    </row>
    <row r="32329" hidden="1">
      <c r="E32329" s="96"/>
    </row>
    <row r="32330" hidden="1">
      <c r="E32330" s="96"/>
    </row>
    <row r="32331" hidden="1">
      <c r="E32331" s="96"/>
    </row>
    <row r="32332" hidden="1">
      <c r="E32332" s="96"/>
    </row>
    <row r="32333" hidden="1">
      <c r="E32333" s="96"/>
    </row>
    <row r="32334" hidden="1">
      <c r="E32334" s="96"/>
    </row>
    <row r="32335" hidden="1">
      <c r="E32335" s="96"/>
    </row>
    <row r="32336" hidden="1">
      <c r="E32336" s="96"/>
    </row>
    <row r="32337" hidden="1">
      <c r="E32337" s="96"/>
    </row>
    <row r="32338" hidden="1">
      <c r="E32338" s="96"/>
    </row>
    <row r="32339" hidden="1">
      <c r="E32339" s="96"/>
    </row>
    <row r="32340" hidden="1">
      <c r="E32340" s="96"/>
    </row>
    <row r="32341" hidden="1">
      <c r="E32341" s="96"/>
    </row>
    <row r="32342" hidden="1">
      <c r="E32342" s="96"/>
    </row>
    <row r="32343" hidden="1">
      <c r="E32343" s="96"/>
    </row>
    <row r="32344" hidden="1">
      <c r="E32344" s="96"/>
    </row>
    <row r="32345" hidden="1">
      <c r="E32345" s="96"/>
    </row>
    <row r="32346" hidden="1">
      <c r="E32346" s="96"/>
    </row>
    <row r="32347" hidden="1">
      <c r="E32347" s="96"/>
    </row>
    <row r="32348" hidden="1">
      <c r="E32348" s="96"/>
    </row>
    <row r="32349" hidden="1">
      <c r="E32349" s="96"/>
    </row>
    <row r="32350" hidden="1">
      <c r="E32350" s="96"/>
    </row>
    <row r="32351" hidden="1">
      <c r="E32351" s="96"/>
    </row>
    <row r="32352" hidden="1">
      <c r="E32352" s="96"/>
    </row>
    <row r="32353" hidden="1">
      <c r="E32353" s="96"/>
    </row>
    <row r="32354" hidden="1">
      <c r="E32354" s="96"/>
    </row>
    <row r="32355" hidden="1">
      <c r="E32355" s="96"/>
    </row>
    <row r="32356" hidden="1">
      <c r="E32356" s="96"/>
    </row>
    <row r="32357" hidden="1">
      <c r="E32357" s="96"/>
    </row>
    <row r="32358" hidden="1">
      <c r="E32358" s="96"/>
    </row>
    <row r="32359" hidden="1">
      <c r="E32359" s="96"/>
    </row>
    <row r="32360" hidden="1">
      <c r="E32360" s="96"/>
    </row>
    <row r="32361" hidden="1">
      <c r="E32361" s="96"/>
    </row>
    <row r="32362" hidden="1">
      <c r="E32362" s="96"/>
    </row>
    <row r="32363" hidden="1">
      <c r="E32363" s="96"/>
    </row>
    <row r="32364" hidden="1">
      <c r="E32364" s="96"/>
    </row>
    <row r="32365" hidden="1">
      <c r="E32365" s="96"/>
    </row>
    <row r="32366" hidden="1">
      <c r="E32366" s="96"/>
    </row>
    <row r="32367" hidden="1">
      <c r="E32367" s="96"/>
    </row>
    <row r="32368" hidden="1">
      <c r="E32368" s="96"/>
    </row>
    <row r="32369" hidden="1">
      <c r="E32369" s="96"/>
    </row>
    <row r="32370" hidden="1">
      <c r="E32370" s="96"/>
    </row>
    <row r="32371" hidden="1">
      <c r="E32371" s="96"/>
    </row>
    <row r="32372" hidden="1">
      <c r="E32372" s="96"/>
    </row>
    <row r="32373" hidden="1">
      <c r="E32373" s="96"/>
    </row>
    <row r="32374" hidden="1">
      <c r="E32374" s="96"/>
    </row>
    <row r="32375" hidden="1">
      <c r="E32375" s="96"/>
    </row>
    <row r="32376" hidden="1">
      <c r="E32376" s="96"/>
    </row>
    <row r="32377" hidden="1">
      <c r="E32377" s="96"/>
    </row>
    <row r="32378" hidden="1">
      <c r="E32378" s="96"/>
    </row>
    <row r="32379" hidden="1">
      <c r="E32379" s="96"/>
    </row>
    <row r="32380" hidden="1">
      <c r="E32380" s="96"/>
    </row>
    <row r="32381" hidden="1">
      <c r="E32381" s="96"/>
    </row>
    <row r="32382" hidden="1">
      <c r="E32382" s="96"/>
    </row>
    <row r="32383" hidden="1">
      <c r="E32383" s="96"/>
    </row>
    <row r="32384" hidden="1">
      <c r="E32384" s="96"/>
    </row>
    <row r="32385" hidden="1">
      <c r="E32385" s="96"/>
    </row>
    <row r="32386" hidden="1">
      <c r="E32386" s="96"/>
    </row>
    <row r="32387" hidden="1">
      <c r="E32387" s="96"/>
    </row>
    <row r="32388" hidden="1">
      <c r="E32388" s="96"/>
    </row>
    <row r="32389" hidden="1">
      <c r="E32389" s="96"/>
    </row>
    <row r="32390" hidden="1">
      <c r="E32390" s="96"/>
    </row>
    <row r="32391" hidden="1">
      <c r="E32391" s="96"/>
    </row>
    <row r="32392" hidden="1">
      <c r="E32392" s="96"/>
    </row>
    <row r="32393" hidden="1">
      <c r="E32393" s="96"/>
    </row>
    <row r="32394" hidden="1">
      <c r="E32394" s="96"/>
    </row>
    <row r="32395" hidden="1">
      <c r="E32395" s="96"/>
    </row>
    <row r="32396" hidden="1">
      <c r="E32396" s="96"/>
    </row>
    <row r="32397" hidden="1">
      <c r="E32397" s="96"/>
    </row>
    <row r="32398" hidden="1">
      <c r="E32398" s="96"/>
    </row>
    <row r="32399" hidden="1">
      <c r="E32399" s="96"/>
    </row>
    <row r="32400" hidden="1">
      <c r="E32400" s="96"/>
    </row>
    <row r="32401" hidden="1">
      <c r="E32401" s="96"/>
    </row>
    <row r="32402" hidden="1">
      <c r="E32402" s="96"/>
    </row>
    <row r="32403" hidden="1">
      <c r="E32403" s="96"/>
    </row>
    <row r="32404" hidden="1">
      <c r="E32404" s="96"/>
    </row>
    <row r="32405" hidden="1">
      <c r="E32405" s="96"/>
    </row>
    <row r="32406" hidden="1">
      <c r="E32406" s="96"/>
    </row>
    <row r="32407" hidden="1">
      <c r="E32407" s="96"/>
    </row>
    <row r="32408" hidden="1">
      <c r="E32408" s="96"/>
    </row>
    <row r="32409" hidden="1">
      <c r="E32409" s="96"/>
    </row>
    <row r="32410" hidden="1">
      <c r="E32410" s="96"/>
    </row>
    <row r="32411" hidden="1">
      <c r="E32411" s="96"/>
    </row>
    <row r="32412" hidden="1">
      <c r="E32412" s="96"/>
    </row>
    <row r="32413" hidden="1">
      <c r="E32413" s="96"/>
    </row>
    <row r="32414" hidden="1">
      <c r="E32414" s="96"/>
    </row>
    <row r="32415" hidden="1">
      <c r="E32415" s="96"/>
    </row>
    <row r="32416" hidden="1">
      <c r="E32416" s="96"/>
    </row>
    <row r="32417" hidden="1">
      <c r="E32417" s="96"/>
    </row>
    <row r="32418" hidden="1">
      <c r="E32418" s="96"/>
    </row>
    <row r="32419" hidden="1">
      <c r="E32419" s="96"/>
    </row>
    <row r="32420" hidden="1">
      <c r="E32420" s="96"/>
    </row>
    <row r="32421" hidden="1">
      <c r="E32421" s="96"/>
    </row>
    <row r="32422" hidden="1">
      <c r="E32422" s="96"/>
    </row>
    <row r="32423" hidden="1">
      <c r="E32423" s="96"/>
    </row>
    <row r="32424" hidden="1">
      <c r="E32424" s="96"/>
    </row>
    <row r="32425" hidden="1">
      <c r="E32425" s="96"/>
    </row>
    <row r="32426" hidden="1">
      <c r="E32426" s="96"/>
    </row>
    <row r="32427" hidden="1">
      <c r="E32427" s="96"/>
    </row>
    <row r="32428" hidden="1">
      <c r="E32428" s="96"/>
    </row>
    <row r="32429" hidden="1">
      <c r="E32429" s="96"/>
    </row>
    <row r="32430" hidden="1">
      <c r="E32430" s="96"/>
    </row>
    <row r="32431" hidden="1">
      <c r="E32431" s="96"/>
    </row>
    <row r="32432" hidden="1">
      <c r="E32432" s="96"/>
    </row>
    <row r="32433" hidden="1">
      <c r="E32433" s="96"/>
    </row>
    <row r="32434" hidden="1">
      <c r="E32434" s="96"/>
    </row>
    <row r="32435" hidden="1">
      <c r="E32435" s="96"/>
    </row>
    <row r="32436" hidden="1">
      <c r="E32436" s="96"/>
    </row>
    <row r="32437" hidden="1">
      <c r="E32437" s="96"/>
    </row>
    <row r="32438" hidden="1">
      <c r="E32438" s="96"/>
    </row>
    <row r="32439" hidden="1">
      <c r="E32439" s="96"/>
    </row>
    <row r="32440" hidden="1">
      <c r="E32440" s="96"/>
    </row>
    <row r="32441" hidden="1">
      <c r="E32441" s="96"/>
    </row>
    <row r="32442" hidden="1">
      <c r="E32442" s="96"/>
    </row>
    <row r="32443" hidden="1">
      <c r="E32443" s="96"/>
    </row>
    <row r="32444" hidden="1">
      <c r="E32444" s="96"/>
    </row>
    <row r="32445" hidden="1">
      <c r="E32445" s="96"/>
    </row>
    <row r="32446" hidden="1">
      <c r="E32446" s="96"/>
    </row>
    <row r="32447" hidden="1">
      <c r="E32447" s="96"/>
    </row>
    <row r="32448" hidden="1">
      <c r="E32448" s="96"/>
    </row>
    <row r="32449" hidden="1">
      <c r="E32449" s="96"/>
    </row>
    <row r="32450" hidden="1">
      <c r="E32450" s="96"/>
    </row>
    <row r="32451" hidden="1">
      <c r="E32451" s="96"/>
    </row>
    <row r="32452" hidden="1">
      <c r="E32452" s="96"/>
    </row>
    <row r="32453" hidden="1">
      <c r="E32453" s="96"/>
    </row>
    <row r="32454" hidden="1">
      <c r="E32454" s="96"/>
    </row>
    <row r="32455" hidden="1">
      <c r="E32455" s="96"/>
    </row>
    <row r="32456" hidden="1">
      <c r="E32456" s="96"/>
    </row>
    <row r="32457" hidden="1">
      <c r="E32457" s="96"/>
    </row>
    <row r="32458" hidden="1">
      <c r="E32458" s="96"/>
    </row>
    <row r="32459" hidden="1">
      <c r="E32459" s="96"/>
    </row>
    <row r="32460" hidden="1">
      <c r="E32460" s="96"/>
    </row>
    <row r="32461" hidden="1">
      <c r="E32461" s="96"/>
    </row>
    <row r="32462" hidden="1">
      <c r="E32462" s="96"/>
    </row>
    <row r="32463" hidden="1">
      <c r="E32463" s="96"/>
    </row>
    <row r="32464" hidden="1">
      <c r="E32464" s="96"/>
    </row>
    <row r="32465" hidden="1">
      <c r="E32465" s="96"/>
    </row>
    <row r="32466" hidden="1">
      <c r="E32466" s="96"/>
    </row>
    <row r="32467" hidden="1">
      <c r="E32467" s="96"/>
    </row>
    <row r="32468" hidden="1">
      <c r="E32468" s="96"/>
    </row>
    <row r="32469" hidden="1">
      <c r="E32469" s="96"/>
    </row>
    <row r="32470" hidden="1">
      <c r="E32470" s="96"/>
    </row>
    <row r="32471" hidden="1">
      <c r="E32471" s="96"/>
    </row>
    <row r="32472" hidden="1">
      <c r="E32472" s="96"/>
    </row>
    <row r="32473" hidden="1">
      <c r="E32473" s="96"/>
    </row>
    <row r="32474" hidden="1">
      <c r="E32474" s="96"/>
    </row>
    <row r="32475" hidden="1">
      <c r="E32475" s="96"/>
    </row>
    <row r="32476" hidden="1">
      <c r="E32476" s="96"/>
    </row>
    <row r="32477" hidden="1">
      <c r="E32477" s="96"/>
    </row>
    <row r="32478" hidden="1">
      <c r="E32478" s="96"/>
    </row>
    <row r="32479" hidden="1">
      <c r="E32479" s="96"/>
    </row>
    <row r="32480" hidden="1">
      <c r="E32480" s="96"/>
    </row>
    <row r="32481" hidden="1">
      <c r="E32481" s="96"/>
    </row>
    <row r="32482" hidden="1">
      <c r="E32482" s="96"/>
    </row>
    <row r="32483" hidden="1">
      <c r="E32483" s="96"/>
    </row>
    <row r="32484" hidden="1">
      <c r="E32484" s="96"/>
    </row>
    <row r="32485" hidden="1">
      <c r="E32485" s="96"/>
    </row>
    <row r="32486" hidden="1">
      <c r="E32486" s="96"/>
    </row>
    <row r="32487" hidden="1">
      <c r="E32487" s="96"/>
    </row>
    <row r="32488" hidden="1">
      <c r="E32488" s="96"/>
    </row>
    <row r="32489" hidden="1">
      <c r="E32489" s="96"/>
    </row>
    <row r="32490" hidden="1">
      <c r="E32490" s="96"/>
    </row>
    <row r="32491" hidden="1">
      <c r="E32491" s="96"/>
    </row>
    <row r="32492" hidden="1">
      <c r="E32492" s="96"/>
    </row>
    <row r="32493" hidden="1">
      <c r="E32493" s="96"/>
    </row>
    <row r="32494" hidden="1">
      <c r="E32494" s="96"/>
    </row>
    <row r="32495" hidden="1">
      <c r="E32495" s="96"/>
    </row>
    <row r="32496" hidden="1">
      <c r="E32496" s="96"/>
    </row>
    <row r="32497" hidden="1">
      <c r="E32497" s="96"/>
    </row>
    <row r="32498" hidden="1">
      <c r="E32498" s="96"/>
    </row>
    <row r="32499" hidden="1">
      <c r="E32499" s="96"/>
    </row>
    <row r="32500" hidden="1">
      <c r="E32500" s="96"/>
    </row>
    <row r="32501" hidden="1">
      <c r="E32501" s="96"/>
    </row>
    <row r="32502" hidden="1">
      <c r="E32502" s="96"/>
    </row>
    <row r="32503" hidden="1">
      <c r="E32503" s="96"/>
    </row>
    <row r="32504" hidden="1">
      <c r="E32504" s="96"/>
    </row>
    <row r="32505" hidden="1">
      <c r="E32505" s="96"/>
    </row>
    <row r="32506" hidden="1">
      <c r="E32506" s="96"/>
    </row>
    <row r="32507" hidden="1">
      <c r="E32507" s="96"/>
    </row>
    <row r="32508" hidden="1">
      <c r="E32508" s="96"/>
    </row>
    <row r="32509" hidden="1">
      <c r="E32509" s="96"/>
    </row>
    <row r="32510" hidden="1">
      <c r="E32510" s="96"/>
    </row>
    <row r="32511" hidden="1">
      <c r="E32511" s="96"/>
    </row>
    <row r="32512" hidden="1">
      <c r="E32512" s="96"/>
    </row>
    <row r="32513" hidden="1">
      <c r="E32513" s="96"/>
    </row>
    <row r="32514" hidden="1">
      <c r="E32514" s="96"/>
    </row>
    <row r="32515" hidden="1">
      <c r="E32515" s="96"/>
    </row>
    <row r="32516" hidden="1">
      <c r="E32516" s="96"/>
    </row>
    <row r="32517" hidden="1">
      <c r="E32517" s="96"/>
    </row>
    <row r="32518" hidden="1">
      <c r="E32518" s="96"/>
    </row>
    <row r="32519" hidden="1">
      <c r="E32519" s="96"/>
    </row>
    <row r="32520" hidden="1">
      <c r="E32520" s="96"/>
    </row>
    <row r="32521" hidden="1">
      <c r="E32521" s="96"/>
    </row>
    <row r="32522" hidden="1">
      <c r="E32522" s="96"/>
    </row>
    <row r="32523" hidden="1">
      <c r="E32523" s="96"/>
    </row>
    <row r="32524" hidden="1">
      <c r="E32524" s="96"/>
    </row>
    <row r="32525" hidden="1">
      <c r="E32525" s="96"/>
    </row>
    <row r="32526" hidden="1">
      <c r="E32526" s="96"/>
    </row>
    <row r="32527" hidden="1">
      <c r="E32527" s="96"/>
    </row>
    <row r="32528" hidden="1">
      <c r="E32528" s="96"/>
    </row>
    <row r="32529" hidden="1">
      <c r="E32529" s="96"/>
    </row>
    <row r="32530" hidden="1">
      <c r="E32530" s="96"/>
    </row>
    <row r="32531" hidden="1">
      <c r="E32531" s="96"/>
    </row>
    <row r="32532" hidden="1">
      <c r="E32532" s="96"/>
    </row>
    <row r="32533" hidden="1">
      <c r="E32533" s="96"/>
    </row>
    <row r="32534" hidden="1">
      <c r="E32534" s="96"/>
    </row>
    <row r="32535" hidden="1">
      <c r="E32535" s="96"/>
    </row>
    <row r="32536" hidden="1">
      <c r="E32536" s="96"/>
    </row>
    <row r="32537" hidden="1">
      <c r="E32537" s="96"/>
    </row>
    <row r="32538" hidden="1">
      <c r="E32538" s="96"/>
    </row>
    <row r="32539" hidden="1">
      <c r="E32539" s="96"/>
    </row>
    <row r="32540" hidden="1">
      <c r="E32540" s="96"/>
    </row>
    <row r="32541" hidden="1">
      <c r="E32541" s="96"/>
    </row>
    <row r="32542" hidden="1">
      <c r="E32542" s="96"/>
    </row>
    <row r="32543" hidden="1">
      <c r="E32543" s="96"/>
    </row>
    <row r="32544" hidden="1">
      <c r="E32544" s="96"/>
    </row>
    <row r="32545" hidden="1">
      <c r="E32545" s="96"/>
    </row>
    <row r="32546" hidden="1">
      <c r="E32546" s="96"/>
    </row>
    <row r="32547" hidden="1">
      <c r="E32547" s="96"/>
    </row>
    <row r="32548" hidden="1">
      <c r="E32548" s="96"/>
    </row>
    <row r="32549" hidden="1">
      <c r="E32549" s="96"/>
    </row>
    <row r="32550" hidden="1">
      <c r="E32550" s="96"/>
    </row>
    <row r="32551" hidden="1">
      <c r="E32551" s="96"/>
    </row>
    <row r="32552" hidden="1">
      <c r="E32552" s="96"/>
    </row>
    <row r="32553" hidden="1">
      <c r="E32553" s="96"/>
    </row>
    <row r="32554" hidden="1">
      <c r="E32554" s="96"/>
    </row>
    <row r="32555" hidden="1">
      <c r="E32555" s="96"/>
    </row>
    <row r="32556" hidden="1">
      <c r="E32556" s="96"/>
    </row>
    <row r="32557" hidden="1">
      <c r="E32557" s="96"/>
    </row>
    <row r="32558" hidden="1">
      <c r="E32558" s="96"/>
    </row>
    <row r="32559" hidden="1">
      <c r="E32559" s="96"/>
    </row>
    <row r="32560" hidden="1">
      <c r="E32560" s="96"/>
    </row>
    <row r="32561" hidden="1">
      <c r="E32561" s="96"/>
    </row>
    <row r="32562" hidden="1">
      <c r="E32562" s="96"/>
    </row>
    <row r="32563" hidden="1">
      <c r="E32563" s="96"/>
    </row>
    <row r="32564" hidden="1">
      <c r="E32564" s="96"/>
    </row>
    <row r="32565" hidden="1">
      <c r="E32565" s="96"/>
    </row>
    <row r="32566" hidden="1">
      <c r="E32566" s="96"/>
    </row>
    <row r="32567" hidden="1">
      <c r="E32567" s="96"/>
    </row>
    <row r="32568" hidden="1">
      <c r="E32568" s="96"/>
    </row>
    <row r="32569" hidden="1">
      <c r="E32569" s="96"/>
    </row>
    <row r="32570" hidden="1">
      <c r="E32570" s="96"/>
    </row>
    <row r="32571" hidden="1">
      <c r="E32571" s="96"/>
    </row>
    <row r="32572" hidden="1">
      <c r="E32572" s="96"/>
    </row>
    <row r="32573" hidden="1">
      <c r="E32573" s="96"/>
    </row>
    <row r="32574" hidden="1">
      <c r="E32574" s="96"/>
    </row>
    <row r="32575" hidden="1">
      <c r="E32575" s="96"/>
    </row>
    <row r="32576" hidden="1">
      <c r="E32576" s="96"/>
    </row>
    <row r="32577" hidden="1">
      <c r="E32577" s="96"/>
    </row>
    <row r="32578" hidden="1">
      <c r="E32578" s="96"/>
    </row>
    <row r="32579" hidden="1">
      <c r="E32579" s="96"/>
    </row>
    <row r="32580" hidden="1">
      <c r="E32580" s="96"/>
    </row>
    <row r="32581" hidden="1">
      <c r="E32581" s="96"/>
    </row>
    <row r="32582" hidden="1">
      <c r="E32582" s="96"/>
    </row>
    <row r="32583" hidden="1">
      <c r="E32583" s="96"/>
    </row>
    <row r="32584" hidden="1">
      <c r="E32584" s="96"/>
    </row>
    <row r="32585" hidden="1">
      <c r="E32585" s="96"/>
    </row>
    <row r="32586" hidden="1">
      <c r="E32586" s="96"/>
    </row>
    <row r="32587" hidden="1">
      <c r="E32587" s="96"/>
    </row>
    <row r="32588" hidden="1">
      <c r="E32588" s="96"/>
    </row>
    <row r="32589" hidden="1">
      <c r="E32589" s="96"/>
    </row>
    <row r="32590" hidden="1">
      <c r="E32590" s="96"/>
    </row>
    <row r="32591" hidden="1">
      <c r="E32591" s="96"/>
    </row>
    <row r="32592" hidden="1">
      <c r="E32592" s="96"/>
    </row>
    <row r="32593" hidden="1">
      <c r="E32593" s="96"/>
    </row>
    <row r="32594" hidden="1">
      <c r="E32594" s="96"/>
    </row>
    <row r="32595" hidden="1">
      <c r="E32595" s="96"/>
    </row>
    <row r="32596" hidden="1">
      <c r="E32596" s="96"/>
    </row>
    <row r="32597" hidden="1">
      <c r="E32597" s="96"/>
    </row>
    <row r="32598" hidden="1">
      <c r="E32598" s="96"/>
    </row>
    <row r="32599" hidden="1">
      <c r="E32599" s="96"/>
    </row>
    <row r="32600" hidden="1">
      <c r="E32600" s="96"/>
    </row>
    <row r="32601" hidden="1">
      <c r="E32601" s="96"/>
    </row>
    <row r="32602" hidden="1">
      <c r="E32602" s="96"/>
    </row>
    <row r="32603" hidden="1">
      <c r="E32603" s="96"/>
    </row>
    <row r="32604" hidden="1">
      <c r="E32604" s="96"/>
    </row>
    <row r="32605" hidden="1">
      <c r="E32605" s="96"/>
    </row>
    <row r="32606" hidden="1">
      <c r="E32606" s="96"/>
    </row>
    <row r="32607" hidden="1">
      <c r="E32607" s="96"/>
    </row>
    <row r="32608" hidden="1">
      <c r="E32608" s="96"/>
    </row>
    <row r="32609" hidden="1">
      <c r="E32609" s="96"/>
    </row>
    <row r="32610" hidden="1">
      <c r="E32610" s="96"/>
    </row>
    <row r="32611" hidden="1">
      <c r="E32611" s="96"/>
    </row>
    <row r="32612" hidden="1">
      <c r="E32612" s="96"/>
    </row>
    <row r="32613" hidden="1">
      <c r="E32613" s="96"/>
    </row>
    <row r="32614" hidden="1">
      <c r="E32614" s="96"/>
    </row>
    <row r="32615" hidden="1">
      <c r="E32615" s="96"/>
    </row>
    <row r="32616" hidden="1">
      <c r="E32616" s="96"/>
    </row>
    <row r="32617" hidden="1">
      <c r="E32617" s="96"/>
    </row>
    <row r="32618" hidden="1">
      <c r="E32618" s="96"/>
    </row>
    <row r="32619" hidden="1">
      <c r="E32619" s="96"/>
    </row>
    <row r="32620" hidden="1">
      <c r="E32620" s="96"/>
    </row>
    <row r="32621" hidden="1">
      <c r="E32621" s="96"/>
    </row>
    <row r="32622" hidden="1">
      <c r="E32622" s="96"/>
    </row>
    <row r="32623" hidden="1">
      <c r="E32623" s="96"/>
    </row>
    <row r="32624" hidden="1">
      <c r="E32624" s="96"/>
    </row>
    <row r="32625" hidden="1">
      <c r="E32625" s="96"/>
    </row>
    <row r="32626" hidden="1">
      <c r="E32626" s="96"/>
    </row>
    <row r="32627" hidden="1">
      <c r="E32627" s="96"/>
    </row>
    <row r="32628" hidden="1">
      <c r="E32628" s="96"/>
    </row>
    <row r="32629" hidden="1">
      <c r="E32629" s="96"/>
    </row>
    <row r="32630" hidden="1">
      <c r="E32630" s="96"/>
    </row>
    <row r="32631" hidden="1">
      <c r="E32631" s="96"/>
    </row>
    <row r="32632" hidden="1">
      <c r="E32632" s="96"/>
    </row>
    <row r="32633" hidden="1">
      <c r="E32633" s="96"/>
    </row>
    <row r="32634" hidden="1">
      <c r="E32634" s="96"/>
    </row>
    <row r="32635" hidden="1">
      <c r="E32635" s="96"/>
    </row>
    <row r="32636" hidden="1">
      <c r="E32636" s="96"/>
    </row>
    <row r="32637" hidden="1">
      <c r="E32637" s="96"/>
    </row>
    <row r="32638" hidden="1">
      <c r="E32638" s="96"/>
    </row>
    <row r="32639" hidden="1">
      <c r="E32639" s="96"/>
    </row>
    <row r="32640" hidden="1">
      <c r="E32640" s="96"/>
    </row>
    <row r="32641" hidden="1">
      <c r="E32641" s="96"/>
    </row>
    <row r="32642" hidden="1">
      <c r="E32642" s="96"/>
    </row>
    <row r="32643" hidden="1">
      <c r="E32643" s="96"/>
    </row>
    <row r="32644" hidden="1">
      <c r="E32644" s="96"/>
    </row>
    <row r="32645" hidden="1">
      <c r="E32645" s="96"/>
    </row>
    <row r="32646" hidden="1">
      <c r="E32646" s="96"/>
    </row>
    <row r="32647" hidden="1">
      <c r="E32647" s="96"/>
    </row>
    <row r="32648" hidden="1">
      <c r="E32648" s="96"/>
    </row>
    <row r="32649" hidden="1">
      <c r="E32649" s="96"/>
    </row>
    <row r="32650" hidden="1">
      <c r="E32650" s="96"/>
    </row>
    <row r="32651" hidden="1">
      <c r="E32651" s="96"/>
    </row>
    <row r="32652" hidden="1">
      <c r="E32652" s="96"/>
    </row>
    <row r="32653" hidden="1">
      <c r="E32653" s="96"/>
    </row>
    <row r="32654" hidden="1">
      <c r="E32654" s="96"/>
    </row>
    <row r="32655" hidden="1">
      <c r="E32655" s="96"/>
    </row>
    <row r="32656" hidden="1">
      <c r="E32656" s="96"/>
    </row>
    <row r="32657" hidden="1">
      <c r="E32657" s="96"/>
    </row>
    <row r="32658" hidden="1">
      <c r="E32658" s="96"/>
    </row>
    <row r="32659" hidden="1">
      <c r="E32659" s="96"/>
    </row>
    <row r="32660" hidden="1">
      <c r="E32660" s="96"/>
    </row>
    <row r="32661" hidden="1">
      <c r="E32661" s="96"/>
    </row>
    <row r="32662" hidden="1">
      <c r="E32662" s="96"/>
    </row>
    <row r="32663" hidden="1">
      <c r="E32663" s="96"/>
    </row>
    <row r="32664" hidden="1">
      <c r="E32664" s="96"/>
    </row>
    <row r="32665" hidden="1">
      <c r="E32665" s="96"/>
    </row>
    <row r="32666" hidden="1">
      <c r="E32666" s="96"/>
    </row>
    <row r="32667" hidden="1">
      <c r="E32667" s="96"/>
    </row>
    <row r="32668" hidden="1">
      <c r="E32668" s="96"/>
    </row>
    <row r="32669" hidden="1">
      <c r="E32669" s="96"/>
    </row>
    <row r="32670" hidden="1">
      <c r="E32670" s="96"/>
    </row>
    <row r="32671" hidden="1">
      <c r="E32671" s="96"/>
    </row>
    <row r="32672" hidden="1">
      <c r="E32672" s="96"/>
    </row>
    <row r="32673" hidden="1">
      <c r="E32673" s="96"/>
    </row>
    <row r="32674" hidden="1">
      <c r="E32674" s="96"/>
    </row>
    <row r="32675" hidden="1">
      <c r="E32675" s="96"/>
    </row>
    <row r="32676" hidden="1">
      <c r="E32676" s="96"/>
    </row>
    <row r="32677" hidden="1">
      <c r="E32677" s="96"/>
    </row>
    <row r="32678" hidden="1">
      <c r="E32678" s="96"/>
    </row>
    <row r="32679" hidden="1">
      <c r="E32679" s="96"/>
    </row>
    <row r="32680" hidden="1">
      <c r="E32680" s="96"/>
    </row>
    <row r="32681" hidden="1">
      <c r="E32681" s="96"/>
    </row>
    <row r="32682" hidden="1">
      <c r="E32682" s="96"/>
    </row>
    <row r="32683" hidden="1">
      <c r="E32683" s="96"/>
    </row>
    <row r="32684" hidden="1">
      <c r="E32684" s="96"/>
    </row>
    <row r="32685" hidden="1">
      <c r="E32685" s="96"/>
    </row>
    <row r="32686" hidden="1">
      <c r="E32686" s="96"/>
    </row>
    <row r="32687" hidden="1">
      <c r="E32687" s="96"/>
    </row>
    <row r="32688" hidden="1">
      <c r="E32688" s="96"/>
    </row>
    <row r="32689" hidden="1">
      <c r="E32689" s="96"/>
    </row>
    <row r="32690" hidden="1">
      <c r="E32690" s="96"/>
    </row>
    <row r="32691" hidden="1">
      <c r="E32691" s="96"/>
    </row>
    <row r="32692" hidden="1">
      <c r="E32692" s="96"/>
    </row>
    <row r="32693" hidden="1">
      <c r="E32693" s="96"/>
    </row>
    <row r="32694" hidden="1">
      <c r="E32694" s="96"/>
    </row>
    <row r="32695" hidden="1">
      <c r="E32695" s="96"/>
    </row>
    <row r="32696" hidden="1">
      <c r="E32696" s="96"/>
    </row>
    <row r="32697" hidden="1">
      <c r="E32697" s="96"/>
    </row>
    <row r="32698" hidden="1">
      <c r="E32698" s="96"/>
    </row>
    <row r="32699" hidden="1">
      <c r="E32699" s="96"/>
    </row>
    <row r="32700" hidden="1">
      <c r="E32700" s="96"/>
    </row>
    <row r="32701" hidden="1">
      <c r="E32701" s="96"/>
    </row>
    <row r="32702" hidden="1">
      <c r="E32702" s="96"/>
    </row>
    <row r="32703" hidden="1">
      <c r="E32703" s="96"/>
    </row>
    <row r="32704" hidden="1">
      <c r="E32704" s="96"/>
    </row>
    <row r="32705" hidden="1">
      <c r="E32705" s="96"/>
    </row>
    <row r="32706" hidden="1">
      <c r="E32706" s="96"/>
    </row>
    <row r="32707" hidden="1">
      <c r="E32707" s="96"/>
    </row>
    <row r="32708" hidden="1">
      <c r="E32708" s="96"/>
    </row>
    <row r="32709" hidden="1">
      <c r="E32709" s="96"/>
    </row>
    <row r="32710" hidden="1">
      <c r="E32710" s="96"/>
    </row>
    <row r="32711" hidden="1">
      <c r="E32711" s="96"/>
    </row>
    <row r="32712" hidden="1">
      <c r="E32712" s="96"/>
    </row>
    <row r="32713" hidden="1">
      <c r="E32713" s="96"/>
    </row>
    <row r="32714" hidden="1">
      <c r="E32714" s="96"/>
    </row>
    <row r="32715" hidden="1">
      <c r="E32715" s="96"/>
    </row>
    <row r="32716" hidden="1">
      <c r="E32716" s="96"/>
    </row>
    <row r="32717" hidden="1">
      <c r="E32717" s="96"/>
    </row>
    <row r="32718" hidden="1">
      <c r="E32718" s="96"/>
    </row>
    <row r="32719" hidden="1">
      <c r="E32719" s="96"/>
    </row>
    <row r="32720" hidden="1">
      <c r="E32720" s="96"/>
    </row>
    <row r="32721" hidden="1">
      <c r="E32721" s="96"/>
    </row>
    <row r="32722" hidden="1">
      <c r="E32722" s="96"/>
    </row>
    <row r="32723" hidden="1">
      <c r="E32723" s="96"/>
    </row>
    <row r="32724" hidden="1">
      <c r="E32724" s="96"/>
    </row>
    <row r="32725" hidden="1">
      <c r="E32725" s="96"/>
    </row>
    <row r="32726" hidden="1">
      <c r="E32726" s="96"/>
    </row>
    <row r="32727" hidden="1">
      <c r="E32727" s="96"/>
    </row>
    <row r="32728" hidden="1">
      <c r="E32728" s="96"/>
    </row>
    <row r="32729" hidden="1">
      <c r="E32729" s="96"/>
    </row>
    <row r="32730" hidden="1">
      <c r="E32730" s="96"/>
    </row>
    <row r="32731" hidden="1">
      <c r="E32731" s="96"/>
    </row>
    <row r="32732" hidden="1">
      <c r="E32732" s="96"/>
    </row>
    <row r="32733" hidden="1">
      <c r="E32733" s="96"/>
    </row>
    <row r="32734" hidden="1">
      <c r="E32734" s="96"/>
    </row>
    <row r="32735" hidden="1">
      <c r="E32735" s="96"/>
    </row>
    <row r="32736" hidden="1">
      <c r="E32736" s="96"/>
    </row>
    <row r="32737" hidden="1">
      <c r="E32737" s="96"/>
    </row>
    <row r="32738" hidden="1">
      <c r="E32738" s="96"/>
    </row>
    <row r="32739" hidden="1">
      <c r="E32739" s="96"/>
    </row>
    <row r="32740" hidden="1">
      <c r="E32740" s="96"/>
    </row>
    <row r="32741" hidden="1">
      <c r="E32741" s="96"/>
    </row>
    <row r="32742" hidden="1">
      <c r="E32742" s="96"/>
    </row>
    <row r="32743" hidden="1">
      <c r="E32743" s="96"/>
    </row>
    <row r="32744" hidden="1">
      <c r="E32744" s="96"/>
    </row>
    <row r="32745" hidden="1">
      <c r="E32745" s="96"/>
    </row>
    <row r="32746" hidden="1">
      <c r="E32746" s="96"/>
    </row>
    <row r="32747" hidden="1">
      <c r="E32747" s="96"/>
    </row>
    <row r="32748" hidden="1">
      <c r="E32748" s="96"/>
    </row>
    <row r="32749" hidden="1">
      <c r="E32749" s="96"/>
    </row>
    <row r="32750" hidden="1">
      <c r="E32750" s="96"/>
    </row>
    <row r="32751" hidden="1">
      <c r="E32751" s="96"/>
    </row>
    <row r="32752" hidden="1">
      <c r="E32752" s="96"/>
    </row>
    <row r="32753" hidden="1">
      <c r="E32753" s="96"/>
    </row>
    <row r="32754" hidden="1">
      <c r="E32754" s="96"/>
    </row>
    <row r="32755" hidden="1">
      <c r="E32755" s="96"/>
    </row>
    <row r="32756" hidden="1">
      <c r="E32756" s="96"/>
    </row>
    <row r="32757" hidden="1">
      <c r="E32757" s="96"/>
    </row>
    <row r="32758" hidden="1">
      <c r="E32758" s="96"/>
    </row>
    <row r="32759" hidden="1">
      <c r="E32759" s="96"/>
    </row>
    <row r="32760" hidden="1">
      <c r="E32760" s="96"/>
    </row>
    <row r="32761" hidden="1">
      <c r="E32761" s="96"/>
    </row>
    <row r="32762" hidden="1">
      <c r="E32762" s="96"/>
    </row>
    <row r="32763" hidden="1">
      <c r="E32763" s="96"/>
    </row>
    <row r="32764" hidden="1">
      <c r="E32764" s="96"/>
    </row>
    <row r="32765" hidden="1">
      <c r="E32765" s="96"/>
    </row>
    <row r="32766" hidden="1">
      <c r="E32766" s="96"/>
    </row>
    <row r="32767" hidden="1">
      <c r="E32767" s="96"/>
    </row>
    <row r="32768" hidden="1">
      <c r="E32768" s="96"/>
    </row>
    <row r="32769" hidden="1">
      <c r="E32769" s="96"/>
    </row>
    <row r="32770" hidden="1">
      <c r="E32770" s="96"/>
    </row>
    <row r="32771" hidden="1">
      <c r="E32771" s="96"/>
    </row>
    <row r="32772" hidden="1">
      <c r="E32772" s="96"/>
    </row>
    <row r="32773" hidden="1">
      <c r="E32773" s="96"/>
    </row>
    <row r="32774" hidden="1">
      <c r="E32774" s="96"/>
    </row>
    <row r="32775" hidden="1">
      <c r="E32775" s="96"/>
    </row>
    <row r="32776" hidden="1">
      <c r="E32776" s="96"/>
    </row>
    <row r="32777" hidden="1">
      <c r="E32777" s="96"/>
    </row>
    <row r="32778" hidden="1">
      <c r="E32778" s="96"/>
    </row>
    <row r="32779" hidden="1">
      <c r="E32779" s="96"/>
    </row>
    <row r="32780" hidden="1">
      <c r="E32780" s="96"/>
    </row>
    <row r="32781" hidden="1">
      <c r="E32781" s="96"/>
    </row>
    <row r="32782" hidden="1">
      <c r="E32782" s="96"/>
    </row>
    <row r="32783" hidden="1">
      <c r="E32783" s="96"/>
    </row>
    <row r="32784" hidden="1">
      <c r="E32784" s="96"/>
    </row>
    <row r="32785" hidden="1">
      <c r="E32785" s="96"/>
    </row>
    <row r="32786" hidden="1">
      <c r="E32786" s="96"/>
    </row>
    <row r="32787" hidden="1">
      <c r="E32787" s="96"/>
    </row>
    <row r="32788" hidden="1">
      <c r="E32788" s="96"/>
    </row>
    <row r="32789" hidden="1">
      <c r="E32789" s="96"/>
    </row>
    <row r="32790" hidden="1">
      <c r="E32790" s="96"/>
    </row>
    <row r="32791" hidden="1">
      <c r="E32791" s="96"/>
    </row>
    <row r="32792" hidden="1">
      <c r="E32792" s="96"/>
    </row>
    <row r="32793" hidden="1">
      <c r="E32793" s="96"/>
    </row>
    <row r="32794" hidden="1">
      <c r="E32794" s="96"/>
    </row>
    <row r="32795" hidden="1">
      <c r="E32795" s="96"/>
    </row>
    <row r="32796" hidden="1">
      <c r="E32796" s="96"/>
    </row>
    <row r="32797" hidden="1">
      <c r="E32797" s="96"/>
    </row>
    <row r="32798" hidden="1">
      <c r="E32798" s="96"/>
    </row>
    <row r="32799" hidden="1">
      <c r="E32799" s="96"/>
    </row>
    <row r="32800" hidden="1">
      <c r="E32800" s="96"/>
    </row>
    <row r="32801" hidden="1">
      <c r="E32801" s="96"/>
    </row>
    <row r="32802" hidden="1">
      <c r="E32802" s="96"/>
    </row>
    <row r="32803" hidden="1">
      <c r="E32803" s="96"/>
    </row>
    <row r="32804" hidden="1">
      <c r="E32804" s="96"/>
    </row>
    <row r="32805" hidden="1">
      <c r="E32805" s="96"/>
    </row>
    <row r="32806" hidden="1">
      <c r="E32806" s="96"/>
    </row>
    <row r="32807" hidden="1">
      <c r="E32807" s="96"/>
    </row>
    <row r="32808" hidden="1">
      <c r="E32808" s="96"/>
    </row>
    <row r="32809" hidden="1">
      <c r="E32809" s="96"/>
    </row>
    <row r="32810" hidden="1">
      <c r="E32810" s="96"/>
    </row>
    <row r="32811" hidden="1">
      <c r="E32811" s="96"/>
    </row>
    <row r="32812" hidden="1">
      <c r="E32812" s="96"/>
    </row>
    <row r="32813" hidden="1">
      <c r="E32813" s="96"/>
    </row>
    <row r="32814" hidden="1">
      <c r="E32814" s="96"/>
    </row>
    <row r="32815" hidden="1">
      <c r="E32815" s="96"/>
    </row>
    <row r="32816" hidden="1">
      <c r="E32816" s="96"/>
    </row>
    <row r="32817" hidden="1">
      <c r="E32817" s="96"/>
    </row>
    <row r="32818" hidden="1">
      <c r="E32818" s="96"/>
    </row>
    <row r="32819" hidden="1">
      <c r="E32819" s="96"/>
    </row>
    <row r="32820" hidden="1">
      <c r="E32820" s="96"/>
    </row>
    <row r="32821" hidden="1">
      <c r="E32821" s="96"/>
    </row>
    <row r="32822" hidden="1">
      <c r="E32822" s="96"/>
    </row>
    <row r="32823" hidden="1">
      <c r="E32823" s="96"/>
    </row>
    <row r="32824" hidden="1">
      <c r="E32824" s="96"/>
    </row>
    <row r="32825" hidden="1">
      <c r="E32825" s="96"/>
    </row>
    <row r="32826" hidden="1">
      <c r="E32826" s="96"/>
    </row>
    <row r="32827" hidden="1">
      <c r="E32827" s="96"/>
    </row>
    <row r="32828" hidden="1">
      <c r="E32828" s="96"/>
    </row>
    <row r="32829" hidden="1">
      <c r="E32829" s="96"/>
    </row>
    <row r="32830" hidden="1">
      <c r="E32830" s="96"/>
    </row>
    <row r="32831" hidden="1">
      <c r="E32831" s="96"/>
    </row>
    <row r="32832" hidden="1">
      <c r="E32832" s="96"/>
    </row>
    <row r="32833" hidden="1">
      <c r="E32833" s="96"/>
    </row>
    <row r="32834" hidden="1">
      <c r="E32834" s="96"/>
    </row>
    <row r="32835" hidden="1">
      <c r="E32835" s="96"/>
    </row>
    <row r="32836" hidden="1">
      <c r="E32836" s="96"/>
    </row>
    <row r="32837" hidden="1">
      <c r="E32837" s="96"/>
    </row>
    <row r="32838" hidden="1">
      <c r="E32838" s="96"/>
    </row>
    <row r="32839" hidden="1">
      <c r="E32839" s="96"/>
    </row>
    <row r="32840" hidden="1">
      <c r="E32840" s="96"/>
    </row>
    <row r="32841" hidden="1">
      <c r="E32841" s="96"/>
    </row>
    <row r="32842" hidden="1">
      <c r="E32842" s="96"/>
    </row>
    <row r="32843" hidden="1">
      <c r="E32843" s="96"/>
    </row>
    <row r="32844" hidden="1">
      <c r="E32844" s="96"/>
    </row>
    <row r="32845" hidden="1">
      <c r="E32845" s="96"/>
    </row>
    <row r="32846" hidden="1">
      <c r="E32846" s="96"/>
    </row>
    <row r="32847" hidden="1">
      <c r="E32847" s="96"/>
    </row>
    <row r="32848" hidden="1">
      <c r="E32848" s="96"/>
    </row>
    <row r="32849" hidden="1">
      <c r="E32849" s="96"/>
    </row>
    <row r="32850" hidden="1">
      <c r="E32850" s="96"/>
    </row>
    <row r="32851" hidden="1">
      <c r="E32851" s="96"/>
    </row>
    <row r="32852" hidden="1">
      <c r="E32852" s="96"/>
    </row>
    <row r="32853" hidden="1">
      <c r="E32853" s="96"/>
    </row>
    <row r="32854" hidden="1">
      <c r="E32854" s="96"/>
    </row>
    <row r="32855" hidden="1">
      <c r="E32855" s="96"/>
    </row>
    <row r="32856" hidden="1">
      <c r="E32856" s="96"/>
    </row>
    <row r="32857" hidden="1">
      <c r="E32857" s="96"/>
    </row>
    <row r="32858" hidden="1">
      <c r="E32858" s="96"/>
    </row>
    <row r="32859" hidden="1">
      <c r="E32859" s="96"/>
    </row>
    <row r="32860" hidden="1">
      <c r="E32860" s="96"/>
    </row>
    <row r="32861" hidden="1">
      <c r="E32861" s="96"/>
    </row>
    <row r="32862" hidden="1">
      <c r="E32862" s="96"/>
    </row>
    <row r="32863" hidden="1">
      <c r="E32863" s="96"/>
    </row>
    <row r="32864" hidden="1">
      <c r="E32864" s="96"/>
    </row>
    <row r="32865" hidden="1">
      <c r="E32865" s="96"/>
    </row>
    <row r="32866" hidden="1">
      <c r="E32866" s="96"/>
    </row>
    <row r="32867" hidden="1">
      <c r="E32867" s="96"/>
    </row>
    <row r="32868" hidden="1">
      <c r="E32868" s="96"/>
    </row>
    <row r="32869" hidden="1">
      <c r="E32869" s="96"/>
    </row>
    <row r="32870" hidden="1">
      <c r="E32870" s="96"/>
    </row>
    <row r="32871" hidden="1">
      <c r="E32871" s="96"/>
    </row>
    <row r="32872" hidden="1">
      <c r="E32872" s="96"/>
    </row>
    <row r="32873" hidden="1">
      <c r="E32873" s="96"/>
    </row>
    <row r="32874" hidden="1">
      <c r="E32874" s="96"/>
    </row>
    <row r="32875" hidden="1">
      <c r="E32875" s="96"/>
    </row>
    <row r="32876" hidden="1">
      <c r="E32876" s="96"/>
    </row>
    <row r="32877" hidden="1">
      <c r="E32877" s="96"/>
    </row>
    <row r="32878" hidden="1">
      <c r="E32878" s="96"/>
    </row>
    <row r="32879" hidden="1">
      <c r="E32879" s="96"/>
    </row>
    <row r="32880" hidden="1">
      <c r="E32880" s="96"/>
    </row>
    <row r="32881" hidden="1">
      <c r="E32881" s="96"/>
    </row>
    <row r="32882" hidden="1">
      <c r="E32882" s="96"/>
    </row>
    <row r="32883" hidden="1">
      <c r="E32883" s="96"/>
    </row>
    <row r="32884" hidden="1">
      <c r="E32884" s="96"/>
    </row>
    <row r="32885" hidden="1">
      <c r="E32885" s="96"/>
    </row>
    <row r="32886" hidden="1">
      <c r="E32886" s="96"/>
    </row>
    <row r="32887" hidden="1">
      <c r="E32887" s="96"/>
    </row>
    <row r="32888" hidden="1">
      <c r="E32888" s="96"/>
    </row>
    <row r="32889" hidden="1">
      <c r="E32889" s="96"/>
    </row>
    <row r="32890" hidden="1">
      <c r="E32890" s="96"/>
    </row>
    <row r="32891" hidden="1">
      <c r="E32891" s="96"/>
    </row>
    <row r="32892" hidden="1">
      <c r="E32892" s="96"/>
    </row>
    <row r="32893" hidden="1">
      <c r="E32893" s="96"/>
    </row>
    <row r="32894" hidden="1">
      <c r="E32894" s="96"/>
    </row>
    <row r="32895" hidden="1">
      <c r="E32895" s="96"/>
    </row>
    <row r="32896" hidden="1">
      <c r="E32896" s="96"/>
    </row>
    <row r="32897" hidden="1">
      <c r="E32897" s="96"/>
    </row>
    <row r="32898" hidden="1">
      <c r="E32898" s="96"/>
    </row>
    <row r="32899" hidden="1">
      <c r="E32899" s="96"/>
    </row>
    <row r="32900" hidden="1">
      <c r="E32900" s="96"/>
    </row>
    <row r="32901" hidden="1">
      <c r="E32901" s="96"/>
    </row>
    <row r="32902" hidden="1">
      <c r="E32902" s="96"/>
    </row>
    <row r="32903" hidden="1">
      <c r="E32903" s="96"/>
    </row>
    <row r="32904" hidden="1">
      <c r="E32904" s="96"/>
    </row>
    <row r="32905" hidden="1">
      <c r="E32905" s="96"/>
    </row>
    <row r="32906" hidden="1">
      <c r="E32906" s="96"/>
    </row>
    <row r="32907" hidden="1">
      <c r="E32907" s="96"/>
    </row>
    <row r="32908" hidden="1">
      <c r="E32908" s="96"/>
    </row>
    <row r="32909" hidden="1">
      <c r="E32909" s="96"/>
    </row>
    <row r="32910" hidden="1">
      <c r="E32910" s="96"/>
    </row>
    <row r="32911" hidden="1">
      <c r="E32911" s="96"/>
    </row>
    <row r="32912" hidden="1">
      <c r="E32912" s="96"/>
    </row>
    <row r="32913" hidden="1">
      <c r="E32913" s="96"/>
    </row>
    <row r="32914" hidden="1">
      <c r="E32914" s="96"/>
    </row>
    <row r="32915" hidden="1">
      <c r="E32915" s="96"/>
    </row>
    <row r="32916" hidden="1">
      <c r="E32916" s="96"/>
    </row>
    <row r="32917" hidden="1">
      <c r="E32917" s="96"/>
    </row>
    <row r="32918" hidden="1">
      <c r="E32918" s="96"/>
    </row>
    <row r="32919" hidden="1">
      <c r="E32919" s="96"/>
    </row>
    <row r="32920" hidden="1">
      <c r="E32920" s="96"/>
    </row>
    <row r="32921" hidden="1">
      <c r="E32921" s="96"/>
    </row>
    <row r="32922" hidden="1">
      <c r="E32922" s="96"/>
    </row>
    <row r="32923" hidden="1">
      <c r="E32923" s="96"/>
    </row>
    <row r="32924" hidden="1">
      <c r="E32924" s="96"/>
    </row>
    <row r="32925" hidden="1">
      <c r="E32925" s="96"/>
    </row>
    <row r="32926" hidden="1">
      <c r="E32926" s="96"/>
    </row>
    <row r="32927" hidden="1">
      <c r="E32927" s="96"/>
    </row>
    <row r="32928" hidden="1">
      <c r="E32928" s="96"/>
    </row>
    <row r="32929" hidden="1">
      <c r="E32929" s="96"/>
    </row>
    <row r="32930" hidden="1">
      <c r="E32930" s="96"/>
    </row>
    <row r="32931" hidden="1">
      <c r="E32931" s="96"/>
    </row>
    <row r="32932" hidden="1">
      <c r="E32932" s="96"/>
    </row>
    <row r="32933" hidden="1">
      <c r="E32933" s="96"/>
    </row>
    <row r="32934" hidden="1">
      <c r="E32934" s="96"/>
    </row>
    <row r="32935" hidden="1">
      <c r="E32935" s="96"/>
    </row>
    <row r="32936" hidden="1">
      <c r="E32936" s="96"/>
    </row>
    <row r="32937" hidden="1">
      <c r="E32937" s="96"/>
    </row>
    <row r="32938" hidden="1">
      <c r="E32938" s="96"/>
    </row>
    <row r="32939" hidden="1">
      <c r="E32939" s="96"/>
    </row>
    <row r="32940" hidden="1">
      <c r="E32940" s="96"/>
    </row>
    <row r="32941" hidden="1">
      <c r="E32941" s="96"/>
    </row>
    <row r="32942" hidden="1">
      <c r="E32942" s="96"/>
    </row>
    <row r="32943" hidden="1">
      <c r="E32943" s="96"/>
    </row>
    <row r="32944" hidden="1">
      <c r="E32944" s="96"/>
    </row>
    <row r="32945" hidden="1">
      <c r="E32945" s="96"/>
    </row>
    <row r="32946" hidden="1">
      <c r="E32946" s="96"/>
    </row>
    <row r="32947" hidden="1">
      <c r="E32947" s="96"/>
    </row>
    <row r="32948" hidden="1">
      <c r="E32948" s="96"/>
    </row>
    <row r="32949" hidden="1">
      <c r="E32949" s="96"/>
    </row>
    <row r="32950" hidden="1">
      <c r="E32950" s="96"/>
    </row>
    <row r="32951" hidden="1">
      <c r="E32951" s="96"/>
    </row>
    <row r="32952" hidden="1">
      <c r="E32952" s="96"/>
    </row>
    <row r="32953" hidden="1">
      <c r="E32953" s="96"/>
    </row>
    <row r="32954" hidden="1">
      <c r="E32954" s="96"/>
    </row>
    <row r="32955" hidden="1">
      <c r="E32955" s="96"/>
    </row>
    <row r="32956" hidden="1">
      <c r="E32956" s="96"/>
    </row>
    <row r="32957" hidden="1">
      <c r="E32957" s="96"/>
    </row>
    <row r="32958" hidden="1">
      <c r="E32958" s="96"/>
    </row>
    <row r="32959" hidden="1">
      <c r="E32959" s="96"/>
    </row>
    <row r="32960" hidden="1">
      <c r="E32960" s="96"/>
    </row>
    <row r="32961" hidden="1">
      <c r="E32961" s="96"/>
    </row>
    <row r="32962" hidden="1">
      <c r="E32962" s="96"/>
    </row>
    <row r="32963" hidden="1">
      <c r="E32963" s="96"/>
    </row>
    <row r="32964" hidden="1">
      <c r="E32964" s="96"/>
    </row>
    <row r="32965" hidden="1">
      <c r="E32965" s="96"/>
    </row>
    <row r="32966" hidden="1">
      <c r="E32966" s="96"/>
    </row>
    <row r="32967" hidden="1">
      <c r="E32967" s="96"/>
    </row>
    <row r="32968" hidden="1">
      <c r="E32968" s="96"/>
    </row>
    <row r="32969" hidden="1">
      <c r="E32969" s="96"/>
    </row>
    <row r="32970" hidden="1">
      <c r="E32970" s="96"/>
    </row>
    <row r="32971" hidden="1">
      <c r="E32971" s="96"/>
    </row>
    <row r="32972" hidden="1">
      <c r="E32972" s="96"/>
    </row>
    <row r="32973" hidden="1">
      <c r="E32973" s="96"/>
    </row>
    <row r="32974" hidden="1">
      <c r="E32974" s="96"/>
    </row>
    <row r="32975" hidden="1">
      <c r="E32975" s="96"/>
    </row>
    <row r="32976" hidden="1">
      <c r="E32976" s="96"/>
    </row>
    <row r="32977" hidden="1">
      <c r="E32977" s="96"/>
    </row>
    <row r="32978" hidden="1">
      <c r="E32978" s="96"/>
    </row>
    <row r="32979" hidden="1">
      <c r="E32979" s="96"/>
    </row>
    <row r="32980" hidden="1">
      <c r="E32980" s="96"/>
    </row>
    <row r="32981" hidden="1">
      <c r="E32981" s="96"/>
    </row>
    <row r="32982" hidden="1">
      <c r="E32982" s="96"/>
    </row>
    <row r="32983" hidden="1">
      <c r="E32983" s="96"/>
    </row>
    <row r="32984" hidden="1">
      <c r="E32984" s="96"/>
    </row>
    <row r="32985" hidden="1">
      <c r="E32985" s="96"/>
    </row>
    <row r="32986" hidden="1">
      <c r="E32986" s="96"/>
    </row>
    <row r="32987" hidden="1">
      <c r="E32987" s="96"/>
    </row>
    <row r="32988" hidden="1">
      <c r="E32988" s="96"/>
    </row>
    <row r="32989" hidden="1">
      <c r="E32989" s="96"/>
    </row>
    <row r="32990" hidden="1">
      <c r="E32990" s="96"/>
    </row>
    <row r="32991" hidden="1">
      <c r="E32991" s="96"/>
    </row>
    <row r="32992" hidden="1">
      <c r="E32992" s="96"/>
    </row>
    <row r="32993" hidden="1">
      <c r="E32993" s="96"/>
    </row>
    <row r="32994" hidden="1">
      <c r="E32994" s="96"/>
    </row>
    <row r="32995" hidden="1">
      <c r="E32995" s="96"/>
    </row>
    <row r="32996" hidden="1">
      <c r="E32996" s="96"/>
    </row>
    <row r="32997" hidden="1">
      <c r="E32997" s="96"/>
    </row>
    <row r="32998" hidden="1">
      <c r="E32998" s="96"/>
    </row>
    <row r="32999" hidden="1">
      <c r="E32999" s="96"/>
    </row>
    <row r="33000" hidden="1">
      <c r="E33000" s="96"/>
    </row>
    <row r="33001" hidden="1">
      <c r="E33001" s="96"/>
    </row>
    <row r="33002" hidden="1">
      <c r="E33002" s="96"/>
    </row>
    <row r="33003" hidden="1">
      <c r="E33003" s="96"/>
    </row>
    <row r="33004" hidden="1">
      <c r="E33004" s="96"/>
    </row>
    <row r="33005" hidden="1">
      <c r="E33005" s="96"/>
    </row>
    <row r="33006" hidden="1">
      <c r="E33006" s="96"/>
    </row>
    <row r="33007" hidden="1">
      <c r="E33007" s="96"/>
    </row>
    <row r="33008" hidden="1">
      <c r="E33008" s="96"/>
    </row>
    <row r="33009" hidden="1">
      <c r="E33009" s="96"/>
    </row>
    <row r="33010" hidden="1">
      <c r="E33010" s="96"/>
    </row>
    <row r="33011" hidden="1">
      <c r="E33011" s="96"/>
    </row>
    <row r="33012" hidden="1">
      <c r="E33012" s="96"/>
    </row>
    <row r="33013" hidden="1">
      <c r="E33013" s="96"/>
    </row>
    <row r="33014" hidden="1">
      <c r="E33014" s="96"/>
    </row>
    <row r="33015" hidden="1">
      <c r="E33015" s="96"/>
    </row>
    <row r="33016" hidden="1">
      <c r="E33016" s="96"/>
    </row>
    <row r="33017" hidden="1">
      <c r="E33017" s="96"/>
    </row>
    <row r="33018" hidden="1">
      <c r="E33018" s="96"/>
    </row>
    <row r="33019" hidden="1">
      <c r="E33019" s="96"/>
    </row>
    <row r="33020" hidden="1">
      <c r="E33020" s="96"/>
    </row>
    <row r="33021" hidden="1">
      <c r="E33021" s="96"/>
    </row>
    <row r="33022" hidden="1">
      <c r="E33022" s="96"/>
    </row>
    <row r="33023" hidden="1">
      <c r="E33023" s="96"/>
    </row>
    <row r="33024" hidden="1">
      <c r="E33024" s="96"/>
    </row>
    <row r="33025" hidden="1">
      <c r="E33025" s="96"/>
    </row>
    <row r="33026" hidden="1">
      <c r="E33026" s="96"/>
    </row>
    <row r="33027" hidden="1">
      <c r="E33027" s="96"/>
    </row>
    <row r="33028" hidden="1">
      <c r="E33028" s="96"/>
    </row>
    <row r="33029" hidden="1">
      <c r="E33029" s="96"/>
    </row>
    <row r="33030" hidden="1">
      <c r="E33030" s="96"/>
    </row>
    <row r="33031" hidden="1">
      <c r="E33031" s="96"/>
    </row>
    <row r="33032" hidden="1">
      <c r="E33032" s="96"/>
    </row>
    <row r="33033" hidden="1">
      <c r="E33033" s="96"/>
    </row>
    <row r="33034" hidden="1">
      <c r="E33034" s="96"/>
    </row>
    <row r="33035" hidden="1">
      <c r="E33035" s="96"/>
    </row>
    <row r="33036" hidden="1">
      <c r="E33036" s="96"/>
    </row>
    <row r="33037" hidden="1">
      <c r="E33037" s="96"/>
    </row>
    <row r="33038" hidden="1">
      <c r="E33038" s="96"/>
    </row>
    <row r="33039" hidden="1">
      <c r="E33039" s="96"/>
    </row>
    <row r="33040" hidden="1">
      <c r="E33040" s="96"/>
    </row>
    <row r="33041" hidden="1">
      <c r="E33041" s="96"/>
    </row>
    <row r="33042" hidden="1">
      <c r="E33042" s="96"/>
    </row>
    <row r="33043" hidden="1">
      <c r="E33043" s="96"/>
    </row>
    <row r="33044" hidden="1">
      <c r="E33044" s="96"/>
    </row>
    <row r="33045" hidden="1">
      <c r="E33045" s="96"/>
    </row>
    <row r="33046" hidden="1">
      <c r="E33046" s="96"/>
    </row>
    <row r="33047" hidden="1">
      <c r="E33047" s="96"/>
    </row>
    <row r="33048" hidden="1">
      <c r="E33048" s="96"/>
    </row>
    <row r="33049" hidden="1">
      <c r="E33049" s="96"/>
    </row>
    <row r="33050" hidden="1">
      <c r="E33050" s="96"/>
    </row>
    <row r="33051" hidden="1">
      <c r="E33051" s="96"/>
    </row>
    <row r="33052" hidden="1">
      <c r="E33052" s="96"/>
    </row>
    <row r="33053" hidden="1">
      <c r="E33053" s="96"/>
    </row>
    <row r="33054" hidden="1">
      <c r="E33054" s="96"/>
    </row>
    <row r="33055" hidden="1">
      <c r="E33055" s="96"/>
    </row>
    <row r="33056" hidden="1">
      <c r="E33056" s="96"/>
    </row>
    <row r="33057" hidden="1">
      <c r="E33057" s="96"/>
    </row>
    <row r="33058" hidden="1">
      <c r="E33058" s="96"/>
    </row>
    <row r="33059" hidden="1">
      <c r="E33059" s="96"/>
    </row>
    <row r="33060" hidden="1">
      <c r="E33060" s="96"/>
    </row>
    <row r="33061" hidden="1">
      <c r="E33061" s="96"/>
    </row>
    <row r="33062" hidden="1">
      <c r="E33062" s="96"/>
    </row>
    <row r="33063" hidden="1">
      <c r="E33063" s="96"/>
    </row>
    <row r="33064" hidden="1">
      <c r="E33064" s="96"/>
    </row>
    <row r="33065" hidden="1">
      <c r="E33065" s="96"/>
    </row>
    <row r="33066" hidden="1">
      <c r="E33066" s="96"/>
    </row>
    <row r="33067" hidden="1">
      <c r="E33067" s="96"/>
    </row>
    <row r="33068" hidden="1">
      <c r="E33068" s="96"/>
    </row>
    <row r="33069" hidden="1">
      <c r="E33069" s="96"/>
    </row>
    <row r="33070" hidden="1">
      <c r="E33070" s="96"/>
    </row>
    <row r="33071" hidden="1">
      <c r="E33071" s="96"/>
    </row>
    <row r="33072" hidden="1">
      <c r="E33072" s="96"/>
    </row>
    <row r="33073" hidden="1">
      <c r="E33073" s="96"/>
    </row>
    <row r="33074" hidden="1">
      <c r="E33074" s="96"/>
    </row>
    <row r="33075" hidden="1">
      <c r="E33075" s="96"/>
    </row>
    <row r="33076" hidden="1">
      <c r="E33076" s="96"/>
    </row>
    <row r="33077" hidden="1">
      <c r="E33077" s="96"/>
    </row>
    <row r="33078" hidden="1">
      <c r="E33078" s="96"/>
    </row>
    <row r="33079" hidden="1">
      <c r="E33079" s="96"/>
    </row>
    <row r="33080" hidden="1">
      <c r="E33080" s="96"/>
    </row>
    <row r="33081" hidden="1">
      <c r="E33081" s="96"/>
    </row>
    <row r="33082" hidden="1">
      <c r="E33082" s="96"/>
    </row>
    <row r="33083" hidden="1">
      <c r="E33083" s="96"/>
    </row>
    <row r="33084" hidden="1">
      <c r="E33084" s="96"/>
    </row>
    <row r="33085" hidden="1">
      <c r="E33085" s="96"/>
    </row>
    <row r="33086" hidden="1">
      <c r="E33086" s="96"/>
    </row>
    <row r="33087" hidden="1">
      <c r="E33087" s="96"/>
    </row>
    <row r="33088" hidden="1">
      <c r="E33088" s="96"/>
    </row>
    <row r="33089" hidden="1">
      <c r="E33089" s="96"/>
    </row>
    <row r="33090" hidden="1">
      <c r="E33090" s="96"/>
    </row>
    <row r="33091" hidden="1">
      <c r="E33091" s="96"/>
    </row>
    <row r="33092" hidden="1">
      <c r="E33092" s="96"/>
    </row>
    <row r="33093" hidden="1">
      <c r="E33093" s="96"/>
    </row>
    <row r="33094" hidden="1">
      <c r="E33094" s="96"/>
    </row>
    <row r="33095" hidden="1">
      <c r="E33095" s="96"/>
    </row>
    <row r="33096" hidden="1">
      <c r="E33096" s="96"/>
    </row>
    <row r="33097" hidden="1">
      <c r="E33097" s="96"/>
    </row>
    <row r="33098" hidden="1">
      <c r="E33098" s="96"/>
    </row>
    <row r="33099" hidden="1">
      <c r="E33099" s="96"/>
    </row>
    <row r="33100" hidden="1">
      <c r="E33100" s="96"/>
    </row>
    <row r="33101" hidden="1">
      <c r="E33101" s="96"/>
    </row>
    <row r="33102" hidden="1">
      <c r="E33102" s="96"/>
    </row>
    <row r="33103" hidden="1">
      <c r="E33103" s="96"/>
    </row>
    <row r="33104" hidden="1">
      <c r="E33104" s="96"/>
    </row>
    <row r="33105" hidden="1">
      <c r="E33105" s="96"/>
    </row>
    <row r="33106" hidden="1">
      <c r="E33106" s="96"/>
    </row>
    <row r="33107" hidden="1">
      <c r="E33107" s="96"/>
    </row>
    <row r="33108" hidden="1">
      <c r="E33108" s="96"/>
    </row>
    <row r="33109" hidden="1">
      <c r="E33109" s="96"/>
    </row>
    <row r="33110" hidden="1">
      <c r="E33110" s="96"/>
    </row>
    <row r="33111" hidden="1">
      <c r="E33111" s="96"/>
    </row>
    <row r="33112" hidden="1">
      <c r="E33112" s="96"/>
    </row>
    <row r="33113" hidden="1">
      <c r="E33113" s="96"/>
    </row>
    <row r="33114" hidden="1">
      <c r="E33114" s="96"/>
    </row>
    <row r="33115" hidden="1">
      <c r="E33115" s="96"/>
    </row>
    <row r="33116" hidden="1">
      <c r="E33116" s="96"/>
    </row>
    <row r="33117" hidden="1">
      <c r="E33117" s="96"/>
    </row>
    <row r="33118" hidden="1">
      <c r="E33118" s="96"/>
    </row>
    <row r="33119" hidden="1">
      <c r="E33119" s="96"/>
    </row>
    <row r="33120" hidden="1">
      <c r="E33120" s="96"/>
    </row>
    <row r="33121" hidden="1">
      <c r="E33121" s="96"/>
    </row>
    <row r="33122" hidden="1">
      <c r="E33122" s="96"/>
    </row>
    <row r="33123" hidden="1">
      <c r="E33123" s="96"/>
    </row>
    <row r="33124" hidden="1">
      <c r="E33124" s="96"/>
    </row>
    <row r="33125" hidden="1">
      <c r="E33125" s="96"/>
    </row>
    <row r="33126" hidden="1">
      <c r="E33126" s="96"/>
    </row>
    <row r="33127" hidden="1">
      <c r="E33127" s="96"/>
    </row>
    <row r="33128" hidden="1">
      <c r="E33128" s="96"/>
    </row>
    <row r="33129" hidden="1">
      <c r="E33129" s="96"/>
    </row>
    <row r="33130" hidden="1">
      <c r="E33130" s="96"/>
    </row>
    <row r="33131" hidden="1">
      <c r="E33131" s="96"/>
    </row>
    <row r="33132" hidden="1">
      <c r="E33132" s="96"/>
    </row>
    <row r="33133" hidden="1">
      <c r="E33133" s="96"/>
    </row>
    <row r="33134" hidden="1">
      <c r="E33134" s="96"/>
    </row>
    <row r="33135" hidden="1">
      <c r="E33135" s="96"/>
    </row>
    <row r="33136" hidden="1">
      <c r="E33136" s="96"/>
    </row>
    <row r="33137" hidden="1">
      <c r="E33137" s="96"/>
    </row>
    <row r="33138" hidden="1">
      <c r="E33138" s="96"/>
    </row>
    <row r="33139" hidden="1">
      <c r="E33139" s="96"/>
    </row>
    <row r="33140" hidden="1">
      <c r="E33140" s="96"/>
    </row>
    <row r="33141" hidden="1">
      <c r="E33141" s="96"/>
    </row>
    <row r="33142" hidden="1">
      <c r="E33142" s="96"/>
    </row>
    <row r="33143" hidden="1">
      <c r="E33143" s="96"/>
    </row>
    <row r="33144" hidden="1">
      <c r="E33144" s="96"/>
    </row>
    <row r="33145" hidden="1">
      <c r="E33145" s="96"/>
    </row>
    <row r="33146" hidden="1">
      <c r="E33146" s="96"/>
    </row>
    <row r="33147" hidden="1">
      <c r="E33147" s="96"/>
    </row>
    <row r="33148" hidden="1">
      <c r="E33148" s="96"/>
    </row>
    <row r="33149" hidden="1">
      <c r="E33149" s="96"/>
    </row>
    <row r="33150" hidden="1">
      <c r="E33150" s="96"/>
    </row>
    <row r="33151" hidden="1">
      <c r="E33151" s="96"/>
    </row>
    <row r="33152" hidden="1">
      <c r="E33152" s="96"/>
    </row>
    <row r="33153" hidden="1">
      <c r="E33153" s="96"/>
    </row>
    <row r="33154" hidden="1">
      <c r="E33154" s="96"/>
    </row>
    <row r="33155" hidden="1">
      <c r="E33155" s="96"/>
    </row>
    <row r="33156" hidden="1">
      <c r="E33156" s="96"/>
    </row>
    <row r="33157" hidden="1">
      <c r="E33157" s="96"/>
    </row>
    <row r="33158" hidden="1">
      <c r="E33158" s="96"/>
    </row>
    <row r="33159" hidden="1">
      <c r="E33159" s="96"/>
    </row>
    <row r="33160" hidden="1">
      <c r="E33160" s="96"/>
    </row>
    <row r="33161" hidden="1">
      <c r="E33161" s="96"/>
    </row>
    <row r="33162" hidden="1">
      <c r="E33162" s="96"/>
    </row>
    <row r="33163" hidden="1">
      <c r="E33163" s="96"/>
    </row>
    <row r="33164" hidden="1">
      <c r="E33164" s="96"/>
    </row>
    <row r="33165" hidden="1">
      <c r="E33165" s="96"/>
    </row>
    <row r="33166" hidden="1">
      <c r="E33166" s="96"/>
    </row>
    <row r="33167" hidden="1">
      <c r="E33167" s="96"/>
    </row>
    <row r="33168" hidden="1">
      <c r="E33168" s="96"/>
    </row>
    <row r="33169" hidden="1">
      <c r="E33169" s="96"/>
    </row>
    <row r="33170" hidden="1">
      <c r="E33170" s="96"/>
    </row>
    <row r="33171" hidden="1">
      <c r="E33171" s="96"/>
    </row>
    <row r="33172" hidden="1">
      <c r="E33172" s="96"/>
    </row>
    <row r="33173" hidden="1">
      <c r="E33173" s="96"/>
    </row>
    <row r="33174" hidden="1">
      <c r="E33174" s="96"/>
    </row>
    <row r="33175" hidden="1">
      <c r="E33175" s="96"/>
    </row>
    <row r="33176" hidden="1">
      <c r="E33176" s="96"/>
    </row>
    <row r="33177" hidden="1">
      <c r="E33177" s="96"/>
    </row>
    <row r="33178" hidden="1">
      <c r="E33178" s="96"/>
    </row>
    <row r="33179" hidden="1">
      <c r="E33179" s="96"/>
    </row>
    <row r="33180" hidden="1">
      <c r="E33180" s="96"/>
    </row>
    <row r="33181" hidden="1">
      <c r="E33181" s="96"/>
    </row>
    <row r="33182" hidden="1">
      <c r="E33182" s="96"/>
    </row>
    <row r="33183" hidden="1">
      <c r="E33183" s="96"/>
    </row>
    <row r="33184" hidden="1">
      <c r="E33184" s="96"/>
    </row>
    <row r="33185" hidden="1">
      <c r="E33185" s="96"/>
    </row>
    <row r="33186" hidden="1">
      <c r="E33186" s="96"/>
    </row>
    <row r="33187" hidden="1">
      <c r="E33187" s="96"/>
    </row>
    <row r="33188" hidden="1">
      <c r="E33188" s="96"/>
    </row>
    <row r="33189" hidden="1">
      <c r="E33189" s="96"/>
    </row>
    <row r="33190" hidden="1">
      <c r="E33190" s="96"/>
    </row>
    <row r="33191" hidden="1">
      <c r="E33191" s="96"/>
    </row>
    <row r="33192" hidden="1">
      <c r="E33192" s="96"/>
    </row>
    <row r="33193" hidden="1">
      <c r="E33193" s="96"/>
    </row>
    <row r="33194" hidden="1">
      <c r="E33194" s="96"/>
    </row>
    <row r="33195" hidden="1">
      <c r="E33195" s="96"/>
    </row>
    <row r="33196" hidden="1">
      <c r="E33196" s="96"/>
    </row>
    <row r="33197" hidden="1">
      <c r="E33197" s="96"/>
    </row>
    <row r="33198" hidden="1">
      <c r="E33198" s="96"/>
    </row>
    <row r="33199" hidden="1">
      <c r="E33199" s="96"/>
    </row>
    <row r="33200" hidden="1">
      <c r="E33200" s="96"/>
    </row>
    <row r="33201" hidden="1">
      <c r="E33201" s="96"/>
    </row>
    <row r="33202" hidden="1">
      <c r="E33202" s="96"/>
    </row>
    <row r="33203" hidden="1">
      <c r="E33203" s="96"/>
    </row>
    <row r="33204" hidden="1">
      <c r="E33204" s="96"/>
    </row>
    <row r="33205" hidden="1">
      <c r="E33205" s="96"/>
    </row>
    <row r="33206" hidden="1">
      <c r="E33206" s="96"/>
    </row>
    <row r="33207" hidden="1">
      <c r="E33207" s="96"/>
    </row>
    <row r="33208" hidden="1">
      <c r="E33208" s="96"/>
    </row>
    <row r="33209" hidden="1">
      <c r="E33209" s="96"/>
    </row>
    <row r="33210" hidden="1">
      <c r="E33210" s="96"/>
    </row>
    <row r="33211" hidden="1">
      <c r="E33211" s="96"/>
    </row>
    <row r="33212" hidden="1">
      <c r="E33212" s="96"/>
    </row>
    <row r="33213" hidden="1">
      <c r="E33213" s="96"/>
    </row>
    <row r="33214" hidden="1">
      <c r="E33214" s="96"/>
    </row>
    <row r="33215" hidden="1">
      <c r="E33215" s="96"/>
    </row>
    <row r="33216" hidden="1">
      <c r="E33216" s="96"/>
    </row>
    <row r="33217" hidden="1">
      <c r="E33217" s="96"/>
    </row>
    <row r="33218" hidden="1">
      <c r="E33218" s="96"/>
    </row>
    <row r="33219" hidden="1">
      <c r="E33219" s="96"/>
    </row>
    <row r="33220" hidden="1">
      <c r="E33220" s="96"/>
    </row>
    <row r="33221" hidden="1">
      <c r="E33221" s="96"/>
    </row>
    <row r="33222" hidden="1">
      <c r="E33222" s="96"/>
    </row>
    <row r="33223" hidden="1">
      <c r="E33223" s="96"/>
    </row>
    <row r="33224" hidden="1">
      <c r="E33224" s="96"/>
    </row>
    <row r="33225" hidden="1">
      <c r="E33225" s="96"/>
    </row>
    <row r="33226" hidden="1">
      <c r="E33226" s="96"/>
    </row>
    <row r="33227" hidden="1">
      <c r="E33227" s="96"/>
    </row>
    <row r="33228" hidden="1">
      <c r="E33228" s="96"/>
    </row>
    <row r="33229" hidden="1">
      <c r="E33229" s="96"/>
    </row>
    <row r="33230" hidden="1">
      <c r="E33230" s="96"/>
    </row>
    <row r="33231" hidden="1">
      <c r="E33231" s="96"/>
    </row>
    <row r="33232" hidden="1">
      <c r="E33232" s="96"/>
    </row>
    <row r="33233" hidden="1">
      <c r="E33233" s="96"/>
    </row>
    <row r="33234" hidden="1">
      <c r="E33234" s="96"/>
    </row>
    <row r="33235" hidden="1">
      <c r="E33235" s="96"/>
    </row>
    <row r="33236" hidden="1">
      <c r="E33236" s="96"/>
    </row>
    <row r="33237" hidden="1">
      <c r="E33237" s="96"/>
    </row>
    <row r="33238" hidden="1">
      <c r="E33238" s="96"/>
    </row>
    <row r="33239" hidden="1">
      <c r="E33239" s="96"/>
    </row>
    <row r="33240" hidden="1">
      <c r="E33240" s="96"/>
    </row>
    <row r="33241" hidden="1">
      <c r="E33241" s="96"/>
    </row>
    <row r="33242" hidden="1">
      <c r="E33242" s="96"/>
    </row>
    <row r="33243" hidden="1">
      <c r="E33243" s="96"/>
    </row>
    <row r="33244" hidden="1">
      <c r="E33244" s="96"/>
    </row>
    <row r="33245" hidden="1">
      <c r="E33245" s="96"/>
    </row>
    <row r="33246" hidden="1">
      <c r="E33246" s="96"/>
    </row>
    <row r="33247" hidden="1">
      <c r="E33247" s="96"/>
    </row>
    <row r="33248" hidden="1">
      <c r="E33248" s="96"/>
    </row>
    <row r="33249" hidden="1">
      <c r="E33249" s="96"/>
    </row>
    <row r="33250" hidden="1">
      <c r="E33250" s="96"/>
    </row>
    <row r="33251" hidden="1">
      <c r="E33251" s="96"/>
    </row>
    <row r="33252" hidden="1">
      <c r="E33252" s="96"/>
    </row>
    <row r="33253" hidden="1">
      <c r="E33253" s="96"/>
    </row>
    <row r="33254" hidden="1">
      <c r="E33254" s="96"/>
    </row>
    <row r="33255" hidden="1">
      <c r="E33255" s="96"/>
    </row>
    <row r="33256" hidden="1">
      <c r="E33256" s="96"/>
    </row>
    <row r="33257" hidden="1">
      <c r="E33257" s="96"/>
    </row>
    <row r="33258" hidden="1">
      <c r="E33258" s="96"/>
    </row>
    <row r="33259" hidden="1">
      <c r="E33259" s="96"/>
    </row>
    <row r="33260" hidden="1">
      <c r="E33260" s="96"/>
    </row>
    <row r="33261" hidden="1">
      <c r="E33261" s="96"/>
    </row>
    <row r="33262" hidden="1">
      <c r="E33262" s="96"/>
    </row>
    <row r="33263" hidden="1">
      <c r="E33263" s="96"/>
    </row>
    <row r="33264" hidden="1">
      <c r="E33264" s="96"/>
    </row>
    <row r="33265" hidden="1">
      <c r="E33265" s="96"/>
    </row>
    <row r="33266" hidden="1">
      <c r="E33266" s="96"/>
    </row>
    <row r="33267" hidden="1">
      <c r="E33267" s="96"/>
    </row>
    <row r="33268" hidden="1">
      <c r="E33268" s="96"/>
    </row>
    <row r="33269" hidden="1">
      <c r="E33269" s="96"/>
    </row>
    <row r="33270" hidden="1">
      <c r="E33270" s="96"/>
    </row>
    <row r="33271" hidden="1">
      <c r="E33271" s="96"/>
    </row>
    <row r="33272" hidden="1">
      <c r="E33272" s="96"/>
    </row>
    <row r="33273" hidden="1">
      <c r="E33273" s="96"/>
    </row>
    <row r="33274" hidden="1">
      <c r="E33274" s="96"/>
    </row>
    <row r="33275" hidden="1">
      <c r="E33275" s="96"/>
    </row>
    <row r="33276" hidden="1">
      <c r="E33276" s="96"/>
    </row>
    <row r="33277" hidden="1">
      <c r="E33277" s="96"/>
    </row>
    <row r="33278" hidden="1">
      <c r="E33278" s="96"/>
    </row>
    <row r="33279" hidden="1">
      <c r="E33279" s="96"/>
    </row>
    <row r="33280" hidden="1">
      <c r="E33280" s="96"/>
    </row>
    <row r="33281" hidden="1">
      <c r="E33281" s="96"/>
    </row>
    <row r="33282" hidden="1">
      <c r="E33282" s="96"/>
    </row>
    <row r="33283" hidden="1">
      <c r="E33283" s="96"/>
    </row>
    <row r="33284" hidden="1">
      <c r="E33284" s="96"/>
    </row>
    <row r="33285" hidden="1">
      <c r="E33285" s="96"/>
    </row>
    <row r="33286" hidden="1">
      <c r="E33286" s="96"/>
    </row>
    <row r="33287" hidden="1">
      <c r="E33287" s="96"/>
    </row>
    <row r="33288" hidden="1">
      <c r="E33288" s="96"/>
    </row>
    <row r="33289" hidden="1">
      <c r="E33289" s="96"/>
    </row>
    <row r="33290" hidden="1">
      <c r="E33290" s="96"/>
    </row>
    <row r="33291" hidden="1">
      <c r="E33291" s="96"/>
    </row>
    <row r="33292" hidden="1">
      <c r="E33292" s="96"/>
    </row>
    <row r="33293" hidden="1">
      <c r="E33293" s="96"/>
    </row>
    <row r="33294" hidden="1">
      <c r="E33294" s="96"/>
    </row>
    <row r="33295" hidden="1">
      <c r="E33295" s="96"/>
    </row>
    <row r="33296" hidden="1">
      <c r="E33296" s="96"/>
    </row>
    <row r="33297" hidden="1">
      <c r="E33297" s="96"/>
    </row>
    <row r="33298" hidden="1">
      <c r="E33298" s="96"/>
    </row>
    <row r="33299" hidden="1">
      <c r="E33299" s="96"/>
    </row>
    <row r="33300" hidden="1">
      <c r="E33300" s="96"/>
    </row>
    <row r="33301" hidden="1">
      <c r="E33301" s="96"/>
    </row>
    <row r="33302" hidden="1">
      <c r="E33302" s="96"/>
    </row>
    <row r="33303" hidden="1">
      <c r="E33303" s="96"/>
    </row>
    <row r="33304" hidden="1">
      <c r="E33304" s="96"/>
    </row>
    <row r="33305" hidden="1">
      <c r="E33305" s="96"/>
    </row>
    <row r="33306" hidden="1">
      <c r="E33306" s="96"/>
    </row>
    <row r="33307" hidden="1">
      <c r="E33307" s="96"/>
    </row>
    <row r="33308" hidden="1">
      <c r="E33308" s="96"/>
    </row>
    <row r="33309" hidden="1">
      <c r="E33309" s="96"/>
    </row>
    <row r="33310" hidden="1">
      <c r="E33310" s="96"/>
    </row>
    <row r="33311" hidden="1">
      <c r="E33311" s="96"/>
    </row>
    <row r="33312" hidden="1">
      <c r="E33312" s="96"/>
    </row>
    <row r="33313" hidden="1">
      <c r="E33313" s="96"/>
    </row>
    <row r="33314" hidden="1">
      <c r="E33314" s="96"/>
    </row>
    <row r="33315" hidden="1">
      <c r="E33315" s="96"/>
    </row>
    <row r="33316" hidden="1">
      <c r="E33316" s="96"/>
    </row>
    <row r="33317" hidden="1">
      <c r="E33317" s="96"/>
    </row>
    <row r="33318" hidden="1">
      <c r="E33318" s="96"/>
    </row>
    <row r="33319" hidden="1">
      <c r="E33319" s="96"/>
    </row>
    <row r="33320" hidden="1">
      <c r="E33320" s="96"/>
    </row>
    <row r="33321" hidden="1">
      <c r="E33321" s="96"/>
    </row>
    <row r="33322" hidden="1">
      <c r="E33322" s="96"/>
    </row>
    <row r="33323" hidden="1">
      <c r="E33323" s="96"/>
    </row>
    <row r="33324" hidden="1">
      <c r="E33324" s="96"/>
    </row>
    <row r="33325" hidden="1">
      <c r="E33325" s="96"/>
    </row>
    <row r="33326" hidden="1">
      <c r="E33326" s="96"/>
    </row>
    <row r="33327" hidden="1">
      <c r="E33327" s="96"/>
    </row>
    <row r="33328" hidden="1">
      <c r="E33328" s="96"/>
    </row>
    <row r="33329" hidden="1">
      <c r="E33329" s="96"/>
    </row>
    <row r="33330" hidden="1">
      <c r="E33330" s="96"/>
    </row>
    <row r="33331" hidden="1">
      <c r="E33331" s="96"/>
    </row>
    <row r="33332" hidden="1">
      <c r="E33332" s="96"/>
    </row>
    <row r="33333" hidden="1">
      <c r="E33333" s="96"/>
    </row>
    <row r="33334" hidden="1">
      <c r="E33334" s="96"/>
    </row>
    <row r="33335" hidden="1">
      <c r="E33335" s="96"/>
    </row>
    <row r="33336" hidden="1">
      <c r="E33336" s="96"/>
    </row>
    <row r="33337" hidden="1">
      <c r="E33337" s="96"/>
    </row>
    <row r="33338" hidden="1">
      <c r="E33338" s="96"/>
    </row>
    <row r="33339" hidden="1">
      <c r="E33339" s="96"/>
    </row>
    <row r="33340" hidden="1">
      <c r="E33340" s="96"/>
    </row>
    <row r="33341" hidden="1">
      <c r="E33341" s="96"/>
    </row>
    <row r="33342" hidden="1">
      <c r="E33342" s="96"/>
    </row>
    <row r="33343" hidden="1">
      <c r="E33343" s="96"/>
    </row>
    <row r="33344" hidden="1">
      <c r="E33344" s="96"/>
    </row>
    <row r="33345" hidden="1">
      <c r="E33345" s="96"/>
    </row>
    <row r="33346" hidden="1">
      <c r="E33346" s="96"/>
    </row>
    <row r="33347" hidden="1">
      <c r="E33347" s="96"/>
    </row>
    <row r="33348" hidden="1">
      <c r="E33348" s="96"/>
    </row>
    <row r="33349" hidden="1">
      <c r="E33349" s="96"/>
    </row>
    <row r="33350" hidden="1">
      <c r="E33350" s="96"/>
    </row>
    <row r="33351" hidden="1">
      <c r="E33351" s="96"/>
    </row>
    <row r="33352" hidden="1">
      <c r="E33352" s="96"/>
    </row>
    <row r="33353" hidden="1">
      <c r="E33353" s="96"/>
    </row>
    <row r="33354" hidden="1">
      <c r="E33354" s="96"/>
    </row>
    <row r="33355" hidden="1">
      <c r="E33355" s="96"/>
    </row>
    <row r="33356" hidden="1">
      <c r="E33356" s="96"/>
    </row>
    <row r="33357" hidden="1">
      <c r="E33357" s="96"/>
    </row>
    <row r="33358" hidden="1">
      <c r="E33358" s="96"/>
    </row>
    <row r="33359" hidden="1">
      <c r="E33359" s="96"/>
    </row>
    <row r="33360" hidden="1">
      <c r="E33360" s="96"/>
    </row>
    <row r="33361" hidden="1">
      <c r="E33361" s="96"/>
    </row>
    <row r="33362" hidden="1">
      <c r="E33362" s="96"/>
    </row>
    <row r="33363" hidden="1">
      <c r="E33363" s="96"/>
    </row>
    <row r="33364" hidden="1">
      <c r="E33364" s="96"/>
    </row>
    <row r="33365" hidden="1">
      <c r="E33365" s="96"/>
    </row>
    <row r="33366" hidden="1">
      <c r="E33366" s="96"/>
    </row>
    <row r="33367" hidden="1">
      <c r="E33367" s="96"/>
    </row>
    <row r="33368" hidden="1">
      <c r="E33368" s="96"/>
    </row>
    <row r="33369" hidden="1">
      <c r="E33369" s="96"/>
    </row>
    <row r="33370" hidden="1">
      <c r="E33370" s="96"/>
    </row>
    <row r="33371" hidden="1">
      <c r="E33371" s="96"/>
    </row>
    <row r="33372" hidden="1">
      <c r="E33372" s="96"/>
    </row>
    <row r="33373" hidden="1">
      <c r="E33373" s="96"/>
    </row>
    <row r="33374" hidden="1">
      <c r="E33374" s="96"/>
    </row>
    <row r="33375" hidden="1">
      <c r="E33375" s="96"/>
    </row>
    <row r="33376" hidden="1">
      <c r="E33376" s="96"/>
    </row>
    <row r="33377" hidden="1">
      <c r="E33377" s="96"/>
    </row>
    <row r="33378" hidden="1">
      <c r="E33378" s="96"/>
    </row>
    <row r="33379" hidden="1">
      <c r="E33379" s="96"/>
    </row>
    <row r="33380" hidden="1">
      <c r="E33380" s="96"/>
    </row>
    <row r="33381" hidden="1">
      <c r="E33381" s="96"/>
    </row>
    <row r="33382" hidden="1">
      <c r="E33382" s="96"/>
    </row>
    <row r="33383" hidden="1">
      <c r="E33383" s="96"/>
    </row>
    <row r="33384" hidden="1">
      <c r="E33384" s="96"/>
    </row>
    <row r="33385" hidden="1">
      <c r="E33385" s="96"/>
    </row>
    <row r="33386" hidden="1">
      <c r="E33386" s="96"/>
    </row>
    <row r="33387" hidden="1">
      <c r="E33387" s="96"/>
    </row>
    <row r="33388" hidden="1">
      <c r="E33388" s="96"/>
    </row>
    <row r="33389" hidden="1">
      <c r="E33389" s="96"/>
    </row>
    <row r="33390" hidden="1">
      <c r="E33390" s="96"/>
    </row>
    <row r="33391" hidden="1">
      <c r="E33391" s="96"/>
    </row>
    <row r="33392" hidden="1">
      <c r="E33392" s="96"/>
    </row>
    <row r="33393" hidden="1">
      <c r="E33393" s="96"/>
    </row>
    <row r="33394" hidden="1">
      <c r="E33394" s="96"/>
    </row>
    <row r="33395" hidden="1">
      <c r="E33395" s="96"/>
    </row>
    <row r="33396" hidden="1">
      <c r="E33396" s="96"/>
    </row>
    <row r="33397" hidden="1">
      <c r="E33397" s="96"/>
    </row>
    <row r="33398" hidden="1">
      <c r="E33398" s="96"/>
    </row>
    <row r="33399" hidden="1">
      <c r="E33399" s="96"/>
    </row>
    <row r="33400" hidden="1">
      <c r="E33400" s="96"/>
    </row>
    <row r="33401" hidden="1">
      <c r="E33401" s="96"/>
    </row>
    <row r="33402" hidden="1">
      <c r="E33402" s="96"/>
    </row>
    <row r="33403" hidden="1">
      <c r="E33403" s="96"/>
    </row>
    <row r="33404" hidden="1">
      <c r="E33404" s="96"/>
    </row>
    <row r="33405" hidden="1">
      <c r="E33405" s="96"/>
    </row>
    <row r="33406" hidden="1">
      <c r="E33406" s="96"/>
    </row>
    <row r="33407" hidden="1">
      <c r="E33407" s="96"/>
    </row>
    <row r="33408" hidden="1">
      <c r="E33408" s="96"/>
    </row>
    <row r="33409" hidden="1">
      <c r="E33409" s="96"/>
    </row>
    <row r="33410" hidden="1">
      <c r="E33410" s="96"/>
    </row>
    <row r="33411" hidden="1">
      <c r="E33411" s="96"/>
    </row>
    <row r="33412" hidden="1">
      <c r="E33412" s="96"/>
    </row>
    <row r="33413" hidden="1">
      <c r="E33413" s="96"/>
    </row>
    <row r="33414" hidden="1">
      <c r="E33414" s="96"/>
    </row>
    <row r="33415" hidden="1">
      <c r="E33415" s="96"/>
    </row>
    <row r="33416" hidden="1">
      <c r="E33416" s="96"/>
    </row>
    <row r="33417" hidden="1">
      <c r="E33417" s="96"/>
    </row>
    <row r="33418" hidden="1">
      <c r="E33418" s="96"/>
    </row>
    <row r="33419" hidden="1">
      <c r="E33419" s="96"/>
    </row>
    <row r="33420" hidden="1">
      <c r="E33420" s="96"/>
    </row>
    <row r="33421" hidden="1">
      <c r="E33421" s="96"/>
    </row>
    <row r="33422" hidden="1">
      <c r="E33422" s="96"/>
    </row>
    <row r="33423" hidden="1">
      <c r="E33423" s="96"/>
    </row>
    <row r="33424" hidden="1">
      <c r="E33424" s="96"/>
    </row>
    <row r="33425" hidden="1">
      <c r="E33425" s="96"/>
    </row>
    <row r="33426" hidden="1">
      <c r="E33426" s="96"/>
    </row>
    <row r="33427" hidden="1">
      <c r="E33427" s="96"/>
    </row>
    <row r="33428" hidden="1">
      <c r="E33428" s="96"/>
    </row>
    <row r="33429" hidden="1">
      <c r="E33429" s="96"/>
    </row>
    <row r="33430" hidden="1">
      <c r="E33430" s="96"/>
    </row>
    <row r="33431" hidden="1">
      <c r="E33431" s="96"/>
    </row>
    <row r="33432" hidden="1">
      <c r="E33432" s="96"/>
    </row>
    <row r="33433" hidden="1">
      <c r="E33433" s="96"/>
    </row>
    <row r="33434" hidden="1">
      <c r="E33434" s="96"/>
    </row>
    <row r="33435" hidden="1">
      <c r="E33435" s="96"/>
    </row>
    <row r="33436" hidden="1">
      <c r="E33436" s="96"/>
    </row>
    <row r="33437" hidden="1">
      <c r="E33437" s="96"/>
    </row>
    <row r="33438" hidden="1">
      <c r="E33438" s="96"/>
    </row>
    <row r="33439" hidden="1">
      <c r="E33439" s="96"/>
    </row>
    <row r="33440" hidden="1">
      <c r="E33440" s="96"/>
    </row>
    <row r="33441" hidden="1">
      <c r="E33441" s="96"/>
    </row>
    <row r="33442" hidden="1">
      <c r="E33442" s="96"/>
    </row>
    <row r="33443" hidden="1">
      <c r="E33443" s="96"/>
    </row>
    <row r="33444" hidden="1">
      <c r="E33444" s="96"/>
    </row>
    <row r="33445" hidden="1">
      <c r="E33445" s="96"/>
    </row>
    <row r="33446" hidden="1">
      <c r="E33446" s="96"/>
    </row>
    <row r="33447" hidden="1">
      <c r="E33447" s="96"/>
    </row>
    <row r="33448" hidden="1">
      <c r="E33448" s="96"/>
    </row>
    <row r="33449" hidden="1">
      <c r="E33449" s="96"/>
    </row>
    <row r="33450" hidden="1">
      <c r="E33450" s="96"/>
    </row>
    <row r="33451" hidden="1">
      <c r="E33451" s="96"/>
    </row>
    <row r="33452" hidden="1">
      <c r="E33452" s="96"/>
    </row>
    <row r="33453" hidden="1">
      <c r="E33453" s="96"/>
    </row>
    <row r="33454" hidden="1">
      <c r="E33454" s="96"/>
    </row>
    <row r="33455" hidden="1">
      <c r="E33455" s="96"/>
    </row>
    <row r="33456" hidden="1">
      <c r="E33456" s="96"/>
    </row>
    <row r="33457" hidden="1">
      <c r="E33457" s="96"/>
    </row>
    <row r="33458" hidden="1">
      <c r="E33458" s="96"/>
    </row>
    <row r="33459" hidden="1">
      <c r="E33459" s="96"/>
    </row>
    <row r="33460" hidden="1">
      <c r="E33460" s="96"/>
    </row>
    <row r="33461" hidden="1">
      <c r="E33461" s="96"/>
    </row>
    <row r="33462" hidden="1">
      <c r="E33462" s="96"/>
    </row>
    <row r="33463" hidden="1">
      <c r="E33463" s="96"/>
    </row>
    <row r="33464" hidden="1">
      <c r="E33464" s="96"/>
    </row>
    <row r="33465" hidden="1">
      <c r="E33465" s="96"/>
    </row>
    <row r="33466" hidden="1">
      <c r="E33466" s="96"/>
    </row>
    <row r="33467" hidden="1">
      <c r="E33467" s="96"/>
    </row>
    <row r="33468" hidden="1">
      <c r="E33468" s="96"/>
    </row>
    <row r="33469" hidden="1">
      <c r="E33469" s="96"/>
    </row>
    <row r="33470" hidden="1">
      <c r="E33470" s="96"/>
    </row>
    <row r="33471" hidden="1">
      <c r="E33471" s="96"/>
    </row>
    <row r="33472" hidden="1">
      <c r="E33472" s="96"/>
    </row>
    <row r="33473" hidden="1">
      <c r="E33473" s="96"/>
    </row>
    <row r="33474" hidden="1">
      <c r="E33474" s="96"/>
    </row>
    <row r="33475" hidden="1">
      <c r="E33475" s="96"/>
    </row>
    <row r="33476" hidden="1">
      <c r="E33476" s="96"/>
    </row>
    <row r="33477" hidden="1">
      <c r="E33477" s="96"/>
    </row>
    <row r="33478" hidden="1">
      <c r="E33478" s="96"/>
    </row>
    <row r="33479" hidden="1">
      <c r="E33479" s="96"/>
    </row>
    <row r="33480" hidden="1">
      <c r="E33480" s="96"/>
    </row>
    <row r="33481" hidden="1">
      <c r="E33481" s="96"/>
    </row>
    <row r="33482" hidden="1">
      <c r="E33482" s="96"/>
    </row>
    <row r="33483" hidden="1">
      <c r="E33483" s="96"/>
    </row>
    <row r="33484" hidden="1">
      <c r="E33484" s="96"/>
    </row>
    <row r="33485" hidden="1">
      <c r="E33485" s="96"/>
    </row>
    <row r="33486" hidden="1">
      <c r="E33486" s="96"/>
    </row>
    <row r="33487" hidden="1">
      <c r="E33487" s="96"/>
    </row>
    <row r="33488" hidden="1">
      <c r="E33488" s="96"/>
    </row>
    <row r="33489" hidden="1">
      <c r="E33489" s="96"/>
    </row>
    <row r="33490" hidden="1">
      <c r="E33490" s="96"/>
    </row>
    <row r="33491" hidden="1">
      <c r="E33491" s="96"/>
    </row>
    <row r="33492" hidden="1">
      <c r="E33492" s="96"/>
    </row>
    <row r="33493" hidden="1">
      <c r="E33493" s="96"/>
    </row>
    <row r="33494" hidden="1">
      <c r="E33494" s="96"/>
    </row>
    <row r="33495" hidden="1">
      <c r="E33495" s="96"/>
    </row>
    <row r="33496" hidden="1">
      <c r="E33496" s="96"/>
    </row>
    <row r="33497" hidden="1">
      <c r="E33497" s="96"/>
    </row>
    <row r="33498" hidden="1">
      <c r="E33498" s="96"/>
    </row>
    <row r="33499" hidden="1">
      <c r="E33499" s="96"/>
    </row>
    <row r="33500" hidden="1">
      <c r="E33500" s="96"/>
    </row>
    <row r="33501" hidden="1">
      <c r="E33501" s="96"/>
    </row>
    <row r="33502" hidden="1">
      <c r="E33502" s="96"/>
    </row>
    <row r="33503" hidden="1">
      <c r="E33503" s="96"/>
    </row>
    <row r="33504" hidden="1">
      <c r="E33504" s="96"/>
    </row>
    <row r="33505" hidden="1">
      <c r="E33505" s="96"/>
    </row>
    <row r="33506" hidden="1">
      <c r="E33506" s="96"/>
    </row>
    <row r="33507" hidden="1">
      <c r="E33507" s="96"/>
    </row>
    <row r="33508" hidden="1">
      <c r="E33508" s="96"/>
    </row>
    <row r="33509" hidden="1">
      <c r="E33509" s="96"/>
    </row>
    <row r="33510" hidden="1">
      <c r="E33510" s="96"/>
    </row>
    <row r="33511" hidden="1">
      <c r="E33511" s="96"/>
    </row>
    <row r="33512" hidden="1">
      <c r="E33512" s="96"/>
    </row>
    <row r="33513" hidden="1">
      <c r="E33513" s="96"/>
    </row>
    <row r="33514" hidden="1">
      <c r="E33514" s="96"/>
    </row>
    <row r="33515" hidden="1">
      <c r="E33515" s="96"/>
    </row>
    <row r="33516" hidden="1">
      <c r="E33516" s="96"/>
    </row>
    <row r="33517" hidden="1">
      <c r="E33517" s="96"/>
    </row>
    <row r="33518" hidden="1">
      <c r="E33518" s="96"/>
    </row>
    <row r="33519" hidden="1">
      <c r="E33519" s="96"/>
    </row>
    <row r="33520" hidden="1">
      <c r="E33520" s="96"/>
    </row>
    <row r="33521" hidden="1">
      <c r="E33521" s="96"/>
    </row>
    <row r="33522" hidden="1">
      <c r="E33522" s="96"/>
    </row>
    <row r="33523" hidden="1">
      <c r="E33523" s="96"/>
    </row>
    <row r="33524" hidden="1">
      <c r="E33524" s="96"/>
    </row>
    <row r="33525" hidden="1">
      <c r="E33525" s="96"/>
    </row>
    <row r="33526" hidden="1">
      <c r="E33526" s="96"/>
    </row>
    <row r="33527" hidden="1">
      <c r="E33527" s="96"/>
    </row>
    <row r="33528" hidden="1">
      <c r="E33528" s="96"/>
    </row>
    <row r="33529" hidden="1">
      <c r="E33529" s="96"/>
    </row>
    <row r="33530" hidden="1">
      <c r="E33530" s="96"/>
    </row>
    <row r="33531" hidden="1">
      <c r="E33531" s="96"/>
    </row>
    <row r="33532" hidden="1">
      <c r="E33532" s="96"/>
    </row>
    <row r="33533" hidden="1">
      <c r="E33533" s="96"/>
    </row>
    <row r="33534" hidden="1">
      <c r="E33534" s="96"/>
    </row>
    <row r="33535" hidden="1">
      <c r="E33535" s="96"/>
    </row>
    <row r="33536" hidden="1">
      <c r="E33536" s="96"/>
    </row>
    <row r="33537" hidden="1">
      <c r="E33537" s="96"/>
    </row>
    <row r="33538" hidden="1">
      <c r="E33538" s="96"/>
    </row>
    <row r="33539" hidden="1">
      <c r="E33539" s="96"/>
    </row>
    <row r="33540" hidden="1">
      <c r="E33540" s="96"/>
    </row>
    <row r="33541" hidden="1">
      <c r="E33541" s="96"/>
    </row>
    <row r="33542" hidden="1">
      <c r="E33542" s="96"/>
    </row>
    <row r="33543" hidden="1">
      <c r="E33543" s="96"/>
    </row>
    <row r="33544" hidden="1">
      <c r="E33544" s="96"/>
    </row>
    <row r="33545" hidden="1">
      <c r="E33545" s="96"/>
    </row>
    <row r="33546" hidden="1">
      <c r="E33546" s="96"/>
    </row>
    <row r="33547" hidden="1">
      <c r="E33547" s="96"/>
    </row>
    <row r="33548" hidden="1">
      <c r="E33548" s="96"/>
    </row>
    <row r="33549" hidden="1">
      <c r="E33549" s="96"/>
    </row>
    <row r="33550" hidden="1">
      <c r="E33550" s="96"/>
    </row>
    <row r="33551" hidden="1">
      <c r="E33551" s="96"/>
    </row>
    <row r="33552" hidden="1">
      <c r="E33552" s="96"/>
    </row>
    <row r="33553" hidden="1">
      <c r="E33553" s="96"/>
    </row>
    <row r="33554" hidden="1">
      <c r="E33554" s="96"/>
    </row>
    <row r="33555" hidden="1">
      <c r="E33555" s="96"/>
    </row>
    <row r="33556" hidden="1">
      <c r="E33556" s="96"/>
    </row>
    <row r="33557" hidden="1">
      <c r="E33557" s="96"/>
    </row>
    <row r="33558" hidden="1">
      <c r="E33558" s="96"/>
    </row>
    <row r="33559" hidden="1">
      <c r="E33559" s="96"/>
    </row>
    <row r="33560" hidden="1">
      <c r="E33560" s="96"/>
    </row>
    <row r="33561" hidden="1">
      <c r="E33561" s="96"/>
    </row>
    <row r="33562" hidden="1">
      <c r="E33562" s="96"/>
    </row>
    <row r="33563" hidden="1">
      <c r="E33563" s="96"/>
    </row>
    <row r="33564" hidden="1">
      <c r="E33564" s="96"/>
    </row>
    <row r="33565" hidden="1">
      <c r="E33565" s="96"/>
    </row>
    <row r="33566" hidden="1">
      <c r="E33566" s="96"/>
    </row>
    <row r="33567" hidden="1">
      <c r="E33567" s="96"/>
    </row>
    <row r="33568" hidden="1">
      <c r="E33568" s="96"/>
    </row>
    <row r="33569" hidden="1">
      <c r="E33569" s="96"/>
    </row>
    <row r="33570" hidden="1">
      <c r="E33570" s="96"/>
    </row>
    <row r="33571" hidden="1">
      <c r="E33571" s="96"/>
    </row>
    <row r="33572" hidden="1">
      <c r="E33572" s="96"/>
    </row>
    <row r="33573" hidden="1">
      <c r="E33573" s="96"/>
    </row>
    <row r="33574" hidden="1">
      <c r="E33574" s="96"/>
    </row>
    <row r="33575" hidden="1">
      <c r="E33575" s="96"/>
    </row>
    <row r="33576" hidden="1">
      <c r="E33576" s="96"/>
    </row>
    <row r="33577" hidden="1">
      <c r="E33577" s="96"/>
    </row>
    <row r="33578" hidden="1">
      <c r="E33578" s="96"/>
    </row>
    <row r="33579" hidden="1">
      <c r="E33579" s="96"/>
    </row>
    <row r="33580" hidden="1">
      <c r="E33580" s="96"/>
    </row>
    <row r="33581" hidden="1">
      <c r="E33581" s="96"/>
    </row>
    <row r="33582" hidden="1">
      <c r="E33582" s="96"/>
    </row>
    <row r="33583" hidden="1">
      <c r="E33583" s="96"/>
    </row>
    <row r="33584" hidden="1">
      <c r="E33584" s="96"/>
    </row>
    <row r="33585" hidden="1">
      <c r="E33585" s="96"/>
    </row>
    <row r="33586" hidden="1">
      <c r="E33586" s="96"/>
    </row>
    <row r="33587" hidden="1">
      <c r="E33587" s="96"/>
    </row>
    <row r="33588" hidden="1">
      <c r="E33588" s="96"/>
    </row>
    <row r="33589" hidden="1">
      <c r="E33589" s="96"/>
    </row>
    <row r="33590" hidden="1">
      <c r="E33590" s="96"/>
    </row>
    <row r="33591" hidden="1">
      <c r="E33591" s="96"/>
    </row>
    <row r="33592" hidden="1">
      <c r="E33592" s="96"/>
    </row>
    <row r="33593" hidden="1">
      <c r="E33593" s="96"/>
    </row>
    <row r="33594" hidden="1">
      <c r="E33594" s="96"/>
    </row>
    <row r="33595" hidden="1">
      <c r="E33595" s="96"/>
    </row>
    <row r="33596" hidden="1">
      <c r="E33596" s="96"/>
    </row>
    <row r="33597" hidden="1">
      <c r="E33597" s="96"/>
    </row>
    <row r="33598" hidden="1">
      <c r="E33598" s="96"/>
    </row>
    <row r="33599" hidden="1">
      <c r="E33599" s="96"/>
    </row>
    <row r="33600" hidden="1">
      <c r="E33600" s="96"/>
    </row>
    <row r="33601" hidden="1">
      <c r="E33601" s="96"/>
    </row>
    <row r="33602" hidden="1">
      <c r="E33602" s="96"/>
    </row>
    <row r="33603" hidden="1">
      <c r="E33603" s="96"/>
    </row>
    <row r="33604" hidden="1">
      <c r="E33604" s="96"/>
    </row>
    <row r="33605" hidden="1">
      <c r="E33605" s="96"/>
    </row>
    <row r="33606" hidden="1">
      <c r="E33606" s="96"/>
    </row>
    <row r="33607" hidden="1">
      <c r="E33607" s="96"/>
    </row>
    <row r="33608" hidden="1">
      <c r="E33608" s="96"/>
    </row>
    <row r="33609" hidden="1">
      <c r="E33609" s="96"/>
    </row>
    <row r="33610" hidden="1">
      <c r="E33610" s="96"/>
    </row>
    <row r="33611" hidden="1">
      <c r="E33611" s="96"/>
    </row>
    <row r="33612" hidden="1">
      <c r="E33612" s="96"/>
    </row>
    <row r="33613" hidden="1">
      <c r="E33613" s="96"/>
    </row>
    <row r="33614" hidden="1">
      <c r="E33614" s="96"/>
    </row>
    <row r="33615" hidden="1">
      <c r="E33615" s="96"/>
    </row>
    <row r="33616" hidden="1">
      <c r="E33616" s="96"/>
    </row>
    <row r="33617" hidden="1">
      <c r="E33617" s="96"/>
    </row>
    <row r="33618" hidden="1">
      <c r="E33618" s="96"/>
    </row>
    <row r="33619" hidden="1">
      <c r="E33619" s="96"/>
    </row>
    <row r="33620" hidden="1">
      <c r="E33620" s="96"/>
    </row>
    <row r="33621" hidden="1">
      <c r="E33621" s="96"/>
    </row>
    <row r="33622" hidden="1">
      <c r="E33622" s="96"/>
    </row>
    <row r="33623" hidden="1">
      <c r="E33623" s="96"/>
    </row>
    <row r="33624" hidden="1">
      <c r="E33624" s="96"/>
    </row>
    <row r="33625" hidden="1">
      <c r="E33625" s="96"/>
    </row>
    <row r="33626" hidden="1">
      <c r="E33626" s="96"/>
    </row>
    <row r="33627" hidden="1">
      <c r="E33627" s="96"/>
    </row>
    <row r="33628" hidden="1">
      <c r="E33628" s="96"/>
    </row>
    <row r="33629" hidden="1">
      <c r="E33629" s="96"/>
    </row>
    <row r="33630" hidden="1">
      <c r="E33630" s="96"/>
    </row>
    <row r="33631" hidden="1">
      <c r="E33631" s="96"/>
    </row>
    <row r="33632" hidden="1">
      <c r="E33632" s="96"/>
    </row>
    <row r="33633" hidden="1">
      <c r="E33633" s="96"/>
    </row>
    <row r="33634" hidden="1">
      <c r="E33634" s="96"/>
    </row>
    <row r="33635" hidden="1">
      <c r="E33635" s="96"/>
    </row>
    <row r="33636" hidden="1">
      <c r="E33636" s="96"/>
    </row>
    <row r="33637" hidden="1">
      <c r="E33637" s="96"/>
    </row>
    <row r="33638" hidden="1">
      <c r="E33638" s="96"/>
    </row>
    <row r="33639" hidden="1">
      <c r="E33639" s="96"/>
    </row>
    <row r="33640" hidden="1">
      <c r="E33640" s="96"/>
    </row>
    <row r="33641" hidden="1">
      <c r="E33641" s="96"/>
    </row>
    <row r="33642" hidden="1">
      <c r="E33642" s="96"/>
    </row>
    <row r="33643" hidden="1">
      <c r="E33643" s="96"/>
    </row>
    <row r="33644" hidden="1">
      <c r="E33644" s="96"/>
    </row>
    <row r="33645" hidden="1">
      <c r="E33645" s="96"/>
    </row>
    <row r="33646" hidden="1">
      <c r="E33646" s="96"/>
    </row>
    <row r="33647" hidden="1">
      <c r="E33647" s="96"/>
    </row>
    <row r="33648" hidden="1">
      <c r="E33648" s="96"/>
    </row>
    <row r="33649" hidden="1">
      <c r="E33649" s="96"/>
    </row>
    <row r="33650" hidden="1">
      <c r="E33650" s="96"/>
    </row>
    <row r="33651" hidden="1">
      <c r="E33651" s="96"/>
    </row>
    <row r="33652" hidden="1">
      <c r="E33652" s="96"/>
    </row>
    <row r="33653" hidden="1">
      <c r="E33653" s="96"/>
    </row>
    <row r="33654" hidden="1">
      <c r="E33654" s="96"/>
    </row>
    <row r="33655" hidden="1">
      <c r="E33655" s="96"/>
    </row>
    <row r="33656" hidden="1">
      <c r="E33656" s="96"/>
    </row>
    <row r="33657" hidden="1">
      <c r="E33657" s="96"/>
    </row>
    <row r="33658" hidden="1">
      <c r="E33658" s="96"/>
    </row>
    <row r="33659" hidden="1">
      <c r="E33659" s="96"/>
    </row>
    <row r="33660" hidden="1">
      <c r="E33660" s="96"/>
    </row>
    <row r="33661" hidden="1">
      <c r="E33661" s="96"/>
    </row>
    <row r="33662" hidden="1">
      <c r="E33662" s="96"/>
    </row>
    <row r="33663" hidden="1">
      <c r="E33663" s="96"/>
    </row>
    <row r="33664" hidden="1">
      <c r="E33664" s="96"/>
    </row>
    <row r="33665" hidden="1">
      <c r="E33665" s="96"/>
    </row>
    <row r="33666" hidden="1">
      <c r="E33666" s="96"/>
    </row>
    <row r="33667" hidden="1">
      <c r="E33667" s="96"/>
    </row>
    <row r="33668" hidden="1">
      <c r="E33668" s="96"/>
    </row>
    <row r="33669" hidden="1">
      <c r="E33669" s="96"/>
    </row>
    <row r="33670" hidden="1">
      <c r="E33670" s="96"/>
    </row>
    <row r="33671" hidden="1">
      <c r="E33671" s="96"/>
    </row>
    <row r="33672" hidden="1">
      <c r="E33672" s="96"/>
    </row>
    <row r="33673" hidden="1">
      <c r="E33673" s="96"/>
    </row>
    <row r="33674" hidden="1">
      <c r="E33674" s="96"/>
    </row>
    <row r="33675" hidden="1">
      <c r="E33675" s="96"/>
    </row>
    <row r="33676" hidden="1">
      <c r="E33676" s="96"/>
    </row>
    <row r="33677" hidden="1">
      <c r="E33677" s="96"/>
    </row>
    <row r="33678" hidden="1">
      <c r="E33678" s="96"/>
    </row>
    <row r="33679" hidden="1">
      <c r="E33679" s="96"/>
    </row>
    <row r="33680" hidden="1">
      <c r="E33680" s="96"/>
    </row>
    <row r="33681" hidden="1">
      <c r="E33681" s="96"/>
    </row>
    <row r="33682" hidden="1">
      <c r="E33682" s="96"/>
    </row>
    <row r="33683" hidden="1">
      <c r="E33683" s="96"/>
    </row>
    <row r="33684" hidden="1">
      <c r="E33684" s="96"/>
    </row>
    <row r="33685" hidden="1">
      <c r="E33685" s="96"/>
    </row>
    <row r="33686" hidden="1">
      <c r="E33686" s="96"/>
    </row>
    <row r="33687" hidden="1">
      <c r="E33687" s="96"/>
    </row>
    <row r="33688" hidden="1">
      <c r="E33688" s="96"/>
    </row>
    <row r="33689" hidden="1">
      <c r="E33689" s="96"/>
    </row>
    <row r="33690" hidden="1">
      <c r="E33690" s="96"/>
    </row>
    <row r="33691" hidden="1">
      <c r="E33691" s="96"/>
    </row>
    <row r="33692" hidden="1">
      <c r="E33692" s="96"/>
    </row>
    <row r="33693" hidden="1">
      <c r="E33693" s="96"/>
    </row>
    <row r="33694" hidden="1">
      <c r="E33694" s="96"/>
    </row>
    <row r="33695" hidden="1">
      <c r="E33695" s="96"/>
    </row>
    <row r="33696" hidden="1">
      <c r="E33696" s="96"/>
    </row>
    <row r="33697" hidden="1">
      <c r="E33697" s="96"/>
    </row>
    <row r="33698" hidden="1">
      <c r="E33698" s="96"/>
    </row>
    <row r="33699" hidden="1">
      <c r="E33699" s="96"/>
    </row>
    <row r="33700" hidden="1">
      <c r="E33700" s="96"/>
    </row>
    <row r="33701" hidden="1">
      <c r="E33701" s="96"/>
    </row>
    <row r="33702" hidden="1">
      <c r="E33702" s="96"/>
    </row>
    <row r="33703" hidden="1">
      <c r="E33703" s="96"/>
    </row>
    <row r="33704" hidden="1">
      <c r="E33704" s="96"/>
    </row>
    <row r="33705" hidden="1">
      <c r="E33705" s="96"/>
    </row>
    <row r="33706" hidden="1">
      <c r="E33706" s="96"/>
    </row>
    <row r="33707" hidden="1">
      <c r="E33707" s="96"/>
    </row>
    <row r="33708" hidden="1">
      <c r="E33708" s="96"/>
    </row>
    <row r="33709" hidden="1">
      <c r="E33709" s="96"/>
    </row>
    <row r="33710" hidden="1">
      <c r="E33710" s="96"/>
    </row>
    <row r="33711" hidden="1">
      <c r="E33711" s="96"/>
    </row>
    <row r="33712" hidden="1">
      <c r="E33712" s="96"/>
    </row>
    <row r="33713" hidden="1">
      <c r="E33713" s="96"/>
    </row>
    <row r="33714" hidden="1">
      <c r="E33714" s="96"/>
    </row>
    <row r="33715" hidden="1">
      <c r="E33715" s="96"/>
    </row>
    <row r="33716" hidden="1">
      <c r="E33716" s="96"/>
    </row>
    <row r="33717" hidden="1">
      <c r="E33717" s="96"/>
    </row>
    <row r="33718" hidden="1">
      <c r="E33718" s="96"/>
    </row>
    <row r="33719" hidden="1">
      <c r="E33719" s="96"/>
    </row>
    <row r="33720" hidden="1">
      <c r="E33720" s="96"/>
    </row>
    <row r="33721" hidden="1">
      <c r="E33721" s="96"/>
    </row>
    <row r="33722" hidden="1">
      <c r="E33722" s="96"/>
    </row>
    <row r="33723" hidden="1">
      <c r="E33723" s="96"/>
    </row>
    <row r="33724" hidden="1">
      <c r="E33724" s="96"/>
    </row>
    <row r="33725" hidden="1">
      <c r="E33725" s="96"/>
    </row>
    <row r="33726" hidden="1">
      <c r="E33726" s="96"/>
    </row>
    <row r="33727" hidden="1">
      <c r="E33727" s="96"/>
    </row>
    <row r="33728" hidden="1">
      <c r="E33728" s="96"/>
    </row>
    <row r="33729" hidden="1">
      <c r="E33729" s="96"/>
    </row>
    <row r="33730" hidden="1">
      <c r="E33730" s="96"/>
    </row>
    <row r="33731" hidden="1">
      <c r="E33731" s="96"/>
    </row>
    <row r="33732" hidden="1">
      <c r="E33732" s="96"/>
    </row>
    <row r="33733" hidden="1">
      <c r="E33733" s="96"/>
    </row>
    <row r="33734" hidden="1">
      <c r="E33734" s="96"/>
    </row>
    <row r="33735" hidden="1">
      <c r="E33735" s="96"/>
    </row>
    <row r="33736" hidden="1">
      <c r="E33736" s="96"/>
    </row>
    <row r="33737" hidden="1">
      <c r="E33737" s="96"/>
    </row>
    <row r="33738" hidden="1">
      <c r="E33738" s="96"/>
    </row>
    <row r="33739" hidden="1">
      <c r="E33739" s="96"/>
    </row>
    <row r="33740" hidden="1">
      <c r="E33740" s="96"/>
    </row>
    <row r="33741" hidden="1">
      <c r="E33741" s="96"/>
    </row>
    <row r="33742" hidden="1">
      <c r="E33742" s="96"/>
    </row>
    <row r="33743" hidden="1">
      <c r="E33743" s="96"/>
    </row>
    <row r="33744" hidden="1">
      <c r="E33744" s="96"/>
    </row>
    <row r="33745" hidden="1">
      <c r="E33745" s="96"/>
    </row>
    <row r="33746" hidden="1">
      <c r="E33746" s="96"/>
    </row>
    <row r="33747" hidden="1">
      <c r="E33747" s="96"/>
    </row>
    <row r="33748" hidden="1">
      <c r="E33748" s="96"/>
    </row>
    <row r="33749" hidden="1">
      <c r="E33749" s="96"/>
    </row>
    <row r="33750" hidden="1">
      <c r="E33750" s="96"/>
    </row>
    <row r="33751" hidden="1">
      <c r="E33751" s="96"/>
    </row>
    <row r="33752" hidden="1">
      <c r="E33752" s="96"/>
    </row>
    <row r="33753" hidden="1">
      <c r="E33753" s="96"/>
    </row>
    <row r="33754" hidden="1">
      <c r="E33754" s="96"/>
    </row>
    <row r="33755" hidden="1">
      <c r="E33755" s="96"/>
    </row>
    <row r="33756" hidden="1">
      <c r="E33756" s="96"/>
    </row>
    <row r="33757" hidden="1">
      <c r="E33757" s="96"/>
    </row>
    <row r="33758" hidden="1">
      <c r="E33758" s="96"/>
    </row>
    <row r="33759" hidden="1">
      <c r="E33759" s="96"/>
    </row>
    <row r="33760" hidden="1">
      <c r="E33760" s="96"/>
    </row>
    <row r="33761" hidden="1">
      <c r="E33761" s="96"/>
    </row>
    <row r="33762" hidden="1">
      <c r="E33762" s="96"/>
    </row>
    <row r="33763" hidden="1">
      <c r="E33763" s="96"/>
    </row>
    <row r="33764" hidden="1">
      <c r="E33764" s="96"/>
    </row>
    <row r="33765" hidden="1">
      <c r="E33765" s="96"/>
    </row>
    <row r="33766" hidden="1">
      <c r="E33766" s="96"/>
    </row>
    <row r="33767" hidden="1">
      <c r="E33767" s="96"/>
    </row>
    <row r="33768" hidden="1">
      <c r="E33768" s="96"/>
    </row>
    <row r="33769" hidden="1">
      <c r="E33769" s="96"/>
    </row>
    <row r="33770" hidden="1">
      <c r="E33770" s="96"/>
    </row>
    <row r="33771" hidden="1">
      <c r="E33771" s="96"/>
    </row>
    <row r="33772" hidden="1">
      <c r="E33772" s="96"/>
    </row>
    <row r="33773" hidden="1">
      <c r="E33773" s="96"/>
    </row>
    <row r="33774" hidden="1">
      <c r="E33774" s="96"/>
    </row>
    <row r="33775" hidden="1">
      <c r="E33775" s="96"/>
    </row>
    <row r="33776" hidden="1">
      <c r="E33776" s="96"/>
    </row>
    <row r="33777" hidden="1">
      <c r="E33777" s="96"/>
    </row>
    <row r="33778" hidden="1">
      <c r="E33778" s="96"/>
    </row>
    <row r="33779" hidden="1">
      <c r="E33779" s="96"/>
    </row>
    <row r="33780" hidden="1">
      <c r="E33780" s="96"/>
    </row>
    <row r="33781" hidden="1">
      <c r="E33781" s="96"/>
    </row>
    <row r="33782" hidden="1">
      <c r="E33782" s="96"/>
    </row>
    <row r="33783" hidden="1">
      <c r="E33783" s="96"/>
    </row>
    <row r="33784" hidden="1">
      <c r="E33784" s="96"/>
    </row>
    <row r="33785" hidden="1">
      <c r="E33785" s="96"/>
    </row>
    <row r="33786" hidden="1">
      <c r="E33786" s="96"/>
    </row>
    <row r="33787" hidden="1">
      <c r="E33787" s="96"/>
    </row>
    <row r="33788" hidden="1">
      <c r="E33788" s="96"/>
    </row>
    <row r="33789" hidden="1">
      <c r="E33789" s="96"/>
    </row>
    <row r="33790" hidden="1">
      <c r="E33790" s="96"/>
    </row>
    <row r="33791" hidden="1">
      <c r="E33791" s="96"/>
    </row>
    <row r="33792" hidden="1">
      <c r="E33792" s="96"/>
    </row>
    <row r="33793" hidden="1">
      <c r="E33793" s="96"/>
    </row>
    <row r="33794" hidden="1">
      <c r="E33794" s="96"/>
    </row>
    <row r="33795" hidden="1">
      <c r="E33795" s="96"/>
    </row>
    <row r="33796" hidden="1">
      <c r="E33796" s="96"/>
    </row>
    <row r="33797" hidden="1">
      <c r="E33797" s="96"/>
    </row>
    <row r="33798" hidden="1">
      <c r="E33798" s="96"/>
    </row>
    <row r="33799" hidden="1">
      <c r="E33799" s="96"/>
    </row>
    <row r="33800" hidden="1">
      <c r="E33800" s="96"/>
    </row>
    <row r="33801" hidden="1">
      <c r="E33801" s="96"/>
    </row>
    <row r="33802" hidden="1">
      <c r="E33802" s="96"/>
    </row>
    <row r="33803" hidden="1">
      <c r="E33803" s="96"/>
    </row>
    <row r="33804" hidden="1">
      <c r="E33804" s="96"/>
    </row>
    <row r="33805" hidden="1">
      <c r="E33805" s="96"/>
    </row>
    <row r="33806" hidden="1">
      <c r="E33806" s="96"/>
    </row>
    <row r="33807" hidden="1">
      <c r="E33807" s="96"/>
    </row>
    <row r="33808" hidden="1">
      <c r="E33808" s="96"/>
    </row>
    <row r="33809" hidden="1">
      <c r="E33809" s="96"/>
    </row>
    <row r="33810" hidden="1">
      <c r="E33810" s="96"/>
    </row>
    <row r="33811" hidden="1">
      <c r="E33811" s="96"/>
    </row>
    <row r="33812" hidden="1">
      <c r="E33812" s="96"/>
    </row>
    <row r="33813" hidden="1">
      <c r="E33813" s="96"/>
    </row>
    <row r="33814" hidden="1">
      <c r="E33814" s="96"/>
    </row>
    <row r="33815" hidden="1">
      <c r="E33815" s="96"/>
    </row>
    <row r="33816" hidden="1">
      <c r="E33816" s="96"/>
    </row>
    <row r="33817" hidden="1">
      <c r="E33817" s="96"/>
    </row>
    <row r="33818" hidden="1">
      <c r="E33818" s="96"/>
    </row>
    <row r="33819" hidden="1">
      <c r="E33819" s="96"/>
    </row>
    <row r="33820" hidden="1">
      <c r="E33820" s="96"/>
    </row>
    <row r="33821" hidden="1">
      <c r="E33821" s="96"/>
    </row>
    <row r="33822" hidden="1">
      <c r="E33822" s="96"/>
    </row>
    <row r="33823" hidden="1">
      <c r="E33823" s="96"/>
    </row>
    <row r="33824" hidden="1">
      <c r="E33824" s="96"/>
    </row>
    <row r="33825" hidden="1">
      <c r="E33825" s="96"/>
    </row>
    <row r="33826" hidden="1">
      <c r="E33826" s="96"/>
    </row>
    <row r="33827" hidden="1">
      <c r="E33827" s="96"/>
    </row>
    <row r="33828" hidden="1">
      <c r="E33828" s="96"/>
    </row>
    <row r="33829" hidden="1">
      <c r="E33829" s="96"/>
    </row>
    <row r="33830" hidden="1">
      <c r="E33830" s="96"/>
    </row>
    <row r="33831" hidden="1">
      <c r="E33831" s="96"/>
    </row>
    <row r="33832" hidden="1">
      <c r="E33832" s="96"/>
    </row>
    <row r="33833" hidden="1">
      <c r="E33833" s="96"/>
    </row>
    <row r="33834" hidden="1">
      <c r="E33834" s="96"/>
    </row>
    <row r="33835" hidden="1">
      <c r="E33835" s="96"/>
    </row>
    <row r="33836" hidden="1">
      <c r="E33836" s="96"/>
    </row>
    <row r="33837" hidden="1">
      <c r="E33837" s="96"/>
    </row>
    <row r="33838" hidden="1">
      <c r="E33838" s="96"/>
    </row>
    <row r="33839" hidden="1">
      <c r="E33839" s="96"/>
    </row>
    <row r="33840" hidden="1">
      <c r="E33840" s="96"/>
    </row>
    <row r="33841" hidden="1">
      <c r="E33841" s="96"/>
    </row>
    <row r="33842" hidden="1">
      <c r="E33842" s="96"/>
    </row>
    <row r="33843" hidden="1">
      <c r="E33843" s="96"/>
    </row>
    <row r="33844" hidden="1">
      <c r="E33844" s="96"/>
    </row>
    <row r="33845" hidden="1">
      <c r="E33845" s="96"/>
    </row>
    <row r="33846" hidden="1">
      <c r="E33846" s="96"/>
    </row>
    <row r="33847" hidden="1">
      <c r="E33847" s="96"/>
    </row>
    <row r="33848" hidden="1">
      <c r="E33848" s="96"/>
    </row>
    <row r="33849" hidden="1">
      <c r="E33849" s="96"/>
    </row>
    <row r="33850" hidden="1">
      <c r="E33850" s="96"/>
    </row>
    <row r="33851" hidden="1">
      <c r="E33851" s="96"/>
    </row>
    <row r="33852" hidden="1">
      <c r="E33852" s="96"/>
    </row>
    <row r="33853" hidden="1">
      <c r="E33853" s="96"/>
    </row>
    <row r="33854" hidden="1">
      <c r="E33854" s="96"/>
    </row>
    <row r="33855" hidden="1">
      <c r="E33855" s="96"/>
    </row>
    <row r="33856" hidden="1">
      <c r="E33856" s="96"/>
    </row>
    <row r="33857" hidden="1">
      <c r="E33857" s="96"/>
    </row>
    <row r="33858" hidden="1">
      <c r="E33858" s="96"/>
    </row>
    <row r="33859" hidden="1">
      <c r="E33859" s="96"/>
    </row>
    <row r="33860" hidden="1">
      <c r="E33860" s="96"/>
    </row>
    <row r="33861" hidden="1">
      <c r="E33861" s="96"/>
    </row>
    <row r="33862" hidden="1">
      <c r="E33862" s="96"/>
    </row>
    <row r="33863" hidden="1">
      <c r="E33863" s="96"/>
    </row>
    <row r="33864" hidden="1">
      <c r="E33864" s="96"/>
    </row>
    <row r="33865" hidden="1">
      <c r="E33865" s="96"/>
    </row>
    <row r="33866" hidden="1">
      <c r="E33866" s="96"/>
    </row>
    <row r="33867" hidden="1">
      <c r="E33867" s="96"/>
    </row>
    <row r="33868" hidden="1">
      <c r="E33868" s="96"/>
    </row>
    <row r="33869" hidden="1">
      <c r="E33869" s="96"/>
    </row>
    <row r="33870" hidden="1">
      <c r="E33870" s="96"/>
    </row>
    <row r="33871" hidden="1">
      <c r="E33871" s="96"/>
    </row>
    <row r="33872" hidden="1">
      <c r="E33872" s="96"/>
    </row>
    <row r="33873" hidden="1">
      <c r="E33873" s="96"/>
    </row>
    <row r="33874" hidden="1">
      <c r="E33874" s="96"/>
    </row>
    <row r="33875" hidden="1">
      <c r="E33875" s="96"/>
    </row>
    <row r="33876" hidden="1">
      <c r="E33876" s="96"/>
    </row>
    <row r="33877" hidden="1">
      <c r="E33877" s="96"/>
    </row>
    <row r="33878" hidden="1">
      <c r="E33878" s="96"/>
    </row>
    <row r="33879" hidden="1">
      <c r="E33879" s="96"/>
    </row>
    <row r="33880" hidden="1">
      <c r="E33880" s="96"/>
    </row>
    <row r="33881" hidden="1">
      <c r="E33881" s="96"/>
    </row>
    <row r="33882" hidden="1">
      <c r="E33882" s="96"/>
    </row>
    <row r="33883" hidden="1">
      <c r="E33883" s="96"/>
    </row>
    <row r="33884" hidden="1">
      <c r="E33884" s="96"/>
    </row>
    <row r="33885" hidden="1">
      <c r="E33885" s="96"/>
    </row>
    <row r="33886" hidden="1">
      <c r="E33886" s="96"/>
    </row>
    <row r="33887" hidden="1">
      <c r="E33887" s="96"/>
    </row>
    <row r="33888" hidden="1">
      <c r="E33888" s="96"/>
    </row>
    <row r="33889" hidden="1">
      <c r="E33889" s="96"/>
    </row>
    <row r="33890" hidden="1">
      <c r="E33890" s="96"/>
    </row>
    <row r="33891" hidden="1">
      <c r="E33891" s="96"/>
    </row>
    <row r="33892" hidden="1">
      <c r="E33892" s="96"/>
    </row>
    <row r="33893" hidden="1">
      <c r="E33893" s="96"/>
    </row>
    <row r="33894" hidden="1">
      <c r="E33894" s="96"/>
    </row>
    <row r="33895" hidden="1">
      <c r="E33895" s="96"/>
    </row>
    <row r="33896" hidden="1">
      <c r="E33896" s="96"/>
    </row>
    <row r="33897" hidden="1">
      <c r="E33897" s="96"/>
    </row>
    <row r="33898" hidden="1">
      <c r="E33898" s="96"/>
    </row>
    <row r="33899" hidden="1">
      <c r="E33899" s="96"/>
    </row>
    <row r="33900" hidden="1">
      <c r="E33900" s="96"/>
    </row>
    <row r="33901" hidden="1">
      <c r="E33901" s="96"/>
    </row>
    <row r="33902" hidden="1">
      <c r="E33902" s="96"/>
    </row>
    <row r="33903" hidden="1">
      <c r="E33903" s="96"/>
    </row>
    <row r="33904" hidden="1">
      <c r="E33904" s="96"/>
    </row>
    <row r="33905" hidden="1">
      <c r="E33905" s="96"/>
    </row>
    <row r="33906" hidden="1">
      <c r="E33906" s="96"/>
    </row>
    <row r="33907" hidden="1">
      <c r="E33907" s="96"/>
    </row>
    <row r="33908" hidden="1">
      <c r="E33908" s="96"/>
    </row>
    <row r="33909" hidden="1">
      <c r="E33909" s="96"/>
    </row>
    <row r="33910" hidden="1">
      <c r="E33910" s="96"/>
    </row>
    <row r="33911" hidden="1">
      <c r="E33911" s="96"/>
    </row>
    <row r="33912" hidden="1">
      <c r="E33912" s="96"/>
    </row>
    <row r="33913" hidden="1">
      <c r="E33913" s="96"/>
    </row>
    <row r="33914" hidden="1">
      <c r="E33914" s="96"/>
    </row>
    <row r="33915" hidden="1">
      <c r="E33915" s="96"/>
    </row>
    <row r="33916" hidden="1">
      <c r="E33916" s="96"/>
    </row>
    <row r="33917" hidden="1">
      <c r="E33917" s="96"/>
    </row>
    <row r="33918" hidden="1">
      <c r="E33918" s="96"/>
    </row>
    <row r="33919" hidden="1">
      <c r="E33919" s="96"/>
    </row>
    <row r="33920" hidden="1">
      <c r="E33920" s="96"/>
    </row>
    <row r="33921" hidden="1">
      <c r="E33921" s="96"/>
    </row>
    <row r="33922" hidden="1">
      <c r="E33922" s="96"/>
    </row>
    <row r="33923" hidden="1">
      <c r="E33923" s="96"/>
    </row>
    <row r="33924" hidden="1">
      <c r="E33924" s="96"/>
    </row>
    <row r="33925" hidden="1">
      <c r="E33925" s="96"/>
    </row>
    <row r="33926" hidden="1">
      <c r="E33926" s="96"/>
    </row>
    <row r="33927" hidden="1">
      <c r="E33927" s="96"/>
    </row>
    <row r="33928" hidden="1">
      <c r="E33928" s="96"/>
    </row>
    <row r="33929" hidden="1">
      <c r="E33929" s="96"/>
    </row>
    <row r="33930" hidden="1">
      <c r="E33930" s="96"/>
    </row>
    <row r="33931" hidden="1">
      <c r="E33931" s="96"/>
    </row>
    <row r="33932" hidden="1">
      <c r="E33932" s="96"/>
    </row>
    <row r="33933" hidden="1">
      <c r="E33933" s="96"/>
    </row>
    <row r="33934" hidden="1">
      <c r="E33934" s="96"/>
    </row>
    <row r="33935" hidden="1">
      <c r="E33935" s="96"/>
    </row>
    <row r="33936" hidden="1">
      <c r="E33936" s="96"/>
    </row>
    <row r="33937" hidden="1">
      <c r="E33937" s="96"/>
    </row>
    <row r="33938" hidden="1">
      <c r="E33938" s="96"/>
    </row>
    <row r="33939" hidden="1">
      <c r="E33939" s="96"/>
    </row>
    <row r="33940" hidden="1">
      <c r="E33940" s="96"/>
    </row>
    <row r="33941" hidden="1">
      <c r="E33941" s="96"/>
    </row>
    <row r="33942" hidden="1">
      <c r="E33942" s="96"/>
    </row>
    <row r="33943" hidden="1">
      <c r="E33943" s="96"/>
    </row>
    <row r="33944" hidden="1">
      <c r="E33944" s="96"/>
    </row>
    <row r="33945" hidden="1">
      <c r="E33945" s="96"/>
    </row>
    <row r="33946" hidden="1">
      <c r="E33946" s="96"/>
    </row>
    <row r="33947" hidden="1">
      <c r="E33947" s="96"/>
    </row>
    <row r="33948" hidden="1">
      <c r="E33948" s="96"/>
    </row>
    <row r="33949" hidden="1">
      <c r="E33949" s="96"/>
    </row>
    <row r="33950" hidden="1">
      <c r="E33950" s="96"/>
    </row>
    <row r="33951" hidden="1">
      <c r="E33951" s="96"/>
    </row>
    <row r="33952" hidden="1">
      <c r="E33952" s="96"/>
    </row>
    <row r="33953" hidden="1">
      <c r="E33953" s="96"/>
    </row>
    <row r="33954" hidden="1">
      <c r="E33954" s="96"/>
    </row>
    <row r="33955" hidden="1">
      <c r="E33955" s="96"/>
    </row>
    <row r="33956" hidden="1">
      <c r="E33956" s="96"/>
    </row>
    <row r="33957" hidden="1">
      <c r="E33957" s="96"/>
    </row>
    <row r="33958" hidden="1">
      <c r="E33958" s="96"/>
    </row>
    <row r="33959" hidden="1">
      <c r="E33959" s="96"/>
    </row>
    <row r="33960" hidden="1">
      <c r="E33960" s="96"/>
    </row>
    <row r="33961" hidden="1">
      <c r="E33961" s="96"/>
    </row>
    <row r="33962" hidden="1">
      <c r="E33962" s="96"/>
    </row>
    <row r="33963" hidden="1">
      <c r="E33963" s="96"/>
    </row>
    <row r="33964" hidden="1">
      <c r="E33964" s="96"/>
    </row>
    <row r="33965" hidden="1">
      <c r="E33965" s="96"/>
    </row>
    <row r="33966" hidden="1">
      <c r="E33966" s="96"/>
    </row>
    <row r="33967" hidden="1">
      <c r="E33967" s="96"/>
    </row>
    <row r="33968" hidden="1">
      <c r="E33968" s="96"/>
    </row>
    <row r="33969" hidden="1">
      <c r="E33969" s="96"/>
    </row>
    <row r="33970" hidden="1">
      <c r="E33970" s="96"/>
    </row>
    <row r="33971" hidden="1">
      <c r="E33971" s="96"/>
    </row>
    <row r="33972" hidden="1">
      <c r="E33972" s="96"/>
    </row>
    <row r="33973" hidden="1">
      <c r="E33973" s="96"/>
    </row>
    <row r="33974" hidden="1">
      <c r="E33974" s="96"/>
    </row>
    <row r="33975" hidden="1">
      <c r="E33975" s="96"/>
    </row>
    <row r="33976" hidden="1">
      <c r="E33976" s="96"/>
    </row>
    <row r="33977" hidden="1">
      <c r="E33977" s="96"/>
    </row>
    <row r="33978" hidden="1">
      <c r="E33978" s="96"/>
    </row>
    <row r="33979" hidden="1">
      <c r="E33979" s="96"/>
    </row>
    <row r="33980" hidden="1">
      <c r="E33980" s="96"/>
    </row>
    <row r="33981" hidden="1">
      <c r="E33981" s="96"/>
    </row>
    <row r="33982" hidden="1">
      <c r="E33982" s="96"/>
    </row>
    <row r="33983" hidden="1">
      <c r="E33983" s="96"/>
    </row>
    <row r="33984" hidden="1">
      <c r="E33984" s="96"/>
    </row>
    <row r="33985" hidden="1">
      <c r="E33985" s="96"/>
    </row>
    <row r="33986" hidden="1">
      <c r="E33986" s="96"/>
    </row>
    <row r="33987" hidden="1">
      <c r="E33987" s="96"/>
    </row>
    <row r="33988" hidden="1">
      <c r="E33988" s="96"/>
    </row>
    <row r="33989" hidden="1">
      <c r="E33989" s="96"/>
    </row>
    <row r="33990" hidden="1">
      <c r="E33990" s="96"/>
    </row>
    <row r="33991" hidden="1">
      <c r="E33991" s="96"/>
    </row>
    <row r="33992" hidden="1">
      <c r="E33992" s="96"/>
    </row>
    <row r="33993" hidden="1">
      <c r="E33993" s="96"/>
    </row>
    <row r="33994" hidden="1">
      <c r="E33994" s="96"/>
    </row>
    <row r="33995" hidden="1">
      <c r="E33995" s="96"/>
    </row>
    <row r="33996" hidden="1">
      <c r="E33996" s="96"/>
    </row>
    <row r="33997" hidden="1">
      <c r="E33997" s="96"/>
    </row>
    <row r="33998" hidden="1">
      <c r="E33998" s="96"/>
    </row>
    <row r="33999" hidden="1">
      <c r="E33999" s="96"/>
    </row>
    <row r="34000" hidden="1">
      <c r="E34000" s="96"/>
    </row>
    <row r="34001" hidden="1">
      <c r="E34001" s="96"/>
    </row>
    <row r="34002" hidden="1">
      <c r="E34002" s="96"/>
    </row>
    <row r="34003" hidden="1">
      <c r="E34003" s="96"/>
    </row>
    <row r="34004" hidden="1">
      <c r="E34004" s="96"/>
    </row>
    <row r="34005" hidden="1">
      <c r="E34005" s="96"/>
    </row>
    <row r="34006" hidden="1">
      <c r="E34006" s="96"/>
    </row>
    <row r="34007" hidden="1">
      <c r="E34007" s="96"/>
    </row>
    <row r="34008" hidden="1">
      <c r="E34008" s="96"/>
    </row>
    <row r="34009" hidden="1">
      <c r="E34009" s="96"/>
    </row>
    <row r="34010" hidden="1">
      <c r="E34010" s="96"/>
    </row>
    <row r="34011" hidden="1">
      <c r="E34011" s="96"/>
    </row>
    <row r="34012" hidden="1">
      <c r="E34012" s="96"/>
    </row>
    <row r="34013" hidden="1">
      <c r="E34013" s="96"/>
    </row>
    <row r="34014" hidden="1">
      <c r="E34014" s="96"/>
    </row>
    <row r="34015" hidden="1">
      <c r="E34015" s="96"/>
    </row>
    <row r="34016" hidden="1">
      <c r="E34016" s="96"/>
    </row>
    <row r="34017" hidden="1">
      <c r="E34017" s="96"/>
    </row>
    <row r="34018" hidden="1">
      <c r="E34018" s="96"/>
    </row>
    <row r="34019" hidden="1">
      <c r="E34019" s="96"/>
    </row>
    <row r="34020" hidden="1">
      <c r="E34020" s="96"/>
    </row>
    <row r="34021" hidden="1">
      <c r="E34021" s="96"/>
    </row>
    <row r="34022" hidden="1">
      <c r="E34022" s="96"/>
    </row>
    <row r="34023" hidden="1">
      <c r="E34023" s="96"/>
    </row>
    <row r="34024" hidden="1">
      <c r="E34024" s="96"/>
    </row>
    <row r="34025" hidden="1">
      <c r="E34025" s="96"/>
    </row>
    <row r="34026" hidden="1">
      <c r="E34026" s="96"/>
    </row>
    <row r="34027" hidden="1">
      <c r="E34027" s="96"/>
    </row>
    <row r="34028" hidden="1">
      <c r="E34028" s="96"/>
    </row>
    <row r="34029" hidden="1">
      <c r="E34029" s="96"/>
    </row>
    <row r="34030" hidden="1">
      <c r="E34030" s="96"/>
    </row>
    <row r="34031" hidden="1">
      <c r="E34031" s="96"/>
    </row>
    <row r="34032" hidden="1">
      <c r="E34032" s="96"/>
    </row>
    <row r="34033" hidden="1">
      <c r="E34033" s="96"/>
    </row>
    <row r="34034" hidden="1">
      <c r="E34034" s="96"/>
    </row>
    <row r="34035" hidden="1">
      <c r="E34035" s="96"/>
    </row>
    <row r="34036" hidden="1">
      <c r="E34036" s="96"/>
    </row>
    <row r="34037" hidden="1">
      <c r="E34037" s="96"/>
    </row>
    <row r="34038" hidden="1">
      <c r="E34038" s="96"/>
    </row>
    <row r="34039" hidden="1">
      <c r="E34039" s="96"/>
    </row>
    <row r="34040" hidden="1">
      <c r="E34040" s="96"/>
    </row>
    <row r="34041" hidden="1">
      <c r="E34041" s="96"/>
    </row>
    <row r="34042" hidden="1">
      <c r="E34042" s="96"/>
    </row>
    <row r="34043" hidden="1">
      <c r="E34043" s="96"/>
    </row>
    <row r="34044" hidden="1">
      <c r="E34044" s="96"/>
    </row>
    <row r="34045" hidden="1">
      <c r="E34045" s="96"/>
    </row>
    <row r="34046" hidden="1">
      <c r="E34046" s="96"/>
    </row>
    <row r="34047" hidden="1">
      <c r="E34047" s="96"/>
    </row>
    <row r="34048" hidden="1">
      <c r="E34048" s="96"/>
    </row>
    <row r="34049" hidden="1">
      <c r="E34049" s="96"/>
    </row>
    <row r="34050" hidden="1">
      <c r="E34050" s="96"/>
    </row>
    <row r="34051" hidden="1">
      <c r="E34051" s="96"/>
    </row>
    <row r="34052" hidden="1">
      <c r="E34052" s="96"/>
    </row>
    <row r="34053" hidden="1">
      <c r="E34053" s="96"/>
    </row>
    <row r="34054" hidden="1">
      <c r="E34054" s="96"/>
    </row>
    <row r="34055" hidden="1">
      <c r="E34055" s="96"/>
    </row>
    <row r="34056" hidden="1">
      <c r="E34056" s="96"/>
    </row>
    <row r="34057" hidden="1">
      <c r="E34057" s="96"/>
    </row>
    <row r="34058" hidden="1">
      <c r="E34058" s="96"/>
    </row>
    <row r="34059" hidden="1">
      <c r="E34059" s="96"/>
    </row>
    <row r="34060" hidden="1">
      <c r="E34060" s="96"/>
    </row>
    <row r="34061" hidden="1">
      <c r="E34061" s="96"/>
    </row>
    <row r="34062" hidden="1">
      <c r="E34062" s="96"/>
    </row>
    <row r="34063" hidden="1">
      <c r="E34063" s="96"/>
    </row>
    <row r="34064" hidden="1">
      <c r="E34064" s="96"/>
    </row>
    <row r="34065" hidden="1">
      <c r="E34065" s="96"/>
    </row>
    <row r="34066" hidden="1">
      <c r="E34066" s="96"/>
    </row>
    <row r="34067" hidden="1">
      <c r="E34067" s="96"/>
    </row>
    <row r="34068" hidden="1">
      <c r="E34068" s="96"/>
    </row>
    <row r="34069" hidden="1">
      <c r="E34069" s="96"/>
    </row>
    <row r="34070" hidden="1">
      <c r="E34070" s="96"/>
    </row>
    <row r="34071" hidden="1">
      <c r="E34071" s="96"/>
    </row>
    <row r="34072" hidden="1">
      <c r="E34072" s="96"/>
    </row>
    <row r="34073" hidden="1">
      <c r="E34073" s="96"/>
    </row>
    <row r="34074" hidden="1">
      <c r="E34074" s="96"/>
    </row>
    <row r="34075" hidden="1">
      <c r="E34075" s="96"/>
    </row>
    <row r="34076" hidden="1">
      <c r="E34076" s="96"/>
    </row>
    <row r="34077" hidden="1">
      <c r="E34077" s="96"/>
    </row>
    <row r="34078" hidden="1">
      <c r="E34078" s="96"/>
    </row>
    <row r="34079" hidden="1">
      <c r="E34079" s="96"/>
    </row>
    <row r="34080" hidden="1">
      <c r="E34080" s="96"/>
    </row>
    <row r="34081" hidden="1">
      <c r="E34081" s="96"/>
    </row>
    <row r="34082" hidden="1">
      <c r="E34082" s="96"/>
    </row>
    <row r="34083" hidden="1">
      <c r="E34083" s="96"/>
    </row>
    <row r="34084" hidden="1">
      <c r="E34084" s="96"/>
    </row>
    <row r="34085" hidden="1">
      <c r="E34085" s="96"/>
    </row>
    <row r="34086" hidden="1">
      <c r="E34086" s="96"/>
    </row>
    <row r="34087" hidden="1">
      <c r="E34087" s="96"/>
    </row>
    <row r="34088" hidden="1">
      <c r="E34088" s="96"/>
    </row>
    <row r="34089" hidden="1">
      <c r="E34089" s="96"/>
    </row>
    <row r="34090" hidden="1">
      <c r="E34090" s="96"/>
    </row>
    <row r="34091" hidden="1">
      <c r="E34091" s="96"/>
    </row>
    <row r="34092" hidden="1">
      <c r="E34092" s="96"/>
    </row>
    <row r="34093" hidden="1">
      <c r="E34093" s="96"/>
    </row>
    <row r="34094" hidden="1">
      <c r="E34094" s="96"/>
    </row>
    <row r="34095" hidden="1">
      <c r="E34095" s="96"/>
    </row>
    <row r="34096" hidden="1">
      <c r="E34096" s="96"/>
    </row>
    <row r="34097" hidden="1">
      <c r="E34097" s="96"/>
    </row>
    <row r="34098" hidden="1">
      <c r="E34098" s="96"/>
    </row>
    <row r="34099" hidden="1">
      <c r="E34099" s="96"/>
    </row>
    <row r="34100" hidden="1">
      <c r="E34100" s="96"/>
    </row>
    <row r="34101" hidden="1">
      <c r="E34101" s="96"/>
    </row>
    <row r="34102" hidden="1">
      <c r="E34102" s="96"/>
    </row>
    <row r="34103" hidden="1">
      <c r="E34103" s="96"/>
    </row>
    <row r="34104" hidden="1">
      <c r="E34104" s="96"/>
    </row>
    <row r="34105" hidden="1">
      <c r="E34105" s="96"/>
    </row>
    <row r="34106" hidden="1">
      <c r="E34106" s="96"/>
    </row>
    <row r="34107" hidden="1">
      <c r="E34107" s="96"/>
    </row>
    <row r="34108" hidden="1">
      <c r="E34108" s="96"/>
    </row>
    <row r="34109" hidden="1">
      <c r="E34109" s="96"/>
    </row>
    <row r="34110" hidden="1">
      <c r="E34110" s="96"/>
    </row>
    <row r="34111" hidden="1">
      <c r="E34111" s="96"/>
    </row>
    <row r="34112" hidden="1">
      <c r="E34112" s="96"/>
    </row>
    <row r="34113" hidden="1">
      <c r="E34113" s="96"/>
    </row>
    <row r="34114" hidden="1">
      <c r="E34114" s="96"/>
    </row>
    <row r="34115" hidden="1">
      <c r="E34115" s="96"/>
    </row>
    <row r="34116" hidden="1">
      <c r="E34116" s="96"/>
    </row>
    <row r="34117" hidden="1">
      <c r="E34117" s="96"/>
    </row>
    <row r="34118" hidden="1">
      <c r="E34118" s="96"/>
    </row>
    <row r="34119" hidden="1">
      <c r="E34119" s="96"/>
    </row>
    <row r="34120" hidden="1">
      <c r="E34120" s="96"/>
    </row>
    <row r="34121" hidden="1">
      <c r="E34121" s="96"/>
    </row>
    <row r="34122" hidden="1">
      <c r="E34122" s="96"/>
    </row>
    <row r="34123" hidden="1">
      <c r="E34123" s="96"/>
    </row>
    <row r="34124" hidden="1">
      <c r="E34124" s="96"/>
    </row>
    <row r="34125" hidden="1">
      <c r="E34125" s="96"/>
    </row>
    <row r="34126" hidden="1">
      <c r="E34126" s="96"/>
    </row>
    <row r="34127" hidden="1">
      <c r="E34127" s="96"/>
    </row>
    <row r="34128" hidden="1">
      <c r="E34128" s="96"/>
    </row>
    <row r="34129" hidden="1">
      <c r="E34129" s="96"/>
    </row>
    <row r="34130" hidden="1">
      <c r="E34130" s="96"/>
    </row>
    <row r="34131" hidden="1">
      <c r="E34131" s="96"/>
    </row>
    <row r="34132" hidden="1">
      <c r="E34132" s="96"/>
    </row>
    <row r="34133" hidden="1">
      <c r="E34133" s="96"/>
    </row>
    <row r="34134" hidden="1">
      <c r="E34134" s="96"/>
    </row>
    <row r="34135" hidden="1">
      <c r="E34135" s="96"/>
    </row>
    <row r="34136" hidden="1">
      <c r="E34136" s="96"/>
    </row>
    <row r="34137" hidden="1">
      <c r="E34137" s="96"/>
    </row>
    <row r="34138" hidden="1">
      <c r="E34138" s="96"/>
    </row>
    <row r="34139" hidden="1">
      <c r="E34139" s="96"/>
    </row>
    <row r="34140" hidden="1">
      <c r="E34140" s="96"/>
    </row>
    <row r="34141" hidden="1">
      <c r="E34141" s="96"/>
    </row>
    <row r="34142" hidden="1">
      <c r="E34142" s="96"/>
    </row>
    <row r="34143" hidden="1">
      <c r="E34143" s="96"/>
    </row>
    <row r="34144" hidden="1">
      <c r="E34144" s="96"/>
    </row>
    <row r="34145" hidden="1">
      <c r="E34145" s="96"/>
    </row>
    <row r="34146" hidden="1">
      <c r="E34146" s="96"/>
    </row>
    <row r="34147" hidden="1">
      <c r="E34147" s="96"/>
    </row>
    <row r="34148" hidden="1">
      <c r="E34148" s="96"/>
    </row>
    <row r="34149" hidden="1">
      <c r="E34149" s="96"/>
    </row>
    <row r="34150" hidden="1">
      <c r="E34150" s="96"/>
    </row>
    <row r="34151" hidden="1">
      <c r="E34151" s="96"/>
    </row>
    <row r="34152" hidden="1">
      <c r="E34152" s="96"/>
    </row>
    <row r="34153" hidden="1">
      <c r="E34153" s="96"/>
    </row>
    <row r="34154" hidden="1">
      <c r="E34154" s="96"/>
    </row>
    <row r="34155" hidden="1">
      <c r="E34155" s="96"/>
    </row>
    <row r="34156" hidden="1">
      <c r="E34156" s="96"/>
    </row>
    <row r="34157" hidden="1">
      <c r="E34157" s="96"/>
    </row>
    <row r="34158" hidden="1">
      <c r="E34158" s="96"/>
    </row>
    <row r="34159" hidden="1">
      <c r="E34159" s="96"/>
    </row>
    <row r="34160" hidden="1">
      <c r="E34160" s="96"/>
    </row>
    <row r="34161" hidden="1">
      <c r="E34161" s="96"/>
    </row>
    <row r="34162" hidden="1">
      <c r="E34162" s="96"/>
    </row>
    <row r="34163" hidden="1">
      <c r="E34163" s="96"/>
    </row>
    <row r="34164" hidden="1">
      <c r="E34164" s="96"/>
    </row>
    <row r="34165" hidden="1">
      <c r="E34165" s="96"/>
    </row>
    <row r="34166" hidden="1">
      <c r="E34166" s="96"/>
    </row>
    <row r="34167" hidden="1">
      <c r="E34167" s="96"/>
    </row>
    <row r="34168" hidden="1">
      <c r="E34168" s="96"/>
    </row>
    <row r="34169" hidden="1">
      <c r="E34169" s="96"/>
    </row>
    <row r="34170" hidden="1">
      <c r="E34170" s="96"/>
    </row>
    <row r="34171" hidden="1">
      <c r="E34171" s="96"/>
    </row>
    <row r="34172" hidden="1">
      <c r="E34172" s="96"/>
    </row>
    <row r="34173" hidden="1">
      <c r="E34173" s="96"/>
    </row>
    <row r="34174" hidden="1">
      <c r="E34174" s="96"/>
    </row>
    <row r="34175" hidden="1">
      <c r="E34175" s="96"/>
    </row>
    <row r="34176" hidden="1">
      <c r="E34176" s="96"/>
    </row>
    <row r="34177" hidden="1">
      <c r="E34177" s="96"/>
    </row>
    <row r="34178" hidden="1">
      <c r="E34178" s="96"/>
    </row>
    <row r="34179" hidden="1">
      <c r="E34179" s="96"/>
    </row>
    <row r="34180" hidden="1">
      <c r="E34180" s="96"/>
    </row>
    <row r="34181" hidden="1">
      <c r="E34181" s="96"/>
    </row>
    <row r="34182" hidden="1">
      <c r="E34182" s="96"/>
    </row>
    <row r="34183" hidden="1">
      <c r="E34183" s="96"/>
    </row>
    <row r="34184" hidden="1">
      <c r="E34184" s="96"/>
    </row>
    <row r="34185" hidden="1">
      <c r="E34185" s="96"/>
    </row>
    <row r="34186" hidden="1">
      <c r="E34186" s="96"/>
    </row>
    <row r="34187" hidden="1">
      <c r="E34187" s="96"/>
    </row>
    <row r="34188" hidden="1">
      <c r="E34188" s="96"/>
    </row>
    <row r="34189" hidden="1">
      <c r="E34189" s="96"/>
    </row>
    <row r="34190" hidden="1">
      <c r="E34190" s="96"/>
    </row>
    <row r="34191" hidden="1">
      <c r="E34191" s="96"/>
    </row>
    <row r="34192" hidden="1">
      <c r="E34192" s="96"/>
    </row>
    <row r="34193" hidden="1">
      <c r="E34193" s="96"/>
    </row>
    <row r="34194" hidden="1">
      <c r="E34194" s="96"/>
    </row>
    <row r="34195" hidden="1">
      <c r="E34195" s="96"/>
    </row>
    <row r="34196" hidden="1">
      <c r="E34196" s="96"/>
    </row>
    <row r="34197" hidden="1">
      <c r="E34197" s="96"/>
    </row>
    <row r="34198" hidden="1">
      <c r="E34198" s="96"/>
    </row>
    <row r="34199" hidden="1">
      <c r="E34199" s="96"/>
    </row>
    <row r="34200" hidden="1">
      <c r="E34200" s="96"/>
    </row>
    <row r="34201" hidden="1">
      <c r="E34201" s="96"/>
    </row>
    <row r="34202" hidden="1">
      <c r="E34202" s="96"/>
    </row>
    <row r="34203" hidden="1">
      <c r="E34203" s="96"/>
    </row>
    <row r="34204" hidden="1">
      <c r="E34204" s="96"/>
    </row>
    <row r="34205" hidden="1">
      <c r="E34205" s="96"/>
    </row>
    <row r="34206" hidden="1">
      <c r="E34206" s="96"/>
    </row>
    <row r="34207" hidden="1">
      <c r="E34207" s="96"/>
    </row>
    <row r="34208" hidden="1">
      <c r="E34208" s="96"/>
    </row>
    <row r="34209" hidden="1">
      <c r="E34209" s="96"/>
    </row>
    <row r="34210" hidden="1">
      <c r="E34210" s="96"/>
    </row>
    <row r="34211" hidden="1">
      <c r="E34211" s="96"/>
    </row>
    <row r="34212" hidden="1">
      <c r="E34212" s="96"/>
    </row>
    <row r="34213" hidden="1">
      <c r="E34213" s="96"/>
    </row>
    <row r="34214" hidden="1">
      <c r="E34214" s="96"/>
    </row>
    <row r="34215" hidden="1">
      <c r="E34215" s="96"/>
    </row>
    <row r="34216" hidden="1">
      <c r="E34216" s="96"/>
    </row>
    <row r="34217" hidden="1">
      <c r="E34217" s="96"/>
    </row>
    <row r="34218" hidden="1">
      <c r="E34218" s="96"/>
    </row>
    <row r="34219" hidden="1">
      <c r="E34219" s="96"/>
    </row>
    <row r="34220" hidden="1">
      <c r="E34220" s="96"/>
    </row>
    <row r="34221" hidden="1">
      <c r="E34221" s="96"/>
    </row>
    <row r="34222" hidden="1">
      <c r="E34222" s="96"/>
    </row>
    <row r="34223" hidden="1">
      <c r="E34223" s="96"/>
    </row>
    <row r="34224" hidden="1">
      <c r="E34224" s="96"/>
    </row>
    <row r="34225" hidden="1">
      <c r="E34225" s="96"/>
    </row>
    <row r="34226" hidden="1">
      <c r="E34226" s="96"/>
    </row>
    <row r="34227" hidden="1">
      <c r="E34227" s="96"/>
    </row>
    <row r="34228" hidden="1">
      <c r="E34228" s="96"/>
    </row>
    <row r="34229" hidden="1">
      <c r="E34229" s="96"/>
    </row>
    <row r="34230" hidden="1">
      <c r="E34230" s="96"/>
    </row>
    <row r="34231" hidden="1">
      <c r="E34231" s="96"/>
    </row>
    <row r="34232" hidden="1">
      <c r="E34232" s="96"/>
    </row>
    <row r="34233" hidden="1">
      <c r="E34233" s="96"/>
    </row>
    <row r="34234" hidden="1">
      <c r="E34234" s="96"/>
    </row>
    <row r="34235" hidden="1">
      <c r="E34235" s="96"/>
    </row>
    <row r="34236" hidden="1">
      <c r="E34236" s="96"/>
    </row>
    <row r="34237" hidden="1">
      <c r="E34237" s="96"/>
    </row>
    <row r="34238" hidden="1">
      <c r="E34238" s="96"/>
    </row>
    <row r="34239" hidden="1">
      <c r="E34239" s="96"/>
    </row>
    <row r="34240" hidden="1">
      <c r="E34240" s="96"/>
    </row>
    <row r="34241" hidden="1">
      <c r="E34241" s="96"/>
    </row>
    <row r="34242" hidden="1">
      <c r="E34242" s="96"/>
    </row>
    <row r="34243" hidden="1">
      <c r="E34243" s="96"/>
    </row>
    <row r="34244" hidden="1">
      <c r="E34244" s="96"/>
    </row>
    <row r="34245" hidden="1">
      <c r="E34245" s="96"/>
    </row>
    <row r="34246" hidden="1">
      <c r="E34246" s="96"/>
    </row>
    <row r="34247" hidden="1">
      <c r="E34247" s="96"/>
    </row>
    <row r="34248" hidden="1">
      <c r="E34248" s="96"/>
    </row>
    <row r="34249" hidden="1">
      <c r="E34249" s="96"/>
    </row>
    <row r="34250" hidden="1">
      <c r="E34250" s="96"/>
    </row>
    <row r="34251" hidden="1">
      <c r="E34251" s="96"/>
    </row>
    <row r="34252" hidden="1">
      <c r="E34252" s="96"/>
    </row>
    <row r="34253" hidden="1">
      <c r="E34253" s="96"/>
    </row>
    <row r="34254" hidden="1">
      <c r="E34254" s="96"/>
    </row>
    <row r="34255" hidden="1">
      <c r="E34255" s="96"/>
    </row>
    <row r="34256" hidden="1">
      <c r="E34256" s="96"/>
    </row>
    <row r="34257" hidden="1">
      <c r="E34257" s="96"/>
    </row>
    <row r="34258" hidden="1">
      <c r="E34258" s="96"/>
    </row>
    <row r="34259" hidden="1">
      <c r="E34259" s="96"/>
    </row>
    <row r="34260" hidden="1">
      <c r="E34260" s="96"/>
    </row>
    <row r="34261" hidden="1">
      <c r="E34261" s="96"/>
    </row>
    <row r="34262" hidden="1">
      <c r="E34262" s="96"/>
    </row>
    <row r="34263" hidden="1">
      <c r="E34263" s="96"/>
    </row>
    <row r="34264" hidden="1">
      <c r="E34264" s="96"/>
    </row>
    <row r="34265" hidden="1">
      <c r="E34265" s="96"/>
    </row>
    <row r="34266" hidden="1">
      <c r="E34266" s="96"/>
    </row>
    <row r="34267" hidden="1">
      <c r="E34267" s="96"/>
    </row>
    <row r="34268" hidden="1">
      <c r="E34268" s="96"/>
    </row>
    <row r="34269" hidden="1">
      <c r="E34269" s="96"/>
    </row>
    <row r="34270" hidden="1">
      <c r="E34270" s="96"/>
    </row>
    <row r="34271" hidden="1">
      <c r="E34271" s="96"/>
    </row>
    <row r="34272" hidden="1">
      <c r="E34272" s="96"/>
    </row>
    <row r="34273" hidden="1">
      <c r="E34273" s="96"/>
    </row>
    <row r="34274" hidden="1">
      <c r="E34274" s="96"/>
    </row>
    <row r="34275" hidden="1">
      <c r="E34275" s="96"/>
    </row>
    <row r="34276" hidden="1">
      <c r="E34276" s="96"/>
    </row>
    <row r="34277" hidden="1">
      <c r="E34277" s="96"/>
    </row>
    <row r="34278" hidden="1">
      <c r="E34278" s="96"/>
    </row>
    <row r="34279" hidden="1">
      <c r="E34279" s="96"/>
    </row>
    <row r="34280" hidden="1">
      <c r="E34280" s="96"/>
    </row>
    <row r="34281" hidden="1">
      <c r="E34281" s="96"/>
    </row>
    <row r="34282" hidden="1">
      <c r="E34282" s="96"/>
    </row>
    <row r="34283" hidden="1">
      <c r="E34283" s="96"/>
    </row>
    <row r="34284" hidden="1">
      <c r="E34284" s="96"/>
    </row>
    <row r="34285" hidden="1">
      <c r="E34285" s="96"/>
    </row>
    <row r="34286" hidden="1">
      <c r="E34286" s="96"/>
    </row>
    <row r="34287" hidden="1">
      <c r="E34287" s="96"/>
    </row>
    <row r="34288" hidden="1">
      <c r="E34288" s="96"/>
    </row>
    <row r="34289" hidden="1">
      <c r="E34289" s="96"/>
    </row>
    <row r="34290" hidden="1">
      <c r="E34290" s="96"/>
    </row>
    <row r="34291" hidden="1">
      <c r="E34291" s="96"/>
    </row>
    <row r="34292" hidden="1">
      <c r="E34292" s="96"/>
    </row>
    <row r="34293" hidden="1">
      <c r="E34293" s="96"/>
    </row>
    <row r="34294" hidden="1">
      <c r="E34294" s="96"/>
    </row>
    <row r="34295" hidden="1">
      <c r="E34295" s="96"/>
    </row>
    <row r="34296" hidden="1">
      <c r="E34296" s="96"/>
    </row>
    <row r="34297" hidden="1">
      <c r="E34297" s="96"/>
    </row>
    <row r="34298" hidden="1">
      <c r="E34298" s="96"/>
    </row>
    <row r="34299" hidden="1">
      <c r="E34299" s="96"/>
    </row>
    <row r="34300" hidden="1">
      <c r="E34300" s="96"/>
    </row>
    <row r="34301" hidden="1">
      <c r="E34301" s="96"/>
    </row>
    <row r="34302" hidden="1">
      <c r="E34302" s="96"/>
    </row>
    <row r="34303" hidden="1">
      <c r="E34303" s="96"/>
    </row>
    <row r="34304" hidden="1">
      <c r="E34304" s="96"/>
    </row>
    <row r="34305" hidden="1">
      <c r="E34305" s="96"/>
    </row>
    <row r="34306" hidden="1">
      <c r="E34306" s="96"/>
    </row>
    <row r="34307" hidden="1">
      <c r="E34307" s="96"/>
    </row>
    <row r="34308" hidden="1">
      <c r="E34308" s="96"/>
    </row>
    <row r="34309" hidden="1">
      <c r="E34309" s="96"/>
    </row>
    <row r="34310" hidden="1">
      <c r="E34310" s="96"/>
    </row>
    <row r="34311" hidden="1">
      <c r="E34311" s="96"/>
    </row>
    <row r="34312" hidden="1">
      <c r="E34312" s="96"/>
    </row>
    <row r="34313" hidden="1">
      <c r="E34313" s="96"/>
    </row>
    <row r="34314" hidden="1">
      <c r="E34314" s="96"/>
    </row>
    <row r="34315" hidden="1">
      <c r="E34315" s="96"/>
    </row>
    <row r="34316" hidden="1">
      <c r="E34316" s="96"/>
    </row>
    <row r="34317" hidden="1">
      <c r="E34317" s="96"/>
    </row>
    <row r="34318" hidden="1">
      <c r="E34318" s="96"/>
    </row>
    <row r="34319" hidden="1">
      <c r="E34319" s="96"/>
    </row>
    <row r="34320" hidden="1">
      <c r="E34320" s="96"/>
    </row>
    <row r="34321" hidden="1">
      <c r="E34321" s="96"/>
    </row>
    <row r="34322" hidden="1">
      <c r="E34322" s="96"/>
    </row>
    <row r="34323" hidden="1">
      <c r="E34323" s="96"/>
    </row>
    <row r="34324" hidden="1">
      <c r="E34324" s="96"/>
    </row>
    <row r="34325" hidden="1">
      <c r="E34325" s="96"/>
    </row>
    <row r="34326" hidden="1">
      <c r="E34326" s="96"/>
    </row>
    <row r="34327" hidden="1">
      <c r="E34327" s="96"/>
    </row>
    <row r="34328" hidden="1">
      <c r="E34328" s="96"/>
    </row>
    <row r="34329" hidden="1">
      <c r="E34329" s="96"/>
    </row>
    <row r="34330" hidden="1">
      <c r="E34330" s="96"/>
    </row>
    <row r="34331" hidden="1">
      <c r="E34331" s="96"/>
    </row>
    <row r="34332" hidden="1">
      <c r="E34332" s="96"/>
    </row>
    <row r="34333" hidden="1">
      <c r="E34333" s="96"/>
    </row>
    <row r="34334" hidden="1">
      <c r="E34334" s="96"/>
    </row>
    <row r="34335" hidden="1">
      <c r="E34335" s="96"/>
    </row>
    <row r="34336" hidden="1">
      <c r="E34336" s="96"/>
    </row>
    <row r="34337" hidden="1">
      <c r="E34337" s="96"/>
    </row>
    <row r="34338" hidden="1">
      <c r="E34338" s="96"/>
    </row>
    <row r="34339" hidden="1">
      <c r="E34339" s="96"/>
    </row>
    <row r="34340" hidden="1">
      <c r="E34340" s="96"/>
    </row>
    <row r="34341" hidden="1">
      <c r="E34341" s="96"/>
    </row>
    <row r="34342" hidden="1">
      <c r="E34342" s="96"/>
    </row>
    <row r="34343" hidden="1">
      <c r="E34343" s="96"/>
    </row>
    <row r="34344" hidden="1">
      <c r="E34344" s="96"/>
    </row>
    <row r="34345" hidden="1">
      <c r="E34345" s="96"/>
    </row>
    <row r="34346" hidden="1">
      <c r="E34346" s="96"/>
    </row>
    <row r="34347" hidden="1">
      <c r="E34347" s="96"/>
    </row>
    <row r="34348" hidden="1">
      <c r="E34348" s="96"/>
    </row>
    <row r="34349" hidden="1">
      <c r="E34349" s="96"/>
    </row>
    <row r="34350" hidden="1">
      <c r="E34350" s="96"/>
    </row>
    <row r="34351" hidden="1">
      <c r="E34351" s="96"/>
    </row>
    <row r="34352" hidden="1">
      <c r="E34352" s="96"/>
    </row>
    <row r="34353" hidden="1">
      <c r="E34353" s="96"/>
    </row>
    <row r="34354" hidden="1">
      <c r="E34354" s="96"/>
    </row>
    <row r="34355" hidden="1">
      <c r="E34355" s="96"/>
    </row>
    <row r="34356" hidden="1">
      <c r="E34356" s="96"/>
    </row>
    <row r="34357" hidden="1">
      <c r="E34357" s="96"/>
    </row>
    <row r="34358" hidden="1">
      <c r="E34358" s="96"/>
    </row>
    <row r="34359" hidden="1">
      <c r="E34359" s="96"/>
    </row>
    <row r="34360" hidden="1">
      <c r="E34360" s="96"/>
    </row>
    <row r="34361" hidden="1">
      <c r="E34361" s="96"/>
    </row>
    <row r="34362" hidden="1">
      <c r="E34362" s="96"/>
    </row>
    <row r="34363" hidden="1">
      <c r="E34363" s="96"/>
    </row>
    <row r="34364" hidden="1">
      <c r="E34364" s="96"/>
    </row>
    <row r="34365" hidden="1">
      <c r="E34365" s="96"/>
    </row>
    <row r="34366" hidden="1">
      <c r="E34366" s="96"/>
    </row>
    <row r="34367" hidden="1">
      <c r="E34367" s="96"/>
    </row>
    <row r="34368" hidden="1">
      <c r="E34368" s="96"/>
    </row>
    <row r="34369" hidden="1">
      <c r="E34369" s="96"/>
    </row>
    <row r="34370" hidden="1">
      <c r="E34370" s="96"/>
    </row>
    <row r="34371" hidden="1">
      <c r="E34371" s="96"/>
    </row>
    <row r="34372" hidden="1">
      <c r="E34372" s="96"/>
    </row>
    <row r="34373" hidden="1">
      <c r="E34373" s="96"/>
    </row>
    <row r="34374" hidden="1">
      <c r="E34374" s="96"/>
    </row>
    <row r="34375" hidden="1">
      <c r="E34375" s="96"/>
    </row>
    <row r="34376" hidden="1">
      <c r="E34376" s="96"/>
    </row>
    <row r="34377" hidden="1">
      <c r="E34377" s="96"/>
    </row>
    <row r="34378" hidden="1">
      <c r="E34378" s="96"/>
    </row>
    <row r="34379" hidden="1">
      <c r="E34379" s="96"/>
    </row>
    <row r="34380" hidden="1">
      <c r="E34380" s="96"/>
    </row>
    <row r="34381" hidden="1">
      <c r="E34381" s="96"/>
    </row>
    <row r="34382" hidden="1">
      <c r="E34382" s="96"/>
    </row>
    <row r="34383" hidden="1">
      <c r="E34383" s="96"/>
    </row>
    <row r="34384" hidden="1">
      <c r="E34384" s="96"/>
    </row>
    <row r="34385" hidden="1">
      <c r="E34385" s="96"/>
    </row>
    <row r="34386" hidden="1">
      <c r="E34386" s="96"/>
    </row>
    <row r="34387" hidden="1">
      <c r="E34387" s="96"/>
    </row>
    <row r="34388" hidden="1">
      <c r="E34388" s="96"/>
    </row>
    <row r="34389" hidden="1">
      <c r="E34389" s="96"/>
    </row>
    <row r="34390" hidden="1">
      <c r="E34390" s="96"/>
    </row>
    <row r="34391" hidden="1">
      <c r="E34391" s="96"/>
    </row>
    <row r="34392" hidden="1">
      <c r="E34392" s="96"/>
    </row>
    <row r="34393" hidden="1">
      <c r="E34393" s="96"/>
    </row>
    <row r="34394" hidden="1">
      <c r="E34394" s="96"/>
    </row>
    <row r="34395" hidden="1">
      <c r="E34395" s="96"/>
    </row>
    <row r="34396" hidden="1">
      <c r="E34396" s="96"/>
    </row>
    <row r="34397" hidden="1">
      <c r="E34397" s="96"/>
    </row>
    <row r="34398" hidden="1">
      <c r="E34398" s="96"/>
    </row>
    <row r="34399" hidden="1">
      <c r="E34399" s="96"/>
    </row>
    <row r="34400" hidden="1">
      <c r="E34400" s="96"/>
    </row>
    <row r="34401" hidden="1">
      <c r="E34401" s="96"/>
    </row>
    <row r="34402" hidden="1">
      <c r="E34402" s="96"/>
    </row>
    <row r="34403" hidden="1">
      <c r="E34403" s="96"/>
    </row>
    <row r="34404" hidden="1">
      <c r="E34404" s="96"/>
    </row>
    <row r="34405" hidden="1">
      <c r="E34405" s="96"/>
    </row>
    <row r="34406" hidden="1">
      <c r="E34406" s="96"/>
    </row>
    <row r="34407" hidden="1">
      <c r="E34407" s="96"/>
    </row>
    <row r="34408" hidden="1">
      <c r="E34408" s="96"/>
    </row>
    <row r="34409" hidden="1">
      <c r="E34409" s="96"/>
    </row>
    <row r="34410" hidden="1">
      <c r="E34410" s="96"/>
    </row>
    <row r="34411" hidden="1">
      <c r="E34411" s="96"/>
    </row>
    <row r="34412" hidden="1">
      <c r="E34412" s="96"/>
    </row>
    <row r="34413" hidden="1">
      <c r="E34413" s="96"/>
    </row>
    <row r="34414" hidden="1">
      <c r="E34414" s="96"/>
    </row>
    <row r="34415" hidden="1">
      <c r="E34415" s="96"/>
    </row>
    <row r="34416" hidden="1">
      <c r="E34416" s="96"/>
    </row>
    <row r="34417" hidden="1">
      <c r="E34417" s="96"/>
    </row>
    <row r="34418" hidden="1">
      <c r="E34418" s="96"/>
    </row>
    <row r="34419" hidden="1">
      <c r="E34419" s="96"/>
    </row>
    <row r="34420" hidden="1">
      <c r="E34420" s="96"/>
    </row>
    <row r="34421" hidden="1">
      <c r="E34421" s="96"/>
    </row>
    <row r="34422" hidden="1">
      <c r="E34422" s="96"/>
    </row>
    <row r="34423" hidden="1">
      <c r="E34423" s="96"/>
    </row>
    <row r="34424" hidden="1">
      <c r="E34424" s="96"/>
    </row>
    <row r="34425" hidden="1">
      <c r="E34425" s="96"/>
    </row>
    <row r="34426" hidden="1">
      <c r="E34426" s="96"/>
    </row>
    <row r="34427" hidden="1">
      <c r="E34427" s="96"/>
    </row>
    <row r="34428" hidden="1">
      <c r="E34428" s="96"/>
    </row>
    <row r="34429" hidden="1">
      <c r="E34429" s="96"/>
    </row>
    <row r="34430" hidden="1">
      <c r="E34430" s="96"/>
    </row>
    <row r="34431" hidden="1">
      <c r="E34431" s="96"/>
    </row>
    <row r="34432" hidden="1">
      <c r="E34432" s="96"/>
    </row>
    <row r="34433" hidden="1">
      <c r="E34433" s="96"/>
    </row>
    <row r="34434" hidden="1">
      <c r="E34434" s="96"/>
    </row>
    <row r="34435" hidden="1">
      <c r="E34435" s="96"/>
    </row>
    <row r="34436" hidden="1">
      <c r="E34436" s="96"/>
    </row>
    <row r="34437" hidden="1">
      <c r="E34437" s="96"/>
    </row>
    <row r="34438" hidden="1">
      <c r="E34438" s="96"/>
    </row>
    <row r="34439" hidden="1">
      <c r="E34439" s="96"/>
    </row>
    <row r="34440" hidden="1">
      <c r="E34440" s="96"/>
    </row>
    <row r="34441" hidden="1">
      <c r="E34441" s="96"/>
    </row>
    <row r="34442" hidden="1">
      <c r="E34442" s="96"/>
    </row>
    <row r="34443" hidden="1">
      <c r="E34443" s="96"/>
    </row>
    <row r="34444" hidden="1">
      <c r="E34444" s="96"/>
    </row>
    <row r="34445" hidden="1">
      <c r="E34445" s="96"/>
    </row>
    <row r="34446" hidden="1">
      <c r="E34446" s="96"/>
    </row>
    <row r="34447" hidden="1">
      <c r="E34447" s="96"/>
    </row>
    <row r="34448" hidden="1">
      <c r="E34448" s="96"/>
    </row>
    <row r="34449" hidden="1">
      <c r="E34449" s="96"/>
    </row>
    <row r="34450" hidden="1">
      <c r="E34450" s="96"/>
    </row>
    <row r="34451" hidden="1">
      <c r="E34451" s="96"/>
    </row>
    <row r="34452" hidden="1">
      <c r="E34452" s="96"/>
    </row>
    <row r="34453" hidden="1">
      <c r="E34453" s="96"/>
    </row>
    <row r="34454" hidden="1">
      <c r="E34454" s="96"/>
    </row>
    <row r="34455" hidden="1">
      <c r="E34455" s="96"/>
    </row>
    <row r="34456" hidden="1">
      <c r="E34456" s="96"/>
    </row>
    <row r="34457" hidden="1">
      <c r="E34457" s="96"/>
    </row>
    <row r="34458" hidden="1">
      <c r="E34458" s="96"/>
    </row>
    <row r="34459" hidden="1">
      <c r="E34459" s="96"/>
    </row>
    <row r="34460" hidden="1">
      <c r="E34460" s="96"/>
    </row>
    <row r="34461" hidden="1">
      <c r="E34461" s="96"/>
    </row>
    <row r="34462" hidden="1">
      <c r="E34462" s="96"/>
    </row>
    <row r="34463" hidden="1">
      <c r="E34463" s="96"/>
    </row>
    <row r="34464" hidden="1">
      <c r="E34464" s="96"/>
    </row>
    <row r="34465" hidden="1">
      <c r="E34465" s="96"/>
    </row>
    <row r="34466" hidden="1">
      <c r="E34466" s="96"/>
    </row>
    <row r="34467" hidden="1">
      <c r="E34467" s="96"/>
    </row>
    <row r="34468" hidden="1">
      <c r="E34468" s="96"/>
    </row>
    <row r="34469" hidden="1">
      <c r="E34469" s="96"/>
    </row>
    <row r="34470" hidden="1">
      <c r="E34470" s="96"/>
    </row>
    <row r="34471" hidden="1">
      <c r="E34471" s="96"/>
    </row>
    <row r="34472" hidden="1">
      <c r="E34472" s="96"/>
    </row>
    <row r="34473" hidden="1">
      <c r="E34473" s="96"/>
    </row>
    <row r="34474" hidden="1">
      <c r="E34474" s="96"/>
    </row>
    <row r="34475" hidden="1">
      <c r="E34475" s="96"/>
    </row>
    <row r="34476" hidden="1">
      <c r="E34476" s="96"/>
    </row>
    <row r="34477" hidden="1">
      <c r="E34477" s="96"/>
    </row>
    <row r="34478" hidden="1">
      <c r="E34478" s="96"/>
    </row>
    <row r="34479" hidden="1">
      <c r="E34479" s="96"/>
    </row>
    <row r="34480" hidden="1">
      <c r="E34480" s="96"/>
    </row>
    <row r="34481" hidden="1">
      <c r="E34481" s="96"/>
    </row>
    <row r="34482" hidden="1">
      <c r="E34482" s="96"/>
    </row>
    <row r="34483" hidden="1">
      <c r="E34483" s="96"/>
    </row>
    <row r="34484" hidden="1">
      <c r="E34484" s="96"/>
    </row>
    <row r="34485" hidden="1">
      <c r="E34485" s="96"/>
    </row>
    <row r="34486" hidden="1">
      <c r="E34486" s="96"/>
    </row>
    <row r="34487" hidden="1">
      <c r="E34487" s="96"/>
    </row>
    <row r="34488" hidden="1">
      <c r="E34488" s="96"/>
    </row>
    <row r="34489" hidden="1">
      <c r="E34489" s="96"/>
    </row>
    <row r="34490" hidden="1">
      <c r="E34490" s="96"/>
    </row>
    <row r="34491" hidden="1">
      <c r="E34491" s="96"/>
    </row>
    <row r="34492" hidden="1">
      <c r="E34492" s="96"/>
    </row>
    <row r="34493" hidden="1">
      <c r="E34493" s="96"/>
    </row>
    <row r="34494" hidden="1">
      <c r="E34494" s="96"/>
    </row>
    <row r="34495" hidden="1">
      <c r="E34495" s="96"/>
    </row>
    <row r="34496" hidden="1">
      <c r="E34496" s="96"/>
    </row>
    <row r="34497" hidden="1">
      <c r="E34497" s="96"/>
    </row>
    <row r="34498" hidden="1">
      <c r="E34498" s="96"/>
    </row>
    <row r="34499" hidden="1">
      <c r="E34499" s="96"/>
    </row>
    <row r="34500" hidden="1">
      <c r="E34500" s="96"/>
    </row>
    <row r="34501" hidden="1">
      <c r="E34501" s="96"/>
    </row>
    <row r="34502" hidden="1">
      <c r="E34502" s="96"/>
    </row>
    <row r="34503" hidden="1">
      <c r="E34503" s="96"/>
    </row>
    <row r="34504" hidden="1">
      <c r="E34504" s="96"/>
    </row>
    <row r="34505" hidden="1">
      <c r="E34505" s="96"/>
    </row>
    <row r="34506" hidden="1">
      <c r="E34506" s="96"/>
    </row>
    <row r="34507" hidden="1">
      <c r="E34507" s="96"/>
    </row>
    <row r="34508" hidden="1">
      <c r="E34508" s="96"/>
    </row>
    <row r="34509" hidden="1">
      <c r="E34509" s="96"/>
    </row>
    <row r="34510" hidden="1">
      <c r="E34510" s="96"/>
    </row>
    <row r="34511" hidden="1">
      <c r="E34511" s="96"/>
    </row>
    <row r="34512" hidden="1">
      <c r="E34512" s="96"/>
    </row>
    <row r="34513" hidden="1">
      <c r="E34513" s="96"/>
    </row>
    <row r="34514" hidden="1">
      <c r="E34514" s="96"/>
    </row>
    <row r="34515" hidden="1">
      <c r="E34515" s="96"/>
    </row>
    <row r="34516" hidden="1">
      <c r="E34516" s="96"/>
    </row>
    <row r="34517" hidden="1">
      <c r="E34517" s="96"/>
    </row>
    <row r="34518" hidden="1">
      <c r="E34518" s="96"/>
    </row>
    <row r="34519" hidden="1">
      <c r="E34519" s="96"/>
    </row>
    <row r="34520" hidden="1">
      <c r="E34520" s="96"/>
    </row>
    <row r="34521" hidden="1">
      <c r="E34521" s="96"/>
    </row>
    <row r="34522" hidden="1">
      <c r="E34522" s="96"/>
    </row>
    <row r="34523" hidden="1">
      <c r="E34523" s="96"/>
    </row>
    <row r="34524" hidden="1">
      <c r="E34524" s="96"/>
    </row>
    <row r="34525" hidden="1">
      <c r="E34525" s="96"/>
    </row>
    <row r="34526" hidden="1">
      <c r="E34526" s="96"/>
    </row>
    <row r="34527" hidden="1">
      <c r="E34527" s="96"/>
    </row>
    <row r="34528" hidden="1">
      <c r="E34528" s="96"/>
    </row>
    <row r="34529" hidden="1">
      <c r="E34529" s="96"/>
    </row>
    <row r="34530" hidden="1">
      <c r="E34530" s="96"/>
    </row>
    <row r="34531" hidden="1">
      <c r="E34531" s="96"/>
    </row>
    <row r="34532" hidden="1">
      <c r="E34532" s="96"/>
    </row>
    <row r="34533" hidden="1">
      <c r="E34533" s="96"/>
    </row>
    <row r="34534" hidden="1">
      <c r="E34534" s="96"/>
    </row>
    <row r="34535" hidden="1">
      <c r="E34535" s="96"/>
    </row>
    <row r="34536" hidden="1">
      <c r="E34536" s="96"/>
    </row>
    <row r="34537" hidden="1">
      <c r="E34537" s="96"/>
    </row>
    <row r="34538" hidden="1">
      <c r="E34538" s="96"/>
    </row>
    <row r="34539" hidden="1">
      <c r="E34539" s="96"/>
    </row>
    <row r="34540" hidden="1">
      <c r="E34540" s="96"/>
    </row>
    <row r="34541" hidden="1">
      <c r="E34541" s="96"/>
    </row>
    <row r="34542" hidden="1">
      <c r="E34542" s="96"/>
    </row>
    <row r="34543" hidden="1">
      <c r="E34543" s="96"/>
    </row>
    <row r="34544" hidden="1">
      <c r="E34544" s="96"/>
    </row>
    <row r="34545" hidden="1">
      <c r="E34545" s="96"/>
    </row>
    <row r="34546" hidden="1">
      <c r="E34546" s="96"/>
    </row>
    <row r="34547" hidden="1">
      <c r="E34547" s="96"/>
    </row>
    <row r="34548" hidden="1">
      <c r="E34548" s="96"/>
    </row>
    <row r="34549" hidden="1">
      <c r="E34549" s="96"/>
    </row>
    <row r="34550" hidden="1">
      <c r="E34550" s="96"/>
    </row>
    <row r="34551" hidden="1">
      <c r="E34551" s="96"/>
    </row>
    <row r="34552" hidden="1">
      <c r="E34552" s="96"/>
    </row>
    <row r="34553" hidden="1">
      <c r="E34553" s="96"/>
    </row>
    <row r="34554" hidden="1">
      <c r="E34554" s="96"/>
    </row>
    <row r="34555" hidden="1">
      <c r="E34555" s="96"/>
    </row>
    <row r="34556" hidden="1">
      <c r="E34556" s="96"/>
    </row>
    <row r="34557" hidden="1">
      <c r="E34557" s="96"/>
    </row>
    <row r="34558" hidden="1">
      <c r="E34558" s="96"/>
    </row>
    <row r="34559" hidden="1">
      <c r="E34559" s="96"/>
    </row>
    <row r="34560" hidden="1">
      <c r="E34560" s="96"/>
    </row>
    <row r="34561" hidden="1">
      <c r="E34561" s="96"/>
    </row>
    <row r="34562" hidden="1">
      <c r="E34562" s="96"/>
    </row>
    <row r="34563" hidden="1">
      <c r="E34563" s="96"/>
    </row>
    <row r="34564" hidden="1">
      <c r="E34564" s="96"/>
    </row>
    <row r="34565" hidden="1">
      <c r="E34565" s="96"/>
    </row>
    <row r="34566" hidden="1">
      <c r="E34566" s="96"/>
    </row>
    <row r="34567" hidden="1">
      <c r="E34567" s="96"/>
    </row>
    <row r="34568" hidden="1">
      <c r="E34568" s="96"/>
    </row>
    <row r="34569" hidden="1">
      <c r="E34569" s="96"/>
    </row>
    <row r="34570" hidden="1">
      <c r="E34570" s="96"/>
    </row>
    <row r="34571" hidden="1">
      <c r="E34571" s="96"/>
    </row>
    <row r="34572" hidden="1">
      <c r="E34572" s="96"/>
    </row>
    <row r="34573" hidden="1">
      <c r="E34573" s="96"/>
    </row>
    <row r="34574" hidden="1">
      <c r="E34574" s="96"/>
    </row>
    <row r="34575" hidden="1">
      <c r="E34575" s="96"/>
    </row>
    <row r="34576" hidden="1">
      <c r="E34576" s="96"/>
    </row>
    <row r="34577" hidden="1">
      <c r="E34577" s="96"/>
    </row>
    <row r="34578" hidden="1">
      <c r="E34578" s="96"/>
    </row>
    <row r="34579" hidden="1">
      <c r="E34579" s="96"/>
    </row>
    <row r="34580" hidden="1">
      <c r="E34580" s="96"/>
    </row>
    <row r="34581" hidden="1">
      <c r="E34581" s="96"/>
    </row>
    <row r="34582" hidden="1">
      <c r="E34582" s="96"/>
    </row>
    <row r="34583" hidden="1">
      <c r="E34583" s="96"/>
    </row>
    <row r="34584" hidden="1">
      <c r="E34584" s="96"/>
    </row>
    <row r="34585" hidden="1">
      <c r="E34585" s="96"/>
    </row>
    <row r="34586" hidden="1">
      <c r="E34586" s="96"/>
    </row>
    <row r="34587" hidden="1">
      <c r="E34587" s="96"/>
    </row>
    <row r="34588" hidden="1">
      <c r="E34588" s="96"/>
    </row>
    <row r="34589" hidden="1">
      <c r="E34589" s="96"/>
    </row>
    <row r="34590" hidden="1">
      <c r="E34590" s="96"/>
    </row>
    <row r="34591" hidden="1">
      <c r="E34591" s="96"/>
    </row>
    <row r="34592" hidden="1">
      <c r="E34592" s="96"/>
    </row>
    <row r="34593" hidden="1">
      <c r="E34593" s="96"/>
    </row>
    <row r="34594" hidden="1">
      <c r="E34594" s="96"/>
    </row>
    <row r="34595" hidden="1">
      <c r="E34595" s="96"/>
    </row>
    <row r="34596" hidden="1">
      <c r="E34596" s="96"/>
    </row>
    <row r="34597" hidden="1">
      <c r="E34597" s="96"/>
    </row>
    <row r="34598" hidden="1">
      <c r="E34598" s="96"/>
    </row>
    <row r="34599" hidden="1">
      <c r="E34599" s="96"/>
    </row>
    <row r="34600" hidden="1">
      <c r="E34600" s="96"/>
    </row>
    <row r="34601" hidden="1">
      <c r="E34601" s="96"/>
    </row>
    <row r="34602" hidden="1">
      <c r="E34602" s="96"/>
    </row>
    <row r="34603" hidden="1">
      <c r="E34603" s="96"/>
    </row>
    <row r="34604" hidden="1">
      <c r="E34604" s="96"/>
    </row>
    <row r="34605" hidden="1">
      <c r="E34605" s="96"/>
    </row>
    <row r="34606" hidden="1">
      <c r="E34606" s="96"/>
    </row>
    <row r="34607" hidden="1">
      <c r="E34607" s="96"/>
    </row>
    <row r="34608" hidden="1">
      <c r="E34608" s="96"/>
    </row>
    <row r="34609" hidden="1">
      <c r="E34609" s="96"/>
    </row>
    <row r="34610" hidden="1">
      <c r="E34610" s="96"/>
    </row>
    <row r="34611" hidden="1">
      <c r="E34611" s="96"/>
    </row>
    <row r="34612" hidden="1">
      <c r="E34612" s="96"/>
    </row>
    <row r="34613" hidden="1">
      <c r="E34613" s="96"/>
    </row>
    <row r="34614" hidden="1">
      <c r="E34614" s="96"/>
    </row>
    <row r="34615" hidden="1">
      <c r="E34615" s="96"/>
    </row>
    <row r="34616" hidden="1">
      <c r="E34616" s="96"/>
    </row>
    <row r="34617" hidden="1">
      <c r="E34617" s="96"/>
    </row>
    <row r="34618" hidden="1">
      <c r="E34618" s="96"/>
    </row>
    <row r="34619" hidden="1">
      <c r="E34619" s="96"/>
    </row>
    <row r="34620" hidden="1">
      <c r="E34620" s="96"/>
    </row>
    <row r="34621" hidden="1">
      <c r="E34621" s="96"/>
    </row>
    <row r="34622" hidden="1">
      <c r="E34622" s="96"/>
    </row>
    <row r="34623" hidden="1">
      <c r="E34623" s="96"/>
    </row>
    <row r="34624" hidden="1">
      <c r="E34624" s="96"/>
    </row>
    <row r="34625" hidden="1">
      <c r="E34625" s="96"/>
    </row>
    <row r="34626" hidden="1">
      <c r="E34626" s="96"/>
    </row>
    <row r="34627" hidden="1">
      <c r="E34627" s="96"/>
    </row>
    <row r="34628" hidden="1">
      <c r="E34628" s="96"/>
    </row>
    <row r="34629" hidden="1">
      <c r="E34629" s="96"/>
    </row>
    <row r="34630" hidden="1">
      <c r="E34630" s="96"/>
    </row>
    <row r="34631" hidden="1">
      <c r="E34631" s="96"/>
    </row>
    <row r="34632" hidden="1">
      <c r="E34632" s="96"/>
    </row>
    <row r="34633" hidden="1">
      <c r="E34633" s="96"/>
    </row>
    <row r="34634" hidden="1">
      <c r="E34634" s="96"/>
    </row>
    <row r="34635" hidden="1">
      <c r="E34635" s="96"/>
    </row>
    <row r="34636" hidden="1">
      <c r="E34636" s="96"/>
    </row>
    <row r="34637" hidden="1">
      <c r="E34637" s="96"/>
    </row>
    <row r="34638" hidden="1">
      <c r="E34638" s="96"/>
    </row>
    <row r="34639" hidden="1">
      <c r="E34639" s="96"/>
    </row>
    <row r="34640" hidden="1">
      <c r="E34640" s="96"/>
    </row>
    <row r="34641" hidden="1">
      <c r="E34641" s="96"/>
    </row>
    <row r="34642" hidden="1">
      <c r="E34642" s="96"/>
    </row>
    <row r="34643" hidden="1">
      <c r="E34643" s="96"/>
    </row>
    <row r="34644" hidden="1">
      <c r="E34644" s="96"/>
    </row>
    <row r="34645" hidden="1">
      <c r="E34645" s="96"/>
    </row>
    <row r="34646" hidden="1">
      <c r="E34646" s="96"/>
    </row>
    <row r="34647" hidden="1">
      <c r="E34647" s="96"/>
    </row>
    <row r="34648" hidden="1">
      <c r="E34648" s="96"/>
    </row>
    <row r="34649" hidden="1">
      <c r="E34649" s="96"/>
    </row>
    <row r="34650" hidden="1">
      <c r="E34650" s="96"/>
    </row>
    <row r="34651" hidden="1">
      <c r="E34651" s="96"/>
    </row>
    <row r="34652" hidden="1">
      <c r="E34652" s="96"/>
    </row>
    <row r="34653" hidden="1">
      <c r="E34653" s="96"/>
    </row>
    <row r="34654" hidden="1">
      <c r="E34654" s="96"/>
    </row>
    <row r="34655" hidden="1">
      <c r="E34655" s="96"/>
    </row>
    <row r="34656" hidden="1">
      <c r="E34656" s="96"/>
    </row>
    <row r="34657" hidden="1">
      <c r="E34657" s="96"/>
    </row>
    <row r="34658" hidden="1">
      <c r="E34658" s="96"/>
    </row>
    <row r="34659" hidden="1">
      <c r="E34659" s="96"/>
    </row>
    <row r="34660" hidden="1">
      <c r="E34660" s="96"/>
    </row>
    <row r="34661" hidden="1">
      <c r="E34661" s="96"/>
    </row>
    <row r="34662" hidden="1">
      <c r="E34662" s="96"/>
    </row>
    <row r="34663" hidden="1">
      <c r="E34663" s="96"/>
    </row>
    <row r="34664" hidden="1">
      <c r="E34664" s="96"/>
    </row>
    <row r="34665" hidden="1">
      <c r="E34665" s="96"/>
    </row>
    <row r="34666" hidden="1">
      <c r="E34666" s="96"/>
    </row>
    <row r="34667" hidden="1">
      <c r="E34667" s="96"/>
    </row>
    <row r="34668" hidden="1">
      <c r="E34668" s="96"/>
    </row>
    <row r="34669" hidden="1">
      <c r="E34669" s="96"/>
    </row>
    <row r="34670" hidden="1">
      <c r="E34670" s="96"/>
    </row>
    <row r="34671" hidden="1">
      <c r="E34671" s="96"/>
    </row>
    <row r="34672" hidden="1">
      <c r="E34672" s="96"/>
    </row>
    <row r="34673" hidden="1">
      <c r="E34673" s="96"/>
    </row>
    <row r="34674" hidden="1">
      <c r="E34674" s="96"/>
    </row>
    <row r="34675" hidden="1">
      <c r="E34675" s="96"/>
    </row>
    <row r="34676" hidden="1">
      <c r="E34676" s="96"/>
    </row>
    <row r="34677" hidden="1">
      <c r="E34677" s="96"/>
    </row>
    <row r="34678" hidden="1">
      <c r="E34678" s="96"/>
    </row>
    <row r="34679" hidden="1">
      <c r="E34679" s="96"/>
    </row>
    <row r="34680" hidden="1">
      <c r="E34680" s="96"/>
    </row>
    <row r="34681" hidden="1">
      <c r="E34681" s="96"/>
    </row>
    <row r="34682" hidden="1">
      <c r="E34682" s="96"/>
    </row>
    <row r="34683" hidden="1">
      <c r="E34683" s="96"/>
    </row>
    <row r="34684" hidden="1">
      <c r="E34684" s="96"/>
    </row>
    <row r="34685" hidden="1">
      <c r="E34685" s="96"/>
    </row>
    <row r="34686" hidden="1">
      <c r="E34686" s="96"/>
    </row>
    <row r="34687" hidden="1">
      <c r="E34687" s="96"/>
    </row>
    <row r="34688" hidden="1">
      <c r="E34688" s="96"/>
    </row>
    <row r="34689" hidden="1">
      <c r="E34689" s="96"/>
    </row>
    <row r="34690" hidden="1">
      <c r="E34690" s="96"/>
    </row>
    <row r="34691" hidden="1">
      <c r="E34691" s="96"/>
    </row>
    <row r="34692" hidden="1">
      <c r="E34692" s="96"/>
    </row>
    <row r="34693" hidden="1">
      <c r="E34693" s="96"/>
    </row>
    <row r="34694" hidden="1">
      <c r="E34694" s="96"/>
    </row>
    <row r="34695" hidden="1">
      <c r="E34695" s="96"/>
    </row>
    <row r="34696" hidden="1">
      <c r="E34696" s="96"/>
    </row>
    <row r="34697" hidden="1">
      <c r="E34697" s="96"/>
    </row>
    <row r="34698" hidden="1">
      <c r="E34698" s="96"/>
    </row>
    <row r="34699" hidden="1">
      <c r="E34699" s="96"/>
    </row>
    <row r="34700" hidden="1">
      <c r="E34700" s="96"/>
    </row>
    <row r="34701" hidden="1">
      <c r="E34701" s="96"/>
    </row>
    <row r="34702" hidden="1">
      <c r="E34702" s="96"/>
    </row>
    <row r="34703" hidden="1">
      <c r="E34703" s="96"/>
    </row>
    <row r="34704" hidden="1">
      <c r="E34704" s="96"/>
    </row>
    <row r="34705" hidden="1">
      <c r="E34705" s="96"/>
    </row>
    <row r="34706" hidden="1">
      <c r="E34706" s="96"/>
    </row>
    <row r="34707" hidden="1">
      <c r="E34707" s="96"/>
    </row>
    <row r="34708" hidden="1">
      <c r="E34708" s="96"/>
    </row>
    <row r="34709" hidden="1">
      <c r="E34709" s="96"/>
    </row>
    <row r="34710" hidden="1">
      <c r="E34710" s="96"/>
    </row>
    <row r="34711" hidden="1">
      <c r="E34711" s="96"/>
    </row>
    <row r="34712" hidden="1">
      <c r="E34712" s="96"/>
    </row>
    <row r="34713" hidden="1">
      <c r="E34713" s="96"/>
    </row>
    <row r="34714" hidden="1">
      <c r="E34714" s="96"/>
    </row>
    <row r="34715" hidden="1">
      <c r="E34715" s="96"/>
    </row>
    <row r="34716" hidden="1">
      <c r="E34716" s="96"/>
    </row>
    <row r="34717" hidden="1">
      <c r="E34717" s="96"/>
    </row>
    <row r="34718" hidden="1">
      <c r="E34718" s="96"/>
    </row>
    <row r="34719" hidden="1">
      <c r="E34719" s="96"/>
    </row>
    <row r="34720" hidden="1">
      <c r="E34720" s="96"/>
    </row>
    <row r="34721" hidden="1">
      <c r="E34721" s="96"/>
    </row>
    <row r="34722" hidden="1">
      <c r="E34722" s="96"/>
    </row>
    <row r="34723" hidden="1">
      <c r="E34723" s="96"/>
    </row>
    <row r="34724" hidden="1">
      <c r="E34724" s="96"/>
    </row>
    <row r="34725" hidden="1">
      <c r="E34725" s="96"/>
    </row>
    <row r="34726" hidden="1">
      <c r="E34726" s="96"/>
    </row>
    <row r="34727" hidden="1">
      <c r="E34727" s="96"/>
    </row>
    <row r="34728" hidden="1">
      <c r="E34728" s="96"/>
    </row>
    <row r="34729" hidden="1">
      <c r="E34729" s="96"/>
    </row>
    <row r="34730" hidden="1">
      <c r="E34730" s="96"/>
    </row>
    <row r="34731" hidden="1">
      <c r="E34731" s="96"/>
    </row>
    <row r="34732" hidden="1">
      <c r="E34732" s="96"/>
    </row>
    <row r="34733" hidden="1">
      <c r="E34733" s="96"/>
    </row>
    <row r="34734" hidden="1">
      <c r="E34734" s="96"/>
    </row>
    <row r="34735" hidden="1">
      <c r="E34735" s="96"/>
    </row>
    <row r="34736" hidden="1">
      <c r="E34736" s="96"/>
    </row>
    <row r="34737" hidden="1">
      <c r="E34737" s="96"/>
    </row>
    <row r="34738" hidden="1">
      <c r="E34738" s="96"/>
    </row>
    <row r="34739" hidden="1">
      <c r="E34739" s="96"/>
    </row>
    <row r="34740" hidden="1">
      <c r="E34740" s="96"/>
    </row>
    <row r="34741" hidden="1">
      <c r="E34741" s="96"/>
    </row>
    <row r="34742" hidden="1">
      <c r="E34742" s="96"/>
    </row>
    <row r="34743" hidden="1">
      <c r="E34743" s="96"/>
    </row>
    <row r="34744" hidden="1">
      <c r="E34744" s="96"/>
    </row>
    <row r="34745" hidden="1">
      <c r="E34745" s="96"/>
    </row>
    <row r="34746" hidden="1">
      <c r="E34746" s="96"/>
    </row>
    <row r="34747" hidden="1">
      <c r="E34747" s="96"/>
    </row>
    <row r="34748" hidden="1">
      <c r="E34748" s="96"/>
    </row>
    <row r="34749" hidden="1">
      <c r="E34749" s="96"/>
    </row>
    <row r="34750" hidden="1">
      <c r="E34750" s="96"/>
    </row>
    <row r="34751" hidden="1">
      <c r="E34751" s="96"/>
    </row>
    <row r="34752" hidden="1">
      <c r="E34752" s="96"/>
    </row>
    <row r="34753" hidden="1">
      <c r="E34753" s="96"/>
    </row>
    <row r="34754" hidden="1">
      <c r="E34754" s="96"/>
    </row>
    <row r="34755" hidden="1">
      <c r="E34755" s="96"/>
    </row>
    <row r="34756" hidden="1">
      <c r="E34756" s="96"/>
    </row>
    <row r="34757" hidden="1">
      <c r="E34757" s="96"/>
    </row>
    <row r="34758" hidden="1">
      <c r="E34758" s="96"/>
    </row>
    <row r="34759" hidden="1">
      <c r="E34759" s="96"/>
    </row>
    <row r="34760" hidden="1">
      <c r="E34760" s="96"/>
    </row>
    <row r="34761" hidden="1">
      <c r="E34761" s="96"/>
    </row>
    <row r="34762" hidden="1">
      <c r="E34762" s="96"/>
    </row>
    <row r="34763" hidden="1">
      <c r="E34763" s="96"/>
    </row>
    <row r="34764" hidden="1">
      <c r="E34764" s="96"/>
    </row>
    <row r="34765" hidden="1">
      <c r="E34765" s="96"/>
    </row>
    <row r="34766" hidden="1">
      <c r="E34766" s="96"/>
    </row>
    <row r="34767" hidden="1">
      <c r="E34767" s="96"/>
    </row>
    <row r="34768" hidden="1">
      <c r="E34768" s="96"/>
    </row>
    <row r="34769" hidden="1">
      <c r="E34769" s="96"/>
    </row>
    <row r="34770" hidden="1">
      <c r="E34770" s="96"/>
    </row>
    <row r="34771" hidden="1">
      <c r="E34771" s="96"/>
    </row>
    <row r="34772" hidden="1">
      <c r="E34772" s="96"/>
    </row>
    <row r="34773" hidden="1">
      <c r="E34773" s="96"/>
    </row>
    <row r="34774" hidden="1">
      <c r="E34774" s="96"/>
    </row>
    <row r="34775" hidden="1">
      <c r="E34775" s="96"/>
    </row>
    <row r="34776" hidden="1">
      <c r="E34776" s="96"/>
    </row>
    <row r="34777" hidden="1">
      <c r="E34777" s="96"/>
    </row>
    <row r="34778" hidden="1">
      <c r="E34778" s="96"/>
    </row>
    <row r="34779" hidden="1">
      <c r="E34779" s="96"/>
    </row>
    <row r="34780" hidden="1">
      <c r="E34780" s="96"/>
    </row>
    <row r="34781" hidden="1">
      <c r="E34781" s="96"/>
    </row>
    <row r="34782" hidden="1">
      <c r="E34782" s="96"/>
    </row>
    <row r="34783" hidden="1">
      <c r="E34783" s="96"/>
    </row>
    <row r="34784" hidden="1">
      <c r="E34784" s="96"/>
    </row>
    <row r="34785" hidden="1">
      <c r="E34785" s="96"/>
    </row>
    <row r="34786" hidden="1">
      <c r="E34786" s="96"/>
    </row>
    <row r="34787" hidden="1">
      <c r="E34787" s="96"/>
    </row>
    <row r="34788" hidden="1">
      <c r="E34788" s="96"/>
    </row>
    <row r="34789" hidden="1">
      <c r="E34789" s="96"/>
    </row>
    <row r="34790" hidden="1">
      <c r="E34790" s="96"/>
    </row>
    <row r="34791" hidden="1">
      <c r="E34791" s="96"/>
    </row>
    <row r="34792" hidden="1">
      <c r="E34792" s="96"/>
    </row>
    <row r="34793" hidden="1">
      <c r="E34793" s="96"/>
    </row>
    <row r="34794" hidden="1">
      <c r="E34794" s="96"/>
    </row>
    <row r="34795" hidden="1">
      <c r="E34795" s="96"/>
    </row>
    <row r="34796" hidden="1">
      <c r="E34796" s="96"/>
    </row>
    <row r="34797" hidden="1">
      <c r="E34797" s="96"/>
    </row>
    <row r="34798" hidden="1">
      <c r="E34798" s="96"/>
    </row>
    <row r="34799" hidden="1">
      <c r="E34799" s="96"/>
    </row>
    <row r="34800" hidden="1">
      <c r="E34800" s="96"/>
    </row>
    <row r="34801" hidden="1">
      <c r="E34801" s="96"/>
    </row>
    <row r="34802" hidden="1">
      <c r="E34802" s="96"/>
    </row>
    <row r="34803" hidden="1">
      <c r="E34803" s="96"/>
    </row>
    <row r="34804" hidden="1">
      <c r="E34804" s="96"/>
    </row>
    <row r="34805" hidden="1">
      <c r="E34805" s="96"/>
    </row>
    <row r="34806" hidden="1">
      <c r="E34806" s="96"/>
    </row>
    <row r="34807" hidden="1">
      <c r="E34807" s="96"/>
    </row>
    <row r="34808" hidden="1">
      <c r="E34808" s="96"/>
    </row>
    <row r="34809" hidden="1">
      <c r="E34809" s="96"/>
    </row>
    <row r="34810" hidden="1">
      <c r="E34810" s="96"/>
    </row>
    <row r="34811" hidden="1">
      <c r="E34811" s="96"/>
    </row>
    <row r="34812" hidden="1">
      <c r="E34812" s="96"/>
    </row>
    <row r="34813" hidden="1">
      <c r="E34813" s="96"/>
    </row>
    <row r="34814" hidden="1">
      <c r="E34814" s="96"/>
    </row>
    <row r="34815" hidden="1">
      <c r="E34815" s="96"/>
    </row>
    <row r="34816" hidden="1">
      <c r="E34816" s="96"/>
    </row>
    <row r="34817" hidden="1">
      <c r="E34817" s="96"/>
    </row>
    <row r="34818" hidden="1">
      <c r="E34818" s="96"/>
    </row>
    <row r="34819" hidden="1">
      <c r="E34819" s="96"/>
    </row>
    <row r="34820" hidden="1">
      <c r="E34820" s="96"/>
    </row>
    <row r="34821" hidden="1">
      <c r="E34821" s="96"/>
    </row>
    <row r="34822" hidden="1">
      <c r="E34822" s="96"/>
    </row>
    <row r="34823" hidden="1">
      <c r="E34823" s="96"/>
    </row>
    <row r="34824" hidden="1">
      <c r="E34824" s="96"/>
    </row>
    <row r="34825" hidden="1">
      <c r="E34825" s="96"/>
    </row>
    <row r="34826" hidden="1">
      <c r="E34826" s="96"/>
    </row>
    <row r="34827" hidden="1">
      <c r="E34827" s="96"/>
    </row>
    <row r="34828" hidden="1">
      <c r="E34828" s="96"/>
    </row>
    <row r="34829" hidden="1">
      <c r="E34829" s="96"/>
    </row>
    <row r="34830" hidden="1">
      <c r="E34830" s="96"/>
    </row>
    <row r="34831" hidden="1">
      <c r="E34831" s="96"/>
    </row>
    <row r="34832" hidden="1">
      <c r="E34832" s="96"/>
    </row>
    <row r="34833" hidden="1">
      <c r="E34833" s="96"/>
    </row>
    <row r="34834" hidden="1">
      <c r="E34834" s="96"/>
    </row>
    <row r="34835" hidden="1">
      <c r="E34835" s="96"/>
    </row>
    <row r="34836" hidden="1">
      <c r="E34836" s="96"/>
    </row>
    <row r="34837" hidden="1">
      <c r="E34837" s="96"/>
    </row>
    <row r="34838" hidden="1">
      <c r="E34838" s="96"/>
    </row>
    <row r="34839" hidden="1">
      <c r="E34839" s="96"/>
    </row>
    <row r="34840" hidden="1">
      <c r="E34840" s="96"/>
    </row>
    <row r="34841" hidden="1">
      <c r="E34841" s="96"/>
    </row>
    <row r="34842" hidden="1">
      <c r="E34842" s="96"/>
    </row>
    <row r="34843" hidden="1">
      <c r="E34843" s="96"/>
    </row>
    <row r="34844" hidden="1">
      <c r="E34844" s="96"/>
    </row>
    <row r="34845" hidden="1">
      <c r="E34845" s="96"/>
    </row>
    <row r="34846" hidden="1">
      <c r="E34846" s="96"/>
    </row>
    <row r="34847" hidden="1">
      <c r="E34847" s="96"/>
    </row>
    <row r="34848" hidden="1">
      <c r="E34848" s="96"/>
    </row>
    <row r="34849" hidden="1">
      <c r="E34849" s="96"/>
    </row>
    <row r="34850" hidden="1">
      <c r="E34850" s="96"/>
    </row>
    <row r="34851" hidden="1">
      <c r="E34851" s="96"/>
    </row>
    <row r="34852" hidden="1">
      <c r="E34852" s="96"/>
    </row>
    <row r="34853" hidden="1">
      <c r="E34853" s="96"/>
    </row>
    <row r="34854" hidden="1">
      <c r="E34854" s="96"/>
    </row>
    <row r="34855" hidden="1">
      <c r="E34855" s="96"/>
    </row>
    <row r="34856" hidden="1">
      <c r="E34856" s="96"/>
    </row>
    <row r="34857" hidden="1">
      <c r="E34857" s="96"/>
    </row>
    <row r="34858" hidden="1">
      <c r="E34858" s="96"/>
    </row>
    <row r="34859" hidden="1">
      <c r="E34859" s="96"/>
    </row>
    <row r="34860" hidden="1">
      <c r="E34860" s="96"/>
    </row>
    <row r="34861" hidden="1">
      <c r="E34861" s="96"/>
    </row>
    <row r="34862" hidden="1">
      <c r="E34862" s="96"/>
    </row>
    <row r="34863" hidden="1">
      <c r="E34863" s="96"/>
    </row>
    <row r="34864" hidden="1">
      <c r="E34864" s="96"/>
    </row>
    <row r="34865" hidden="1">
      <c r="E34865" s="96"/>
    </row>
    <row r="34866" hidden="1">
      <c r="E34866" s="96"/>
    </row>
    <row r="34867" hidden="1">
      <c r="E34867" s="96"/>
    </row>
    <row r="34868" hidden="1">
      <c r="E34868" s="96"/>
    </row>
    <row r="34869" hidden="1">
      <c r="E34869" s="96"/>
    </row>
    <row r="34870" hidden="1">
      <c r="E34870" s="96"/>
    </row>
    <row r="34871" hidden="1">
      <c r="E34871" s="96"/>
    </row>
    <row r="34872" hidden="1">
      <c r="E34872" s="96"/>
    </row>
    <row r="34873" hidden="1">
      <c r="E34873" s="96"/>
    </row>
    <row r="34874" hidden="1">
      <c r="E34874" s="96"/>
    </row>
    <row r="34875" hidden="1">
      <c r="E34875" s="96"/>
    </row>
    <row r="34876" hidden="1">
      <c r="E34876" s="96"/>
    </row>
    <row r="34877" hidden="1">
      <c r="E34877" s="96"/>
    </row>
    <row r="34878" hidden="1">
      <c r="E34878" s="96"/>
    </row>
    <row r="34879" hidden="1">
      <c r="E34879" s="96"/>
    </row>
    <row r="34880" hidden="1">
      <c r="E34880" s="96"/>
    </row>
    <row r="34881" hidden="1">
      <c r="E34881" s="96"/>
    </row>
    <row r="34882" hidden="1">
      <c r="E34882" s="96"/>
    </row>
    <row r="34883" hidden="1">
      <c r="E34883" s="96"/>
    </row>
    <row r="34884" hidden="1">
      <c r="E34884" s="96"/>
    </row>
    <row r="34885" hidden="1">
      <c r="E34885" s="96"/>
    </row>
    <row r="34886" hidden="1">
      <c r="E34886" s="96"/>
    </row>
    <row r="34887" hidden="1">
      <c r="E34887" s="96"/>
    </row>
    <row r="34888" hidden="1">
      <c r="E34888" s="96"/>
    </row>
    <row r="34889" hidden="1">
      <c r="E34889" s="96"/>
    </row>
    <row r="34890" hidden="1">
      <c r="E34890" s="96"/>
    </row>
    <row r="34891" hidden="1">
      <c r="E34891" s="96"/>
    </row>
    <row r="34892" hidden="1">
      <c r="E34892" s="96"/>
    </row>
    <row r="34893" hidden="1">
      <c r="E34893" s="96"/>
    </row>
    <row r="34894" hidden="1">
      <c r="E34894" s="96"/>
    </row>
    <row r="34895" hidden="1">
      <c r="E34895" s="96"/>
    </row>
    <row r="34896" hidden="1">
      <c r="E34896" s="96"/>
    </row>
    <row r="34897" hidden="1">
      <c r="E34897" s="96"/>
    </row>
    <row r="34898" hidden="1">
      <c r="E34898" s="96"/>
    </row>
    <row r="34899" hidden="1">
      <c r="E34899" s="96"/>
    </row>
    <row r="34900" hidden="1">
      <c r="E34900" s="96"/>
    </row>
    <row r="34901" hidden="1">
      <c r="E34901" s="96"/>
    </row>
    <row r="34902" hidden="1">
      <c r="E34902" s="96"/>
    </row>
    <row r="34903" hidden="1">
      <c r="E34903" s="96"/>
    </row>
    <row r="34904" hidden="1">
      <c r="E34904" s="96"/>
    </row>
    <row r="34905" hidden="1">
      <c r="E34905" s="96"/>
    </row>
    <row r="34906" hidden="1">
      <c r="E34906" s="96"/>
    </row>
    <row r="34907" hidden="1">
      <c r="E34907" s="96"/>
    </row>
    <row r="34908" hidden="1">
      <c r="E34908" s="96"/>
    </row>
    <row r="34909" hidden="1">
      <c r="E34909" s="96"/>
    </row>
    <row r="34910" hidden="1">
      <c r="E34910" s="96"/>
    </row>
    <row r="34911" hidden="1">
      <c r="E34911" s="96"/>
    </row>
    <row r="34912" hidden="1">
      <c r="E34912" s="96"/>
    </row>
    <row r="34913" hidden="1">
      <c r="E34913" s="96"/>
    </row>
    <row r="34914" hidden="1">
      <c r="E34914" s="96"/>
    </row>
    <row r="34915" hidden="1">
      <c r="E34915" s="96"/>
    </row>
    <row r="34916" hidden="1">
      <c r="E34916" s="96"/>
    </row>
    <row r="34917" hidden="1">
      <c r="E34917" s="96"/>
    </row>
    <row r="34918" hidden="1">
      <c r="E34918" s="96"/>
    </row>
    <row r="34919" hidden="1">
      <c r="E34919" s="96"/>
    </row>
    <row r="34920" hidden="1">
      <c r="E34920" s="96"/>
    </row>
    <row r="34921" hidden="1">
      <c r="E34921" s="96"/>
    </row>
    <row r="34922" hidden="1">
      <c r="E34922" s="96"/>
    </row>
    <row r="34923" hidden="1">
      <c r="E34923" s="96"/>
    </row>
    <row r="34924" hidden="1">
      <c r="E34924" s="96"/>
    </row>
    <row r="34925" hidden="1">
      <c r="E34925" s="96"/>
    </row>
    <row r="34926" hidden="1">
      <c r="E34926" s="96"/>
    </row>
    <row r="34927" hidden="1">
      <c r="E34927" s="96"/>
    </row>
    <row r="34928" hidden="1">
      <c r="E34928" s="96"/>
    </row>
    <row r="34929" hidden="1">
      <c r="E34929" s="96"/>
    </row>
    <row r="34930" hidden="1">
      <c r="E34930" s="96"/>
    </row>
    <row r="34931" hidden="1">
      <c r="E34931" s="96"/>
    </row>
    <row r="34932" hidden="1">
      <c r="E34932" s="96"/>
    </row>
    <row r="34933" hidden="1">
      <c r="E34933" s="96"/>
    </row>
    <row r="34934" hidden="1">
      <c r="E34934" s="96"/>
    </row>
    <row r="34935" hidden="1">
      <c r="E34935" s="96"/>
    </row>
    <row r="34936" hidden="1">
      <c r="E34936" s="96"/>
    </row>
    <row r="34937" hidden="1">
      <c r="E34937" s="96"/>
    </row>
    <row r="34938" hidden="1">
      <c r="E34938" s="96"/>
    </row>
    <row r="34939" hidden="1">
      <c r="E34939" s="96"/>
    </row>
    <row r="34940" hidden="1">
      <c r="E34940" s="96"/>
    </row>
    <row r="34941" hidden="1">
      <c r="E34941" s="96"/>
    </row>
    <row r="34942" hidden="1">
      <c r="E34942" s="96"/>
    </row>
    <row r="34943" hidden="1">
      <c r="E34943" s="96"/>
    </row>
    <row r="34944" hidden="1">
      <c r="E34944" s="96"/>
    </row>
    <row r="34945" hidden="1">
      <c r="E34945" s="96"/>
    </row>
    <row r="34946" hidden="1">
      <c r="E34946" s="96"/>
    </row>
    <row r="34947" hidden="1">
      <c r="E34947" s="96"/>
    </row>
    <row r="34948" hidden="1">
      <c r="E34948" s="96"/>
    </row>
    <row r="34949" hidden="1">
      <c r="E34949" s="96"/>
    </row>
    <row r="34950" hidden="1">
      <c r="E34950" s="96"/>
    </row>
    <row r="34951" hidden="1">
      <c r="E34951" s="96"/>
    </row>
    <row r="34952" hidden="1">
      <c r="E34952" s="96"/>
    </row>
    <row r="34953" hidden="1">
      <c r="E34953" s="96"/>
    </row>
    <row r="34954" hidden="1">
      <c r="E34954" s="96"/>
    </row>
    <row r="34955" hidden="1">
      <c r="E34955" s="96"/>
    </row>
    <row r="34956" hidden="1">
      <c r="E34956" s="96"/>
    </row>
    <row r="34957" hidden="1">
      <c r="E34957" s="96"/>
    </row>
    <row r="34958" hidden="1">
      <c r="E34958" s="96"/>
    </row>
    <row r="34959" hidden="1">
      <c r="E34959" s="96"/>
    </row>
    <row r="34960" hidden="1">
      <c r="E34960" s="96"/>
    </row>
    <row r="34961" hidden="1">
      <c r="E34961" s="96"/>
    </row>
    <row r="34962" hidden="1">
      <c r="E34962" s="96"/>
    </row>
    <row r="34963" hidden="1">
      <c r="E34963" s="96"/>
    </row>
    <row r="34964" hidden="1">
      <c r="E34964" s="96"/>
    </row>
    <row r="34965" hidden="1">
      <c r="E34965" s="96"/>
    </row>
    <row r="34966" hidden="1">
      <c r="E34966" s="96"/>
    </row>
    <row r="34967" hidden="1">
      <c r="E34967" s="96"/>
    </row>
    <row r="34968" hidden="1">
      <c r="E34968" s="96"/>
    </row>
    <row r="34969" hidden="1">
      <c r="E34969" s="96"/>
    </row>
    <row r="34970" hidden="1">
      <c r="E34970" s="96"/>
    </row>
    <row r="34971" hidden="1">
      <c r="E34971" s="96"/>
    </row>
    <row r="34972" hidden="1">
      <c r="E34972" s="96"/>
    </row>
    <row r="34973" hidden="1">
      <c r="E34973" s="96"/>
    </row>
    <row r="34974" hidden="1">
      <c r="E34974" s="96"/>
    </row>
    <row r="34975" hidden="1">
      <c r="E34975" s="96"/>
    </row>
    <row r="34976" hidden="1">
      <c r="E34976" s="96"/>
    </row>
    <row r="34977" hidden="1">
      <c r="E34977" s="96"/>
    </row>
    <row r="34978" hidden="1">
      <c r="E34978" s="96"/>
    </row>
    <row r="34979" hidden="1">
      <c r="E34979" s="96"/>
    </row>
    <row r="34980" hidden="1">
      <c r="E34980" s="96"/>
    </row>
    <row r="34981" hidden="1">
      <c r="E34981" s="96"/>
    </row>
    <row r="34982" hidden="1">
      <c r="E34982" s="96"/>
    </row>
    <row r="34983" hidden="1">
      <c r="E34983" s="96"/>
    </row>
    <row r="34984" hidden="1">
      <c r="E34984" s="96"/>
    </row>
    <row r="34985" hidden="1">
      <c r="E34985" s="96"/>
    </row>
    <row r="34986" hidden="1">
      <c r="E34986" s="96"/>
    </row>
    <row r="34987" hidden="1">
      <c r="E34987" s="96"/>
    </row>
    <row r="34988" hidden="1">
      <c r="E34988" s="96"/>
    </row>
    <row r="34989" hidden="1">
      <c r="E34989" s="96"/>
    </row>
    <row r="34990" hidden="1">
      <c r="E34990" s="96"/>
    </row>
    <row r="34991" hidden="1">
      <c r="E34991" s="96"/>
    </row>
    <row r="34992" hidden="1">
      <c r="E34992" s="96"/>
    </row>
    <row r="34993" hidden="1">
      <c r="E34993" s="96"/>
    </row>
    <row r="34994" hidden="1">
      <c r="E34994" s="96"/>
    </row>
    <row r="34995" hidden="1">
      <c r="E34995" s="96"/>
    </row>
    <row r="34996" hidden="1">
      <c r="E34996" s="96"/>
    </row>
    <row r="34997" hidden="1">
      <c r="E34997" s="96"/>
    </row>
    <row r="34998" hidden="1">
      <c r="E34998" s="96"/>
    </row>
    <row r="34999" hidden="1">
      <c r="E34999" s="96"/>
    </row>
    <row r="35000" hidden="1">
      <c r="E35000" s="96"/>
    </row>
    <row r="35001" hidden="1">
      <c r="E35001" s="96"/>
    </row>
    <row r="35002" hidden="1">
      <c r="E35002" s="96"/>
    </row>
    <row r="35003" hidden="1">
      <c r="E35003" s="96"/>
    </row>
    <row r="35004" hidden="1">
      <c r="E35004" s="96"/>
    </row>
    <row r="35005" hidden="1">
      <c r="E35005" s="96"/>
    </row>
    <row r="35006" hidden="1">
      <c r="E35006" s="96"/>
    </row>
    <row r="35007" hidden="1">
      <c r="E35007" s="96"/>
    </row>
    <row r="35008" hidden="1">
      <c r="E35008" s="96"/>
    </row>
    <row r="35009" hidden="1">
      <c r="E35009" s="96"/>
    </row>
    <row r="35010" hidden="1">
      <c r="E35010" s="96"/>
    </row>
    <row r="35011" hidden="1">
      <c r="E35011" s="96"/>
    </row>
    <row r="35012" hidden="1">
      <c r="E35012" s="96"/>
    </row>
    <row r="35013" hidden="1">
      <c r="E35013" s="96"/>
    </row>
    <row r="35014" hidden="1">
      <c r="E35014" s="96"/>
    </row>
    <row r="35015" hidden="1">
      <c r="E35015" s="96"/>
    </row>
    <row r="35016" hidden="1">
      <c r="E35016" s="96"/>
    </row>
    <row r="35017" hidden="1">
      <c r="E35017" s="96"/>
    </row>
    <row r="35018" hidden="1">
      <c r="E35018" s="96"/>
    </row>
    <row r="35019" hidden="1">
      <c r="E35019" s="96"/>
    </row>
    <row r="35020" hidden="1">
      <c r="E35020" s="96"/>
    </row>
    <row r="35021" hidden="1">
      <c r="E35021" s="96"/>
    </row>
    <row r="35022" hidden="1">
      <c r="E35022" s="96"/>
    </row>
    <row r="35023" hidden="1">
      <c r="E35023" s="96"/>
    </row>
    <row r="35024" hidden="1">
      <c r="E35024" s="96"/>
    </row>
    <row r="35025" hidden="1">
      <c r="E35025" s="96"/>
    </row>
    <row r="35026" hidden="1">
      <c r="E35026" s="96"/>
    </row>
    <row r="35027" hidden="1">
      <c r="E35027" s="96"/>
    </row>
    <row r="35028" hidden="1">
      <c r="E35028" s="96"/>
    </row>
    <row r="35029" hidden="1">
      <c r="E35029" s="96"/>
    </row>
    <row r="35030" hidden="1">
      <c r="E35030" s="96"/>
    </row>
    <row r="35031" hidden="1">
      <c r="E35031" s="96"/>
    </row>
    <row r="35032" hidden="1">
      <c r="E35032" s="96"/>
    </row>
    <row r="35033" hidden="1">
      <c r="E35033" s="96"/>
    </row>
    <row r="35034" hidden="1">
      <c r="E35034" s="96"/>
    </row>
    <row r="35035" hidden="1">
      <c r="E35035" s="96"/>
    </row>
    <row r="35036" hidden="1">
      <c r="E35036" s="96"/>
    </row>
    <row r="35037" hidden="1">
      <c r="E35037" s="96"/>
    </row>
    <row r="35038" hidden="1">
      <c r="E35038" s="96"/>
    </row>
    <row r="35039" hidden="1">
      <c r="E35039" s="96"/>
    </row>
    <row r="35040" hidden="1">
      <c r="E35040" s="96"/>
    </row>
    <row r="35041" hidden="1">
      <c r="E35041" s="96"/>
    </row>
    <row r="35042" hidden="1">
      <c r="E35042" s="96"/>
    </row>
    <row r="35043" hidden="1">
      <c r="E35043" s="96"/>
    </row>
    <row r="35044" hidden="1">
      <c r="E35044" s="96"/>
    </row>
    <row r="35045" hidden="1">
      <c r="E35045" s="96"/>
    </row>
    <row r="35046" hidden="1">
      <c r="E35046" s="96"/>
    </row>
    <row r="35047" hidden="1">
      <c r="E35047" s="96"/>
    </row>
    <row r="35048" hidden="1">
      <c r="E35048" s="96"/>
    </row>
    <row r="35049" hidden="1">
      <c r="E35049" s="96"/>
    </row>
    <row r="35050" hidden="1">
      <c r="E35050" s="96"/>
    </row>
    <row r="35051" hidden="1">
      <c r="E35051" s="96"/>
    </row>
    <row r="35052" hidden="1">
      <c r="E35052" s="96"/>
    </row>
    <row r="35053" hidden="1">
      <c r="E35053" s="96"/>
    </row>
    <row r="35054" hidden="1">
      <c r="E35054" s="96"/>
    </row>
    <row r="35055" hidden="1">
      <c r="E35055" s="96"/>
    </row>
    <row r="35056" hidden="1">
      <c r="E35056" s="96"/>
    </row>
    <row r="35057" hidden="1">
      <c r="E35057" s="96"/>
    </row>
    <row r="35058" hidden="1">
      <c r="E35058" s="96"/>
    </row>
    <row r="35059" hidden="1">
      <c r="E35059" s="96"/>
    </row>
    <row r="35060" hidden="1">
      <c r="E35060" s="96"/>
    </row>
    <row r="35061" hidden="1">
      <c r="E35061" s="96"/>
    </row>
    <row r="35062" hidden="1">
      <c r="E35062" s="96"/>
    </row>
    <row r="35063" hidden="1">
      <c r="E35063" s="96"/>
    </row>
    <row r="35064" hidden="1">
      <c r="E35064" s="96"/>
    </row>
    <row r="35065" hidden="1">
      <c r="E35065" s="96"/>
    </row>
    <row r="35066" hidden="1">
      <c r="E35066" s="96"/>
    </row>
    <row r="35067" hidden="1">
      <c r="E35067" s="96"/>
    </row>
    <row r="35068" hidden="1">
      <c r="E35068" s="96"/>
    </row>
    <row r="35069" hidden="1">
      <c r="E35069" s="96"/>
    </row>
    <row r="35070" hidden="1">
      <c r="E35070" s="96"/>
    </row>
    <row r="35071" hidden="1">
      <c r="E35071" s="96"/>
    </row>
    <row r="35072" hidden="1">
      <c r="E35072" s="96"/>
    </row>
    <row r="35073" hidden="1">
      <c r="E35073" s="96"/>
    </row>
    <row r="35074" hidden="1">
      <c r="E35074" s="96"/>
    </row>
    <row r="35075" hidden="1">
      <c r="E35075" s="96"/>
    </row>
    <row r="35076" hidden="1">
      <c r="E35076" s="96"/>
    </row>
    <row r="35077" hidden="1">
      <c r="E35077" s="96"/>
    </row>
    <row r="35078" hidden="1">
      <c r="E35078" s="96"/>
    </row>
    <row r="35079" hidden="1">
      <c r="E35079" s="96"/>
    </row>
    <row r="35080" hidden="1">
      <c r="E35080" s="96"/>
    </row>
    <row r="35081" hidden="1">
      <c r="E35081" s="96"/>
    </row>
    <row r="35082" hidden="1">
      <c r="E35082" s="96"/>
    </row>
    <row r="35083" hidden="1">
      <c r="E35083" s="96"/>
    </row>
    <row r="35084" hidden="1">
      <c r="E35084" s="96"/>
    </row>
    <row r="35085" hidden="1">
      <c r="E35085" s="96"/>
    </row>
    <row r="35086" hidden="1">
      <c r="E35086" s="96"/>
    </row>
    <row r="35087" hidden="1">
      <c r="E35087" s="96"/>
    </row>
    <row r="35088" hidden="1">
      <c r="E35088" s="96"/>
    </row>
    <row r="35089" hidden="1">
      <c r="E35089" s="96"/>
    </row>
    <row r="35090" hidden="1">
      <c r="E35090" s="96"/>
    </row>
    <row r="35091" hidden="1">
      <c r="E35091" s="96"/>
    </row>
    <row r="35092" hidden="1">
      <c r="E35092" s="96"/>
    </row>
    <row r="35093" hidden="1">
      <c r="E35093" s="96"/>
    </row>
    <row r="35094" hidden="1">
      <c r="E35094" s="96"/>
    </row>
    <row r="35095" hidden="1">
      <c r="E35095" s="96"/>
    </row>
    <row r="35096" hidden="1">
      <c r="E35096" s="96"/>
    </row>
    <row r="35097" hidden="1">
      <c r="E35097" s="96"/>
    </row>
    <row r="35098" hidden="1">
      <c r="E35098" s="96"/>
    </row>
    <row r="35099" hidden="1">
      <c r="E35099" s="96"/>
    </row>
    <row r="35100" hidden="1">
      <c r="E35100" s="96"/>
    </row>
    <row r="35101" hidden="1">
      <c r="E35101" s="96"/>
    </row>
    <row r="35102" hidden="1">
      <c r="E35102" s="96"/>
    </row>
    <row r="35103" hidden="1">
      <c r="E35103" s="96"/>
    </row>
    <row r="35104" hidden="1">
      <c r="E35104" s="96"/>
    </row>
    <row r="35105" hidden="1">
      <c r="E35105" s="96"/>
    </row>
    <row r="35106" hidden="1">
      <c r="E35106" s="96"/>
    </row>
    <row r="35107" hidden="1">
      <c r="E35107" s="96"/>
    </row>
    <row r="35108" hidden="1">
      <c r="E35108" s="96"/>
    </row>
    <row r="35109" hidden="1">
      <c r="E35109" s="96"/>
    </row>
    <row r="35110" hidden="1">
      <c r="E35110" s="96"/>
    </row>
    <row r="35111" hidden="1">
      <c r="E35111" s="96"/>
    </row>
    <row r="35112" hidden="1">
      <c r="E35112" s="96"/>
    </row>
    <row r="35113" hidden="1">
      <c r="E35113" s="96"/>
    </row>
    <row r="35114" hidden="1">
      <c r="E35114" s="96"/>
    </row>
    <row r="35115" hidden="1">
      <c r="E35115" s="96"/>
    </row>
    <row r="35116" hidden="1">
      <c r="E35116" s="96"/>
    </row>
    <row r="35117" hidden="1">
      <c r="E35117" s="96"/>
    </row>
    <row r="35118" hidden="1">
      <c r="E35118" s="96"/>
    </row>
    <row r="35119" hidden="1">
      <c r="E35119" s="96"/>
    </row>
    <row r="35120" hidden="1">
      <c r="E35120" s="96"/>
    </row>
    <row r="35121" hidden="1">
      <c r="E35121" s="96"/>
    </row>
    <row r="35122" hidden="1">
      <c r="E35122" s="96"/>
    </row>
    <row r="35123" hidden="1">
      <c r="E35123" s="96"/>
    </row>
    <row r="35124" hidden="1">
      <c r="E35124" s="96"/>
    </row>
    <row r="35125" hidden="1">
      <c r="E35125" s="96"/>
    </row>
    <row r="35126" hidden="1">
      <c r="E35126" s="96"/>
    </row>
    <row r="35127" hidden="1">
      <c r="E35127" s="96"/>
    </row>
    <row r="35128" hidden="1">
      <c r="E35128" s="96"/>
    </row>
    <row r="35129" hidden="1">
      <c r="E35129" s="96"/>
    </row>
    <row r="35130" hidden="1">
      <c r="E35130" s="96"/>
    </row>
    <row r="35131" hidden="1">
      <c r="E35131" s="96"/>
    </row>
    <row r="35132" hidden="1">
      <c r="E35132" s="96"/>
    </row>
    <row r="35133" hidden="1">
      <c r="E35133" s="96"/>
    </row>
    <row r="35134" hidden="1">
      <c r="E35134" s="96"/>
    </row>
    <row r="35135" hidden="1">
      <c r="E35135" s="96"/>
    </row>
    <row r="35136" hidden="1">
      <c r="E35136" s="96"/>
    </row>
    <row r="35137" hidden="1">
      <c r="E35137" s="96"/>
    </row>
    <row r="35138" hidden="1">
      <c r="E35138" s="96"/>
    </row>
    <row r="35139" hidden="1">
      <c r="E35139" s="96"/>
    </row>
    <row r="35140" hidden="1">
      <c r="E35140" s="96"/>
    </row>
    <row r="35141" hidden="1">
      <c r="E35141" s="96"/>
    </row>
    <row r="35142" hidden="1">
      <c r="E35142" s="96"/>
    </row>
    <row r="35143" hidden="1">
      <c r="E35143" s="96"/>
    </row>
    <row r="35144" hidden="1">
      <c r="E35144" s="96"/>
    </row>
    <row r="35145" hidden="1">
      <c r="E35145" s="96"/>
    </row>
    <row r="35146" hidden="1">
      <c r="E35146" s="96"/>
    </row>
    <row r="35147" hidden="1">
      <c r="E35147" s="96"/>
    </row>
    <row r="35148" hidden="1">
      <c r="E35148" s="96"/>
    </row>
    <row r="35149" hidden="1">
      <c r="E35149" s="96"/>
    </row>
    <row r="35150" hidden="1">
      <c r="E35150" s="96"/>
    </row>
    <row r="35151" hidden="1">
      <c r="E35151" s="96"/>
    </row>
    <row r="35152" hidden="1">
      <c r="E35152" s="96"/>
    </row>
    <row r="35153" hidden="1">
      <c r="E35153" s="96"/>
    </row>
    <row r="35154" hidden="1">
      <c r="E35154" s="96"/>
    </row>
    <row r="35155" hidden="1">
      <c r="E35155" s="96"/>
    </row>
    <row r="35156" hidden="1">
      <c r="E35156" s="96"/>
    </row>
    <row r="35157" hidden="1">
      <c r="E35157" s="96"/>
    </row>
    <row r="35158" hidden="1">
      <c r="E35158" s="96"/>
    </row>
    <row r="35159" hidden="1">
      <c r="E35159" s="96"/>
    </row>
    <row r="35160" hidden="1">
      <c r="E35160" s="96"/>
    </row>
    <row r="35161" hidden="1">
      <c r="E35161" s="96"/>
    </row>
    <row r="35162" hidden="1">
      <c r="E35162" s="96"/>
    </row>
    <row r="35163" hidden="1">
      <c r="E35163" s="96"/>
    </row>
    <row r="35164" hidden="1">
      <c r="E35164" s="96"/>
    </row>
    <row r="35165" hidden="1">
      <c r="E35165" s="96"/>
    </row>
    <row r="35166" hidden="1">
      <c r="E35166" s="96"/>
    </row>
    <row r="35167" hidden="1">
      <c r="E35167" s="96"/>
    </row>
    <row r="35168" hidden="1">
      <c r="E35168" s="96"/>
    </row>
    <row r="35169" hidden="1">
      <c r="E35169" s="96"/>
    </row>
    <row r="35170" hidden="1">
      <c r="E35170" s="96"/>
    </row>
    <row r="35171" hidden="1">
      <c r="E35171" s="96"/>
    </row>
    <row r="35172" hidden="1">
      <c r="E35172" s="96"/>
    </row>
    <row r="35173" hidden="1">
      <c r="E35173" s="96"/>
    </row>
    <row r="35174" hidden="1">
      <c r="E35174" s="96"/>
    </row>
    <row r="35175" hidden="1">
      <c r="E35175" s="96"/>
    </row>
    <row r="35176" hidden="1">
      <c r="E35176" s="96"/>
    </row>
    <row r="35177" hidden="1">
      <c r="E35177" s="96"/>
    </row>
    <row r="35178" hidden="1">
      <c r="E35178" s="96"/>
    </row>
    <row r="35179" hidden="1">
      <c r="E35179" s="96"/>
    </row>
    <row r="35180" hidden="1">
      <c r="E35180" s="96"/>
    </row>
    <row r="35181" hidden="1">
      <c r="E35181" s="96"/>
    </row>
    <row r="35182" hidden="1">
      <c r="E35182" s="96"/>
    </row>
    <row r="35183" hidden="1">
      <c r="E35183" s="96"/>
    </row>
    <row r="35184" hidden="1">
      <c r="E35184" s="96"/>
    </row>
    <row r="35185" hidden="1">
      <c r="E35185" s="96"/>
    </row>
    <row r="35186" hidden="1">
      <c r="E35186" s="96"/>
    </row>
    <row r="35187" hidden="1">
      <c r="E35187" s="96"/>
    </row>
    <row r="35188" hidden="1">
      <c r="E35188" s="96"/>
    </row>
    <row r="35189" hidden="1">
      <c r="E35189" s="96"/>
    </row>
    <row r="35190" hidden="1">
      <c r="E35190" s="96"/>
    </row>
    <row r="35191" hidden="1">
      <c r="E35191" s="96"/>
    </row>
    <row r="35192" hidden="1">
      <c r="E35192" s="96"/>
    </row>
    <row r="35193" hidden="1">
      <c r="E35193" s="96"/>
    </row>
    <row r="35194" hidden="1">
      <c r="E35194" s="96"/>
    </row>
    <row r="35195" hidden="1">
      <c r="E35195" s="96"/>
    </row>
    <row r="35196" hidden="1">
      <c r="E35196" s="96"/>
    </row>
    <row r="35197" hidden="1">
      <c r="E35197" s="96"/>
    </row>
    <row r="35198" hidden="1">
      <c r="E35198" s="96"/>
    </row>
    <row r="35199" hidden="1">
      <c r="E35199" s="96"/>
    </row>
    <row r="35200" hidden="1">
      <c r="E35200" s="96"/>
    </row>
    <row r="35201" hidden="1">
      <c r="E35201" s="96"/>
    </row>
    <row r="35202" hidden="1">
      <c r="E35202" s="96"/>
    </row>
    <row r="35203" hidden="1">
      <c r="E35203" s="96"/>
    </row>
    <row r="35204" hidden="1">
      <c r="E35204" s="96"/>
    </row>
    <row r="35205" hidden="1">
      <c r="E35205" s="96"/>
    </row>
    <row r="35206" hidden="1">
      <c r="E35206" s="96"/>
    </row>
    <row r="35207" hidden="1">
      <c r="E35207" s="96"/>
    </row>
    <row r="35208" hidden="1">
      <c r="E35208" s="96"/>
    </row>
    <row r="35209" hidden="1">
      <c r="E35209" s="96"/>
    </row>
    <row r="35210" hidden="1">
      <c r="E35210" s="96"/>
    </row>
    <row r="35211" hidden="1">
      <c r="E35211" s="96"/>
    </row>
    <row r="35212" hidden="1">
      <c r="E35212" s="96"/>
    </row>
    <row r="35213" hidden="1">
      <c r="E35213" s="96"/>
    </row>
    <row r="35214" hidden="1">
      <c r="E35214" s="96"/>
    </row>
    <row r="35215" hidden="1">
      <c r="E35215" s="96"/>
    </row>
    <row r="35216" hidden="1">
      <c r="E35216" s="96"/>
    </row>
    <row r="35217" hidden="1">
      <c r="E35217" s="96"/>
    </row>
    <row r="35218" hidden="1">
      <c r="E35218" s="96"/>
    </row>
    <row r="35219" hidden="1">
      <c r="E35219" s="96"/>
    </row>
    <row r="35220" hidden="1">
      <c r="E35220" s="96"/>
    </row>
    <row r="35221" hidden="1">
      <c r="E35221" s="96"/>
    </row>
    <row r="35222" hidden="1">
      <c r="E35222" s="96"/>
    </row>
    <row r="35223" hidden="1">
      <c r="E35223" s="96"/>
    </row>
    <row r="35224" hidden="1">
      <c r="E35224" s="96"/>
    </row>
    <row r="35225" hidden="1">
      <c r="E35225" s="96"/>
    </row>
    <row r="35226" hidden="1">
      <c r="E35226" s="96"/>
    </row>
    <row r="35227" hidden="1">
      <c r="E35227" s="96"/>
    </row>
    <row r="35228" hidden="1">
      <c r="E35228" s="96"/>
    </row>
    <row r="35229" hidden="1">
      <c r="E35229" s="96"/>
    </row>
    <row r="35230" hidden="1">
      <c r="E35230" s="96"/>
    </row>
    <row r="35231" hidden="1">
      <c r="E35231" s="96"/>
    </row>
    <row r="35232" hidden="1">
      <c r="E35232" s="96"/>
    </row>
    <row r="35233" hidden="1">
      <c r="E35233" s="96"/>
    </row>
    <row r="35234" hidden="1">
      <c r="E35234" s="96"/>
    </row>
    <row r="35235" hidden="1">
      <c r="E35235" s="96"/>
    </row>
    <row r="35236" hidden="1">
      <c r="E35236" s="96"/>
    </row>
    <row r="35237" hidden="1">
      <c r="E35237" s="96"/>
    </row>
    <row r="35238" hidden="1">
      <c r="E35238" s="96"/>
    </row>
    <row r="35239" hidden="1">
      <c r="E35239" s="96"/>
    </row>
    <row r="35240" hidden="1">
      <c r="E35240" s="96"/>
    </row>
    <row r="35241" hidden="1">
      <c r="E35241" s="96"/>
    </row>
    <row r="35242" hidden="1">
      <c r="E35242" s="96"/>
    </row>
    <row r="35243" hidden="1">
      <c r="E35243" s="96"/>
    </row>
    <row r="35244" hidden="1">
      <c r="E35244" s="96"/>
    </row>
    <row r="35245" hidden="1">
      <c r="E35245" s="96"/>
    </row>
    <row r="35246" hidden="1">
      <c r="E35246" s="96"/>
    </row>
    <row r="35247" hidden="1">
      <c r="E35247" s="96"/>
    </row>
    <row r="35248" hidden="1">
      <c r="E35248" s="96"/>
    </row>
    <row r="35249" hidden="1">
      <c r="E35249" s="96"/>
    </row>
    <row r="35250" hidden="1">
      <c r="E35250" s="96"/>
    </row>
    <row r="35251" hidden="1">
      <c r="E35251" s="96"/>
    </row>
    <row r="35252" hidden="1">
      <c r="E35252" s="96"/>
    </row>
    <row r="35253" hidden="1">
      <c r="E35253" s="96"/>
    </row>
    <row r="35254" hidden="1">
      <c r="E35254" s="96"/>
    </row>
    <row r="35255" hidden="1">
      <c r="E35255" s="96"/>
    </row>
    <row r="35256" hidden="1">
      <c r="E35256" s="96"/>
    </row>
    <row r="35257" hidden="1">
      <c r="E35257" s="96"/>
    </row>
    <row r="35258" hidden="1">
      <c r="E35258" s="96"/>
    </row>
    <row r="35259" hidden="1">
      <c r="E35259" s="96"/>
    </row>
    <row r="35260" hidden="1">
      <c r="E35260" s="96"/>
    </row>
    <row r="35261" hidden="1">
      <c r="E35261" s="96"/>
    </row>
    <row r="35262" hidden="1">
      <c r="E35262" s="96"/>
    </row>
    <row r="35263" hidden="1">
      <c r="E35263" s="96"/>
    </row>
    <row r="35264" hidden="1">
      <c r="E35264" s="96"/>
    </row>
    <row r="35265" hidden="1">
      <c r="E35265" s="96"/>
    </row>
    <row r="35266" hidden="1">
      <c r="E35266" s="96"/>
    </row>
    <row r="35267" hidden="1">
      <c r="E35267" s="96"/>
    </row>
    <row r="35268" hidden="1">
      <c r="E35268" s="96"/>
    </row>
    <row r="35269" hidden="1">
      <c r="E35269" s="96"/>
    </row>
    <row r="35270" hidden="1">
      <c r="E35270" s="96"/>
    </row>
    <row r="35271" hidden="1">
      <c r="E35271" s="96"/>
    </row>
    <row r="35272" hidden="1">
      <c r="E35272" s="96"/>
    </row>
    <row r="35273" hidden="1">
      <c r="E35273" s="96"/>
    </row>
    <row r="35274" hidden="1">
      <c r="E35274" s="96"/>
    </row>
    <row r="35275" hidden="1">
      <c r="E35275" s="96"/>
    </row>
    <row r="35276" hidden="1">
      <c r="E35276" s="96"/>
    </row>
    <row r="35277" hidden="1">
      <c r="E35277" s="96"/>
    </row>
    <row r="35278" hidden="1">
      <c r="E35278" s="96"/>
    </row>
    <row r="35279" hidden="1">
      <c r="E35279" s="96"/>
    </row>
    <row r="35280" hidden="1">
      <c r="E35280" s="96"/>
    </row>
    <row r="35281" hidden="1">
      <c r="E35281" s="96"/>
    </row>
    <row r="35282" hidden="1">
      <c r="E35282" s="96"/>
    </row>
    <row r="35283" hidden="1">
      <c r="E35283" s="96"/>
    </row>
    <row r="35284" hidden="1">
      <c r="E35284" s="96"/>
    </row>
    <row r="35285" hidden="1">
      <c r="E35285" s="96"/>
    </row>
    <row r="35286" hidden="1">
      <c r="E35286" s="96"/>
    </row>
    <row r="35287" hidden="1">
      <c r="E35287" s="96"/>
    </row>
    <row r="35288" hidden="1">
      <c r="E35288" s="96"/>
    </row>
    <row r="35289" hidden="1">
      <c r="E35289" s="96"/>
    </row>
    <row r="35290" hidden="1">
      <c r="E35290" s="96"/>
    </row>
    <row r="35291" hidden="1">
      <c r="E35291" s="96"/>
    </row>
    <row r="35292" hidden="1">
      <c r="E35292" s="96"/>
    </row>
    <row r="35293" hidden="1">
      <c r="E35293" s="96"/>
    </row>
    <row r="35294" hidden="1">
      <c r="E35294" s="96"/>
    </row>
    <row r="35295" hidden="1">
      <c r="E35295" s="96"/>
    </row>
    <row r="35296" hidden="1">
      <c r="E35296" s="96"/>
    </row>
    <row r="35297" hidden="1">
      <c r="E35297" s="96"/>
    </row>
    <row r="35298" hidden="1">
      <c r="E35298" s="96"/>
    </row>
    <row r="35299" hidden="1">
      <c r="E35299" s="96"/>
    </row>
    <row r="35300" hidden="1">
      <c r="E35300" s="96"/>
    </row>
    <row r="35301" hidden="1">
      <c r="E35301" s="96"/>
    </row>
    <row r="35302" hidden="1">
      <c r="E35302" s="96"/>
    </row>
    <row r="35303" hidden="1">
      <c r="E35303" s="96"/>
    </row>
    <row r="35304" hidden="1">
      <c r="E35304" s="96"/>
    </row>
    <row r="35305" hidden="1">
      <c r="E35305" s="96"/>
    </row>
    <row r="35306" hidden="1">
      <c r="E35306" s="96"/>
    </row>
    <row r="35307" hidden="1">
      <c r="E35307" s="96"/>
    </row>
    <row r="35308" hidden="1">
      <c r="E35308" s="96"/>
    </row>
    <row r="35309" hidden="1">
      <c r="E35309" s="96"/>
    </row>
    <row r="35310" hidden="1">
      <c r="E35310" s="96"/>
    </row>
    <row r="35311" hidden="1">
      <c r="E35311" s="96"/>
    </row>
    <row r="35312" hidden="1">
      <c r="E35312" s="96"/>
    </row>
    <row r="35313" hidden="1">
      <c r="E35313" s="96"/>
    </row>
    <row r="35314" hidden="1">
      <c r="E35314" s="96"/>
    </row>
    <row r="35315" hidden="1">
      <c r="E35315" s="96"/>
    </row>
    <row r="35316" hidden="1">
      <c r="E35316" s="96"/>
    </row>
    <row r="35317" hidden="1">
      <c r="E35317" s="96"/>
    </row>
    <row r="35318" hidden="1">
      <c r="E35318" s="96"/>
    </row>
    <row r="35319" hidden="1">
      <c r="E35319" s="96"/>
    </row>
    <row r="35320" hidden="1">
      <c r="E35320" s="96"/>
    </row>
    <row r="35321" hidden="1">
      <c r="E35321" s="96"/>
    </row>
    <row r="35322" hidden="1">
      <c r="E35322" s="96"/>
    </row>
    <row r="35323" hidden="1">
      <c r="E35323" s="96"/>
    </row>
    <row r="35324" hidden="1">
      <c r="E35324" s="96"/>
    </row>
    <row r="35325" hidden="1">
      <c r="E35325" s="96"/>
    </row>
    <row r="35326" hidden="1">
      <c r="E35326" s="96"/>
    </row>
    <row r="35327" hidden="1">
      <c r="E35327" s="96"/>
    </row>
    <row r="35328" hidden="1">
      <c r="E35328" s="96"/>
    </row>
    <row r="35329" hidden="1">
      <c r="E35329" s="96"/>
    </row>
    <row r="35330" hidden="1">
      <c r="E35330" s="96"/>
    </row>
    <row r="35331" hidden="1">
      <c r="E35331" s="96"/>
    </row>
    <row r="35332" hidden="1">
      <c r="E35332" s="96"/>
    </row>
    <row r="35333" hidden="1">
      <c r="E35333" s="96"/>
    </row>
    <row r="35334" hidden="1">
      <c r="E35334" s="96"/>
    </row>
    <row r="35335" hidden="1">
      <c r="E35335" s="96"/>
    </row>
    <row r="35336" hidden="1">
      <c r="E35336" s="96"/>
    </row>
    <row r="35337" hidden="1">
      <c r="E35337" s="96"/>
    </row>
    <row r="35338" hidden="1">
      <c r="E35338" s="96"/>
    </row>
    <row r="35339" hidden="1">
      <c r="E35339" s="96"/>
    </row>
    <row r="35340" hidden="1">
      <c r="E35340" s="96"/>
    </row>
    <row r="35341" hidden="1">
      <c r="E35341" s="96"/>
    </row>
    <row r="35342" hidden="1">
      <c r="E35342" s="96"/>
    </row>
    <row r="35343" hidden="1">
      <c r="E35343" s="96"/>
    </row>
    <row r="35344" hidden="1">
      <c r="E35344" s="96"/>
    </row>
    <row r="35345" hidden="1">
      <c r="E35345" s="96"/>
    </row>
    <row r="35346" hidden="1">
      <c r="E35346" s="96"/>
    </row>
    <row r="35347" hidden="1">
      <c r="E35347" s="96"/>
    </row>
    <row r="35348" hidden="1">
      <c r="E35348" s="96"/>
    </row>
    <row r="35349" hidden="1">
      <c r="E35349" s="96"/>
    </row>
    <row r="35350" hidden="1">
      <c r="E35350" s="96"/>
    </row>
    <row r="35351" hidden="1">
      <c r="E35351" s="96"/>
    </row>
    <row r="35352" hidden="1">
      <c r="E35352" s="96"/>
    </row>
    <row r="35353" hidden="1">
      <c r="E35353" s="96"/>
    </row>
    <row r="35354" hidden="1">
      <c r="E35354" s="96"/>
    </row>
    <row r="35355" hidden="1">
      <c r="E35355" s="96"/>
    </row>
    <row r="35356" hidden="1">
      <c r="E35356" s="96"/>
    </row>
    <row r="35357" hidden="1">
      <c r="E35357" s="96"/>
    </row>
    <row r="35358" hidden="1">
      <c r="E35358" s="96"/>
    </row>
    <row r="35359" hidden="1">
      <c r="E35359" s="96"/>
    </row>
    <row r="35360" hidden="1">
      <c r="E35360" s="96"/>
    </row>
    <row r="35361" hidden="1">
      <c r="E35361" s="96"/>
    </row>
    <row r="35362" hidden="1">
      <c r="E35362" s="96"/>
    </row>
    <row r="35363" hidden="1">
      <c r="E35363" s="96"/>
    </row>
    <row r="35364" hidden="1">
      <c r="E35364" s="96"/>
    </row>
    <row r="35365" hidden="1">
      <c r="E35365" s="96"/>
    </row>
    <row r="35366" hidden="1">
      <c r="E35366" s="96"/>
    </row>
    <row r="35367" hidden="1">
      <c r="E35367" s="96"/>
    </row>
    <row r="35368" hidden="1">
      <c r="E35368" s="96"/>
    </row>
    <row r="35369" hidden="1">
      <c r="E35369" s="96"/>
    </row>
    <row r="35370" hidden="1">
      <c r="E35370" s="96"/>
    </row>
    <row r="35371" hidden="1">
      <c r="E35371" s="96"/>
    </row>
    <row r="35372" hidden="1">
      <c r="E35372" s="96"/>
    </row>
    <row r="35373" hidden="1">
      <c r="E35373" s="96"/>
    </row>
    <row r="35374" hidden="1">
      <c r="E35374" s="96"/>
    </row>
    <row r="35375" hidden="1">
      <c r="E35375" s="96"/>
    </row>
    <row r="35376" hidden="1">
      <c r="E35376" s="96"/>
    </row>
    <row r="35377" hidden="1">
      <c r="E35377" s="96"/>
    </row>
    <row r="35378" hidden="1">
      <c r="E35378" s="96"/>
    </row>
    <row r="35379" hidden="1">
      <c r="E35379" s="96"/>
    </row>
    <row r="35380" hidden="1">
      <c r="E35380" s="96"/>
    </row>
    <row r="35381" hidden="1">
      <c r="E35381" s="96"/>
    </row>
    <row r="35382" hidden="1">
      <c r="E35382" s="96"/>
    </row>
    <row r="35383" hidden="1">
      <c r="E35383" s="96"/>
    </row>
    <row r="35384" hidden="1">
      <c r="E35384" s="96"/>
    </row>
    <row r="35385" hidden="1">
      <c r="E35385" s="96"/>
    </row>
    <row r="35386" hidden="1">
      <c r="E35386" s="96"/>
    </row>
    <row r="35387" hidden="1">
      <c r="E35387" s="96"/>
    </row>
    <row r="35388" hidden="1">
      <c r="E35388" s="96"/>
    </row>
    <row r="35389" hidden="1">
      <c r="E35389" s="96"/>
    </row>
    <row r="35390" hidden="1">
      <c r="E35390" s="96"/>
    </row>
    <row r="35391" hidden="1">
      <c r="E35391" s="96"/>
    </row>
    <row r="35392" hidden="1">
      <c r="E35392" s="96"/>
    </row>
    <row r="35393" hidden="1">
      <c r="E35393" s="96"/>
    </row>
    <row r="35394" hidden="1">
      <c r="E35394" s="96"/>
    </row>
    <row r="35395" hidden="1">
      <c r="E35395" s="96"/>
    </row>
    <row r="35396" hidden="1">
      <c r="E35396" s="96"/>
    </row>
    <row r="35397" hidden="1">
      <c r="E35397" s="96"/>
    </row>
    <row r="35398" hidden="1">
      <c r="E35398" s="96"/>
    </row>
    <row r="35399" hidden="1">
      <c r="E35399" s="96"/>
    </row>
    <row r="35400" hidden="1">
      <c r="E35400" s="96"/>
    </row>
    <row r="35401" hidden="1">
      <c r="E35401" s="96"/>
    </row>
    <row r="35402" hidden="1">
      <c r="E35402" s="96"/>
    </row>
    <row r="35403" hidden="1">
      <c r="E35403" s="96"/>
    </row>
    <row r="35404" hidden="1">
      <c r="E35404" s="96"/>
    </row>
    <row r="35405" hidden="1">
      <c r="E35405" s="96"/>
    </row>
    <row r="35406" hidden="1">
      <c r="E35406" s="96"/>
    </row>
    <row r="35407" hidden="1">
      <c r="E35407" s="96"/>
    </row>
    <row r="35408" hidden="1">
      <c r="E35408" s="96"/>
    </row>
    <row r="35409" hidden="1">
      <c r="E35409" s="96"/>
    </row>
    <row r="35410" hidden="1">
      <c r="E35410" s="96"/>
    </row>
    <row r="35411" hidden="1">
      <c r="E35411" s="96"/>
    </row>
    <row r="35412" hidden="1">
      <c r="E35412" s="96"/>
    </row>
    <row r="35413" hidden="1">
      <c r="E35413" s="96"/>
    </row>
    <row r="35414" hidden="1">
      <c r="E35414" s="96"/>
    </row>
    <row r="35415" hidden="1">
      <c r="E35415" s="96"/>
    </row>
    <row r="35416" hidden="1">
      <c r="E35416" s="96"/>
    </row>
    <row r="35417" hidden="1">
      <c r="E35417" s="96"/>
    </row>
    <row r="35418" hidden="1">
      <c r="E35418" s="96"/>
    </row>
    <row r="35419" hidden="1">
      <c r="E35419" s="96"/>
    </row>
    <row r="35420" hidden="1">
      <c r="E35420" s="96"/>
    </row>
    <row r="35421" hidden="1">
      <c r="E35421" s="96"/>
    </row>
    <row r="35422" hidden="1">
      <c r="E35422" s="96"/>
    </row>
    <row r="35423" hidden="1">
      <c r="E35423" s="96"/>
    </row>
    <row r="35424" hidden="1">
      <c r="E35424" s="96"/>
    </row>
    <row r="35425" hidden="1">
      <c r="E35425" s="96"/>
    </row>
    <row r="35426" hidden="1">
      <c r="E35426" s="96"/>
    </row>
    <row r="35427" hidden="1">
      <c r="E35427" s="96"/>
    </row>
    <row r="35428" hidden="1">
      <c r="E35428" s="96"/>
    </row>
    <row r="35429" hidden="1">
      <c r="E35429" s="96"/>
    </row>
    <row r="35430" hidden="1">
      <c r="E35430" s="96"/>
    </row>
    <row r="35431" hidden="1">
      <c r="E35431" s="96"/>
    </row>
    <row r="35432" hidden="1">
      <c r="E35432" s="96"/>
    </row>
    <row r="35433" hidden="1">
      <c r="E35433" s="96"/>
    </row>
    <row r="35434" hidden="1">
      <c r="E35434" s="96"/>
    </row>
    <row r="35435" hidden="1">
      <c r="E35435" s="96"/>
    </row>
    <row r="35436" hidden="1">
      <c r="E35436" s="96"/>
    </row>
    <row r="35437" hidden="1">
      <c r="E35437" s="96"/>
    </row>
    <row r="35438" hidden="1">
      <c r="E35438" s="96"/>
    </row>
    <row r="35439" hidden="1">
      <c r="E35439" s="96"/>
    </row>
    <row r="35440" hidden="1">
      <c r="E35440" s="96"/>
    </row>
    <row r="35441" hidden="1">
      <c r="E35441" s="96"/>
    </row>
    <row r="35442" hidden="1">
      <c r="E35442" s="96"/>
    </row>
    <row r="35443" hidden="1">
      <c r="E35443" s="96"/>
    </row>
    <row r="35444" hidden="1">
      <c r="E35444" s="96"/>
    </row>
    <row r="35445" hidden="1">
      <c r="E35445" s="96"/>
    </row>
    <row r="35446" hidden="1">
      <c r="E35446" s="96"/>
    </row>
    <row r="35447" hidden="1">
      <c r="E35447" s="96"/>
    </row>
    <row r="35448" hidden="1">
      <c r="E35448" s="96"/>
    </row>
    <row r="35449" hidden="1">
      <c r="E35449" s="96"/>
    </row>
    <row r="35450" hidden="1">
      <c r="E35450" s="96"/>
    </row>
    <row r="35451" hidden="1">
      <c r="E35451" s="96"/>
    </row>
    <row r="35452" hidden="1">
      <c r="E35452" s="96"/>
    </row>
    <row r="35453" hidden="1">
      <c r="E35453" s="96"/>
    </row>
    <row r="35454" hidden="1">
      <c r="E35454" s="96"/>
    </row>
    <row r="35455" hidden="1">
      <c r="E35455" s="96"/>
    </row>
    <row r="35456" hidden="1">
      <c r="E35456" s="96"/>
    </row>
    <row r="35457" hidden="1">
      <c r="E35457" s="96"/>
    </row>
    <row r="35458" hidden="1">
      <c r="E35458" s="96"/>
    </row>
    <row r="35459" hidden="1">
      <c r="E35459" s="96"/>
    </row>
    <row r="35460" hidden="1">
      <c r="E35460" s="96"/>
    </row>
    <row r="35461" hidden="1">
      <c r="E35461" s="96"/>
    </row>
    <row r="35462" hidden="1">
      <c r="E35462" s="96"/>
    </row>
    <row r="35463" hidden="1">
      <c r="E35463" s="96"/>
    </row>
    <row r="35464" hidden="1">
      <c r="E35464" s="96"/>
    </row>
    <row r="35465" hidden="1">
      <c r="E35465" s="96"/>
    </row>
    <row r="35466" hidden="1">
      <c r="E35466" s="96"/>
    </row>
    <row r="35467" hidden="1">
      <c r="E35467" s="96"/>
    </row>
    <row r="35468" hidden="1">
      <c r="E35468" s="96"/>
    </row>
    <row r="35469" hidden="1">
      <c r="E35469" s="96"/>
    </row>
    <row r="35470" hidden="1">
      <c r="E35470" s="96"/>
    </row>
    <row r="35471" hidden="1">
      <c r="E35471" s="96"/>
    </row>
    <row r="35472" hidden="1">
      <c r="E35472" s="96"/>
    </row>
    <row r="35473" hidden="1">
      <c r="E35473" s="96"/>
    </row>
    <row r="35474" hidden="1">
      <c r="E35474" s="96"/>
    </row>
    <row r="35475" hidden="1">
      <c r="E35475" s="96"/>
    </row>
    <row r="35476" hidden="1">
      <c r="E35476" s="96"/>
    </row>
    <row r="35477" hidden="1">
      <c r="E35477" s="96"/>
    </row>
    <row r="35478" hidden="1">
      <c r="E35478" s="96"/>
    </row>
    <row r="35479" hidden="1">
      <c r="E35479" s="96"/>
    </row>
    <row r="35480" hidden="1">
      <c r="E35480" s="96"/>
    </row>
    <row r="35481" hidden="1">
      <c r="E35481" s="96"/>
    </row>
    <row r="35482" hidden="1">
      <c r="E35482" s="96"/>
    </row>
    <row r="35483" hidden="1">
      <c r="E35483" s="96"/>
    </row>
    <row r="35484" hidden="1">
      <c r="E35484" s="96"/>
    </row>
    <row r="35485" hidden="1">
      <c r="E35485" s="96"/>
    </row>
    <row r="35486" hidden="1">
      <c r="E35486" s="96"/>
    </row>
    <row r="35487" hidden="1">
      <c r="E35487" s="96"/>
    </row>
    <row r="35488" hidden="1">
      <c r="E35488" s="96"/>
    </row>
    <row r="35489" hidden="1">
      <c r="E35489" s="96"/>
    </row>
    <row r="35490" hidden="1">
      <c r="E35490" s="96"/>
    </row>
    <row r="35491" hidden="1">
      <c r="E35491" s="96"/>
    </row>
    <row r="35492" hidden="1">
      <c r="E35492" s="96"/>
    </row>
    <row r="35493" hidden="1">
      <c r="E35493" s="96"/>
    </row>
    <row r="35494" hidden="1">
      <c r="E35494" s="96"/>
    </row>
    <row r="35495" hidden="1">
      <c r="E35495" s="96"/>
    </row>
    <row r="35496" hidden="1">
      <c r="E35496" s="96"/>
    </row>
    <row r="35497" hidden="1">
      <c r="E35497" s="96"/>
    </row>
    <row r="35498" hidden="1">
      <c r="E35498" s="96"/>
    </row>
    <row r="35499" hidden="1">
      <c r="E35499" s="96"/>
    </row>
    <row r="35500" hidden="1">
      <c r="E35500" s="96"/>
    </row>
    <row r="35501" hidden="1">
      <c r="E35501" s="96"/>
    </row>
    <row r="35502" hidden="1">
      <c r="E35502" s="96"/>
    </row>
    <row r="35503" hidden="1">
      <c r="E35503" s="96"/>
    </row>
    <row r="35504" hidden="1">
      <c r="E35504" s="96"/>
    </row>
    <row r="35505" hidden="1">
      <c r="E35505" s="96"/>
    </row>
    <row r="35506" hidden="1">
      <c r="E35506" s="96"/>
    </row>
    <row r="35507" hidden="1">
      <c r="E35507" s="96"/>
    </row>
    <row r="35508" hidden="1">
      <c r="E35508" s="96"/>
    </row>
    <row r="35509" hidden="1">
      <c r="E35509" s="96"/>
    </row>
    <row r="35510" hidden="1">
      <c r="E35510" s="96"/>
    </row>
    <row r="35511" hidden="1">
      <c r="E35511" s="96"/>
    </row>
    <row r="35512" hidden="1">
      <c r="E35512" s="96"/>
    </row>
    <row r="35513" hidden="1">
      <c r="E35513" s="96"/>
    </row>
    <row r="35514" hidden="1">
      <c r="E35514" s="96"/>
    </row>
    <row r="35515" hidden="1">
      <c r="E35515" s="96"/>
    </row>
    <row r="35516" hidden="1">
      <c r="E35516" s="96"/>
    </row>
    <row r="35517" hidden="1">
      <c r="E35517" s="96"/>
    </row>
    <row r="35518" hidden="1">
      <c r="E35518" s="96"/>
    </row>
    <row r="35519" hidden="1">
      <c r="E35519" s="96"/>
    </row>
    <row r="35520" hidden="1">
      <c r="E35520" s="96"/>
    </row>
    <row r="35521" hidden="1">
      <c r="E35521" s="96"/>
    </row>
    <row r="35522" hidden="1">
      <c r="E35522" s="96"/>
    </row>
    <row r="35523" hidden="1">
      <c r="E35523" s="96"/>
    </row>
    <row r="35524" hidden="1">
      <c r="E35524" s="96"/>
    </row>
    <row r="35525" hidden="1">
      <c r="E35525" s="96"/>
    </row>
    <row r="35526" hidden="1">
      <c r="E35526" s="96"/>
    </row>
    <row r="35527" hidden="1">
      <c r="E35527" s="96"/>
    </row>
    <row r="35528" hidden="1">
      <c r="E35528" s="96"/>
    </row>
    <row r="35529" hidden="1">
      <c r="E35529" s="96"/>
    </row>
    <row r="35530" hidden="1">
      <c r="E35530" s="96"/>
    </row>
    <row r="35531" hidden="1">
      <c r="E35531" s="96"/>
    </row>
    <row r="35532" hidden="1">
      <c r="E35532" s="96"/>
    </row>
    <row r="35533" hidden="1">
      <c r="E35533" s="96"/>
    </row>
    <row r="35534" hidden="1">
      <c r="E35534" s="96"/>
    </row>
    <row r="35535" hidden="1">
      <c r="E35535" s="96"/>
    </row>
    <row r="35536" hidden="1">
      <c r="E35536" s="96"/>
    </row>
    <row r="35537" hidden="1">
      <c r="E35537" s="96"/>
    </row>
    <row r="35538" hidden="1">
      <c r="E35538" s="96"/>
    </row>
    <row r="35539" hidden="1">
      <c r="E35539" s="96"/>
    </row>
    <row r="35540" hidden="1">
      <c r="E35540" s="96"/>
    </row>
    <row r="35541" hidden="1">
      <c r="E35541" s="96"/>
    </row>
    <row r="35542" hidden="1">
      <c r="E35542" s="96"/>
    </row>
    <row r="35543" hidden="1">
      <c r="E35543" s="96"/>
    </row>
    <row r="35544" hidden="1">
      <c r="E35544" s="96"/>
    </row>
    <row r="35545" hidden="1">
      <c r="E35545" s="96"/>
    </row>
    <row r="35546" hidden="1">
      <c r="E35546" s="96"/>
    </row>
    <row r="35547" hidden="1">
      <c r="E35547" s="96"/>
    </row>
    <row r="35548" hidden="1">
      <c r="E35548" s="96"/>
    </row>
    <row r="35549" hidden="1">
      <c r="E35549" s="96"/>
    </row>
    <row r="35550" hidden="1">
      <c r="E35550" s="96"/>
    </row>
    <row r="35551" hidden="1">
      <c r="E35551" s="96"/>
    </row>
    <row r="35552" hidden="1">
      <c r="E35552" s="96"/>
    </row>
    <row r="35553" hidden="1">
      <c r="E35553" s="96"/>
    </row>
    <row r="35554" hidden="1">
      <c r="E35554" s="96"/>
    </row>
    <row r="35555" hidden="1">
      <c r="E35555" s="96"/>
    </row>
    <row r="35556" hidden="1">
      <c r="E35556" s="96"/>
    </row>
    <row r="35557" hidden="1">
      <c r="E35557" s="96"/>
    </row>
    <row r="35558" hidden="1">
      <c r="E35558" s="96"/>
    </row>
    <row r="35559" hidden="1">
      <c r="E35559" s="96"/>
    </row>
    <row r="35560" hidden="1">
      <c r="E35560" s="96"/>
    </row>
    <row r="35561" hidden="1">
      <c r="E35561" s="96"/>
    </row>
    <row r="35562" hidden="1">
      <c r="E35562" s="96"/>
    </row>
    <row r="35563" hidden="1">
      <c r="E35563" s="96"/>
    </row>
    <row r="35564" hidden="1">
      <c r="E35564" s="96"/>
    </row>
    <row r="35565" hidden="1">
      <c r="E35565" s="96"/>
    </row>
    <row r="35566" hidden="1">
      <c r="E35566" s="96"/>
    </row>
    <row r="35567" hidden="1">
      <c r="E35567" s="96"/>
    </row>
    <row r="35568" hidden="1">
      <c r="E35568" s="96"/>
    </row>
    <row r="35569" hidden="1">
      <c r="E35569" s="96"/>
    </row>
    <row r="35570" hidden="1">
      <c r="E35570" s="96"/>
    </row>
    <row r="35571" hidden="1">
      <c r="E35571" s="96"/>
    </row>
    <row r="35572" hidden="1">
      <c r="E35572" s="96"/>
    </row>
    <row r="35573" hidden="1">
      <c r="E35573" s="96"/>
    </row>
    <row r="35574" hidden="1">
      <c r="E35574" s="96"/>
    </row>
    <row r="35575" hidden="1">
      <c r="E35575" s="96"/>
    </row>
    <row r="35576" hidden="1">
      <c r="E35576" s="96"/>
    </row>
    <row r="35577" hidden="1">
      <c r="E35577" s="96"/>
    </row>
    <row r="35578" hidden="1">
      <c r="E35578" s="96"/>
    </row>
    <row r="35579" hidden="1">
      <c r="E35579" s="96"/>
    </row>
    <row r="35580" hidden="1">
      <c r="E35580" s="96"/>
    </row>
    <row r="35581" hidden="1">
      <c r="E35581" s="96"/>
    </row>
    <row r="35582" hidden="1">
      <c r="E35582" s="96"/>
    </row>
    <row r="35583" hidden="1">
      <c r="E35583" s="96"/>
    </row>
    <row r="35584" hidden="1">
      <c r="E35584" s="96"/>
    </row>
    <row r="35585" hidden="1">
      <c r="E35585" s="96"/>
    </row>
    <row r="35586" hidden="1">
      <c r="E35586" s="96"/>
    </row>
    <row r="35587" hidden="1">
      <c r="E35587" s="96"/>
    </row>
    <row r="35588" hidden="1">
      <c r="E35588" s="96"/>
    </row>
    <row r="35589" hidden="1">
      <c r="E35589" s="96"/>
    </row>
    <row r="35590" hidden="1">
      <c r="E35590" s="96"/>
    </row>
    <row r="35591" hidden="1">
      <c r="E35591" s="96"/>
    </row>
    <row r="35592" hidden="1">
      <c r="E35592" s="96"/>
    </row>
    <row r="35593" hidden="1">
      <c r="E35593" s="96"/>
    </row>
    <row r="35594" hidden="1">
      <c r="E35594" s="96"/>
    </row>
    <row r="35595" hidden="1">
      <c r="E35595" s="96"/>
    </row>
    <row r="35596" hidden="1">
      <c r="E35596" s="96"/>
    </row>
    <row r="35597" hidden="1">
      <c r="E35597" s="96"/>
    </row>
    <row r="35598" hidden="1">
      <c r="E35598" s="96"/>
    </row>
    <row r="35599" hidden="1">
      <c r="E35599" s="96"/>
    </row>
    <row r="35600" hidden="1">
      <c r="E35600" s="96"/>
    </row>
    <row r="35601" hidden="1">
      <c r="E35601" s="96"/>
    </row>
    <row r="35602" hidden="1">
      <c r="E35602" s="96"/>
    </row>
    <row r="35603" hidden="1">
      <c r="E35603" s="96"/>
    </row>
    <row r="35604" hidden="1">
      <c r="E35604" s="96"/>
    </row>
    <row r="35605" hidden="1">
      <c r="E35605" s="96"/>
    </row>
    <row r="35606" hidden="1">
      <c r="E35606" s="96"/>
    </row>
    <row r="35607" hidden="1">
      <c r="E35607" s="96"/>
    </row>
    <row r="35608" hidden="1">
      <c r="E35608" s="96"/>
    </row>
    <row r="35609" hidden="1">
      <c r="E35609" s="96"/>
    </row>
    <row r="35610" hidden="1">
      <c r="E35610" s="96"/>
    </row>
    <row r="35611" hidden="1">
      <c r="E35611" s="96"/>
    </row>
    <row r="35612" hidden="1">
      <c r="E35612" s="96"/>
    </row>
    <row r="35613" hidden="1">
      <c r="E35613" s="96"/>
    </row>
    <row r="35614" hidden="1">
      <c r="E35614" s="96"/>
    </row>
    <row r="35615" hidden="1">
      <c r="E35615" s="96"/>
    </row>
    <row r="35616" hidden="1">
      <c r="E35616" s="96"/>
    </row>
    <row r="35617" hidden="1">
      <c r="E35617" s="96"/>
    </row>
    <row r="35618" hidden="1">
      <c r="E35618" s="96"/>
    </row>
    <row r="35619" hidden="1">
      <c r="E35619" s="96"/>
    </row>
    <row r="35620" hidden="1">
      <c r="E35620" s="96"/>
    </row>
    <row r="35621" hidden="1">
      <c r="E35621" s="96"/>
    </row>
    <row r="35622" hidden="1">
      <c r="E35622" s="96"/>
    </row>
    <row r="35623" hidden="1">
      <c r="E35623" s="96"/>
    </row>
    <row r="35624" hidden="1">
      <c r="E35624" s="96"/>
    </row>
    <row r="35625" hidden="1">
      <c r="E35625" s="96"/>
    </row>
    <row r="35626" hidden="1">
      <c r="E35626" s="96"/>
    </row>
    <row r="35627" hidden="1">
      <c r="E35627" s="96"/>
    </row>
    <row r="35628" hidden="1">
      <c r="E35628" s="96"/>
    </row>
    <row r="35629" hidden="1">
      <c r="E35629" s="96"/>
    </row>
    <row r="35630" hidden="1">
      <c r="E35630" s="96"/>
    </row>
    <row r="35631" hidden="1">
      <c r="E35631" s="96"/>
    </row>
    <row r="35632" hidden="1">
      <c r="E35632" s="96"/>
    </row>
    <row r="35633" hidden="1">
      <c r="E35633" s="96"/>
    </row>
    <row r="35634" hidden="1">
      <c r="E35634" s="96"/>
    </row>
    <row r="35635" hidden="1">
      <c r="E35635" s="96"/>
    </row>
    <row r="35636" hidden="1">
      <c r="E35636" s="96"/>
    </row>
    <row r="35637" hidden="1">
      <c r="E35637" s="96"/>
    </row>
    <row r="35638" hidden="1">
      <c r="E35638" s="96"/>
    </row>
    <row r="35639" hidden="1">
      <c r="E35639" s="96"/>
    </row>
    <row r="35640" hidden="1">
      <c r="E35640" s="96"/>
    </row>
    <row r="35641" hidden="1">
      <c r="E35641" s="96"/>
    </row>
    <row r="35642" hidden="1">
      <c r="E35642" s="96"/>
    </row>
    <row r="35643" hidden="1">
      <c r="E35643" s="96"/>
    </row>
    <row r="35644" hidden="1">
      <c r="E35644" s="96"/>
    </row>
    <row r="35645" hidden="1">
      <c r="E35645" s="96"/>
    </row>
    <row r="35646" hidden="1">
      <c r="E35646" s="96"/>
    </row>
    <row r="35647" hidden="1">
      <c r="E35647" s="96"/>
    </row>
    <row r="35648" hidden="1">
      <c r="E35648" s="96"/>
    </row>
    <row r="35649" hidden="1">
      <c r="E35649" s="96"/>
    </row>
    <row r="35650" hidden="1">
      <c r="E35650" s="96"/>
    </row>
    <row r="35651" hidden="1">
      <c r="E35651" s="96"/>
    </row>
    <row r="35652" hidden="1">
      <c r="E35652" s="96"/>
    </row>
    <row r="35653" hidden="1">
      <c r="E35653" s="96"/>
    </row>
    <row r="35654" hidden="1">
      <c r="E35654" s="96"/>
    </row>
    <row r="35655" hidden="1">
      <c r="E35655" s="96"/>
    </row>
    <row r="35656" hidden="1">
      <c r="E35656" s="96"/>
    </row>
    <row r="35657" hidden="1">
      <c r="E35657" s="96"/>
    </row>
    <row r="35658" hidden="1">
      <c r="E35658" s="96"/>
    </row>
    <row r="35659" hidden="1">
      <c r="E35659" s="96"/>
    </row>
    <row r="35660" hidden="1">
      <c r="E35660" s="96"/>
    </row>
    <row r="35661" hidden="1">
      <c r="E35661" s="96"/>
    </row>
    <row r="35662" hidden="1">
      <c r="E35662" s="96"/>
    </row>
    <row r="35663" hidden="1">
      <c r="E35663" s="96"/>
    </row>
    <row r="35664" hidden="1">
      <c r="E35664" s="96"/>
    </row>
    <row r="35665" hidden="1">
      <c r="E35665" s="96"/>
    </row>
    <row r="35666" hidden="1">
      <c r="E35666" s="96"/>
    </row>
    <row r="35667" hidden="1">
      <c r="E35667" s="96"/>
    </row>
    <row r="35668" hidden="1">
      <c r="E35668" s="96"/>
    </row>
    <row r="35669" hidden="1">
      <c r="E35669" s="96"/>
    </row>
    <row r="35670" hidden="1">
      <c r="E35670" s="96"/>
    </row>
    <row r="35671" hidden="1">
      <c r="E35671" s="96"/>
    </row>
    <row r="35672" hidden="1">
      <c r="E35672" s="96"/>
    </row>
    <row r="35673" hidden="1">
      <c r="E35673" s="96"/>
    </row>
    <row r="35674" hidden="1">
      <c r="E35674" s="96"/>
    </row>
    <row r="35675" hidden="1">
      <c r="E35675" s="96"/>
    </row>
    <row r="35676" hidden="1">
      <c r="E35676" s="96"/>
    </row>
    <row r="35677" hidden="1">
      <c r="E35677" s="96"/>
    </row>
    <row r="35678" hidden="1">
      <c r="E35678" s="96"/>
    </row>
    <row r="35679" hidden="1">
      <c r="E35679" s="96"/>
    </row>
    <row r="35680" hidden="1">
      <c r="E35680" s="96"/>
    </row>
    <row r="35681" hidden="1">
      <c r="E35681" s="96"/>
    </row>
    <row r="35682" hidden="1">
      <c r="E35682" s="96"/>
    </row>
    <row r="35683" hidden="1">
      <c r="E35683" s="96"/>
    </row>
    <row r="35684" hidden="1">
      <c r="E35684" s="96"/>
    </row>
    <row r="35685" hidden="1">
      <c r="E35685" s="96"/>
    </row>
    <row r="35686" hidden="1">
      <c r="E35686" s="96"/>
    </row>
    <row r="35687" hidden="1">
      <c r="E35687" s="96"/>
    </row>
    <row r="35688" hidden="1">
      <c r="E35688" s="96"/>
    </row>
    <row r="35689" hidden="1">
      <c r="E35689" s="96"/>
    </row>
    <row r="35690" hidden="1">
      <c r="E35690" s="96"/>
    </row>
    <row r="35691" hidden="1">
      <c r="E35691" s="96"/>
    </row>
    <row r="35692" hidden="1">
      <c r="E35692" s="96"/>
    </row>
    <row r="35693" hidden="1">
      <c r="E35693" s="96"/>
    </row>
    <row r="35694" hidden="1">
      <c r="E35694" s="96"/>
    </row>
    <row r="35695" hidden="1">
      <c r="E35695" s="96"/>
    </row>
    <row r="35696" hidden="1">
      <c r="E35696" s="96"/>
    </row>
    <row r="35697" hidden="1">
      <c r="E35697" s="96"/>
    </row>
    <row r="35698" hidden="1">
      <c r="E35698" s="96"/>
    </row>
    <row r="35699" hidden="1">
      <c r="E35699" s="96"/>
    </row>
    <row r="35700" hidden="1">
      <c r="E35700" s="96"/>
    </row>
    <row r="35701" hidden="1">
      <c r="E35701" s="96"/>
    </row>
    <row r="35702" hidden="1">
      <c r="E35702" s="96"/>
    </row>
    <row r="35703" hidden="1">
      <c r="E35703" s="96"/>
    </row>
    <row r="35704" hidden="1">
      <c r="E35704" s="96"/>
    </row>
    <row r="35705" hidden="1">
      <c r="E35705" s="96"/>
    </row>
    <row r="35706" hidden="1">
      <c r="E35706" s="96"/>
    </row>
    <row r="35707" hidden="1">
      <c r="E35707" s="96"/>
    </row>
    <row r="35708" hidden="1">
      <c r="E35708" s="96"/>
    </row>
    <row r="35709" hidden="1">
      <c r="E35709" s="96"/>
    </row>
    <row r="35710" hidden="1">
      <c r="E35710" s="96"/>
    </row>
    <row r="35711" hidden="1">
      <c r="E35711" s="96"/>
    </row>
    <row r="35712" hidden="1">
      <c r="E35712" s="96"/>
    </row>
    <row r="35713" hidden="1">
      <c r="E35713" s="96"/>
    </row>
    <row r="35714" hidden="1">
      <c r="E35714" s="96"/>
    </row>
    <row r="35715" hidden="1">
      <c r="E35715" s="96"/>
    </row>
    <row r="35716" hidden="1">
      <c r="E35716" s="96"/>
    </row>
    <row r="35717" hidden="1">
      <c r="E35717" s="96"/>
    </row>
    <row r="35718" hidden="1">
      <c r="E35718" s="96"/>
    </row>
    <row r="35719" hidden="1">
      <c r="E35719" s="96"/>
    </row>
    <row r="35720" hidden="1">
      <c r="E35720" s="96"/>
    </row>
    <row r="35721" hidden="1">
      <c r="E35721" s="96"/>
    </row>
    <row r="35722" hidden="1">
      <c r="E35722" s="96"/>
    </row>
    <row r="35723" hidden="1">
      <c r="E35723" s="96"/>
    </row>
    <row r="35724" hidden="1">
      <c r="E35724" s="96"/>
    </row>
    <row r="35725" hidden="1">
      <c r="E35725" s="96"/>
    </row>
    <row r="35726" hidden="1">
      <c r="E35726" s="96"/>
    </row>
    <row r="35727" hidden="1">
      <c r="E35727" s="96"/>
    </row>
    <row r="35728" hidden="1">
      <c r="E35728" s="96"/>
    </row>
    <row r="35729" hidden="1">
      <c r="E35729" s="96"/>
    </row>
    <row r="35730" hidden="1">
      <c r="E35730" s="96"/>
    </row>
    <row r="35731" hidden="1">
      <c r="E35731" s="96"/>
    </row>
    <row r="35732" hidden="1">
      <c r="E35732" s="96"/>
    </row>
    <row r="35733" hidden="1">
      <c r="E35733" s="96"/>
    </row>
    <row r="35734" hidden="1">
      <c r="E35734" s="96"/>
    </row>
    <row r="35735" hidden="1">
      <c r="E35735" s="96"/>
    </row>
    <row r="35736" hidden="1">
      <c r="E35736" s="96"/>
    </row>
    <row r="35737" hidden="1">
      <c r="E35737" s="96"/>
    </row>
    <row r="35738" hidden="1">
      <c r="E35738" s="96"/>
    </row>
    <row r="35739" hidden="1">
      <c r="E35739" s="96"/>
    </row>
    <row r="35740" hidden="1">
      <c r="E35740" s="96"/>
    </row>
    <row r="35741" hidden="1">
      <c r="E35741" s="96"/>
    </row>
    <row r="35742" hidden="1">
      <c r="E35742" s="96"/>
    </row>
    <row r="35743" hidden="1">
      <c r="E35743" s="96"/>
    </row>
    <row r="35744" hidden="1">
      <c r="E35744" s="96"/>
    </row>
    <row r="35745" hidden="1">
      <c r="E35745" s="96"/>
    </row>
    <row r="35746" hidden="1">
      <c r="E35746" s="96"/>
    </row>
    <row r="35747" hidden="1">
      <c r="E35747" s="96"/>
    </row>
    <row r="35748" hidden="1">
      <c r="E35748" s="96"/>
    </row>
    <row r="35749" hidden="1">
      <c r="E35749" s="96"/>
    </row>
    <row r="35750" hidden="1">
      <c r="E35750" s="96"/>
    </row>
    <row r="35751" hidden="1">
      <c r="E35751" s="96"/>
    </row>
    <row r="35752" hidden="1">
      <c r="E35752" s="96"/>
    </row>
    <row r="35753" hidden="1">
      <c r="E35753" s="96"/>
    </row>
    <row r="35754" hidden="1">
      <c r="E35754" s="96"/>
    </row>
    <row r="35755" hidden="1">
      <c r="E35755" s="96"/>
    </row>
    <row r="35756" hidden="1">
      <c r="E35756" s="96"/>
    </row>
    <row r="35757" hidden="1">
      <c r="E35757" s="96"/>
    </row>
    <row r="35758" hidden="1">
      <c r="E35758" s="96"/>
    </row>
    <row r="35759" hidden="1">
      <c r="E35759" s="96"/>
    </row>
    <row r="35760" hidden="1">
      <c r="E35760" s="96"/>
    </row>
    <row r="35761" hidden="1">
      <c r="E35761" s="96"/>
    </row>
    <row r="35762" hidden="1">
      <c r="E35762" s="96"/>
    </row>
    <row r="35763" hidden="1">
      <c r="E35763" s="96"/>
    </row>
    <row r="35764" hidden="1">
      <c r="E35764" s="96"/>
    </row>
    <row r="35765" hidden="1">
      <c r="E35765" s="96"/>
    </row>
    <row r="35766" hidden="1">
      <c r="E35766" s="96"/>
    </row>
    <row r="35767" hidden="1">
      <c r="E35767" s="96"/>
    </row>
    <row r="35768" hidden="1">
      <c r="E35768" s="96"/>
    </row>
    <row r="35769" hidden="1">
      <c r="E35769" s="96"/>
    </row>
    <row r="35770" hidden="1">
      <c r="E35770" s="96"/>
    </row>
    <row r="35771" hidden="1">
      <c r="E35771" s="96"/>
    </row>
    <row r="35772" hidden="1">
      <c r="E35772" s="96"/>
    </row>
    <row r="35773" hidden="1">
      <c r="E35773" s="96"/>
    </row>
    <row r="35774" hidden="1">
      <c r="E35774" s="96"/>
    </row>
    <row r="35775" hidden="1">
      <c r="E35775" s="96"/>
    </row>
    <row r="35776" hidden="1">
      <c r="E35776" s="96"/>
    </row>
    <row r="35777" hidden="1">
      <c r="E35777" s="96"/>
    </row>
    <row r="35778" hidden="1">
      <c r="E35778" s="96"/>
    </row>
    <row r="35779" hidden="1">
      <c r="E35779" s="96"/>
    </row>
    <row r="35780" hidden="1">
      <c r="E35780" s="96"/>
    </row>
    <row r="35781" hidden="1">
      <c r="E35781" s="96"/>
    </row>
    <row r="35782" hidden="1">
      <c r="E35782" s="96"/>
    </row>
    <row r="35783" hidden="1">
      <c r="E35783" s="96"/>
    </row>
    <row r="35784" hidden="1">
      <c r="E35784" s="96"/>
    </row>
    <row r="35785" hidden="1">
      <c r="E35785" s="96"/>
    </row>
    <row r="35786" hidden="1">
      <c r="E35786" s="96"/>
    </row>
    <row r="35787" hidden="1">
      <c r="E35787" s="96"/>
    </row>
    <row r="35788" hidden="1">
      <c r="E35788" s="96"/>
    </row>
    <row r="35789" hidden="1">
      <c r="E35789" s="96"/>
    </row>
    <row r="35790" hidden="1">
      <c r="E35790" s="96"/>
    </row>
    <row r="35791" hidden="1">
      <c r="E35791" s="96"/>
    </row>
    <row r="35792" hidden="1">
      <c r="E35792" s="96"/>
    </row>
    <row r="35793" hidden="1">
      <c r="E35793" s="96"/>
    </row>
    <row r="35794" hidden="1">
      <c r="E35794" s="96"/>
    </row>
    <row r="35795" hidden="1">
      <c r="E35795" s="96"/>
    </row>
    <row r="35796" hidden="1">
      <c r="E35796" s="96"/>
    </row>
    <row r="35797" hidden="1">
      <c r="E35797" s="96"/>
    </row>
    <row r="35798" hidden="1">
      <c r="E35798" s="96"/>
    </row>
    <row r="35799" hidden="1">
      <c r="E35799" s="96"/>
    </row>
    <row r="35800" hidden="1">
      <c r="E35800" s="96"/>
    </row>
    <row r="35801" hidden="1">
      <c r="E35801" s="96"/>
    </row>
    <row r="35802" hidden="1">
      <c r="E35802" s="96"/>
    </row>
    <row r="35803" hidden="1">
      <c r="E35803" s="96"/>
    </row>
    <row r="35804" hidden="1">
      <c r="E35804" s="96"/>
    </row>
    <row r="35805" hidden="1">
      <c r="E35805" s="96"/>
    </row>
    <row r="35806" hidden="1">
      <c r="E35806" s="96"/>
    </row>
    <row r="35807" hidden="1">
      <c r="E35807" s="96"/>
    </row>
    <row r="35808" hidden="1">
      <c r="E35808" s="96"/>
    </row>
    <row r="35809" hidden="1">
      <c r="E35809" s="96"/>
    </row>
    <row r="35810" hidden="1">
      <c r="E35810" s="96"/>
    </row>
    <row r="35811" hidden="1">
      <c r="E35811" s="96"/>
    </row>
    <row r="35812" hidden="1">
      <c r="E35812" s="96"/>
    </row>
    <row r="35813" hidden="1">
      <c r="E35813" s="96"/>
    </row>
    <row r="35814" hidden="1">
      <c r="E35814" s="96"/>
    </row>
    <row r="35815" hidden="1">
      <c r="E35815" s="96"/>
    </row>
    <row r="35816" hidden="1">
      <c r="E35816" s="96"/>
    </row>
    <row r="35817" hidden="1">
      <c r="E35817" s="96"/>
    </row>
    <row r="35818" hidden="1">
      <c r="E35818" s="96"/>
    </row>
    <row r="35819" hidden="1">
      <c r="E35819" s="96"/>
    </row>
    <row r="35820" hidden="1">
      <c r="E35820" s="96"/>
    </row>
    <row r="35821" hidden="1">
      <c r="E35821" s="96"/>
    </row>
    <row r="35822" hidden="1">
      <c r="E35822" s="96"/>
    </row>
    <row r="35823" hidden="1">
      <c r="E35823" s="96"/>
    </row>
    <row r="35824" hidden="1">
      <c r="E35824" s="96"/>
    </row>
    <row r="35825" hidden="1">
      <c r="E35825" s="96"/>
    </row>
    <row r="35826" hidden="1">
      <c r="E35826" s="96"/>
    </row>
    <row r="35827" hidden="1">
      <c r="E35827" s="96"/>
    </row>
    <row r="35828" hidden="1">
      <c r="E35828" s="96"/>
    </row>
    <row r="35829" hidden="1">
      <c r="E35829" s="96"/>
    </row>
    <row r="35830" hidden="1">
      <c r="E35830" s="96"/>
    </row>
    <row r="35831" hidden="1">
      <c r="E35831" s="96"/>
    </row>
    <row r="35832" hidden="1">
      <c r="E35832" s="96"/>
    </row>
    <row r="35833" hidden="1">
      <c r="E35833" s="96"/>
    </row>
    <row r="35834" hidden="1">
      <c r="E35834" s="96"/>
    </row>
    <row r="35835" hidden="1">
      <c r="E35835" s="96"/>
    </row>
    <row r="35836" hidden="1">
      <c r="E35836" s="96"/>
    </row>
    <row r="35837" hidden="1">
      <c r="E35837" s="96"/>
    </row>
    <row r="35838" hidden="1">
      <c r="E35838" s="96"/>
    </row>
    <row r="35839" hidden="1">
      <c r="E35839" s="96"/>
    </row>
    <row r="35840" hidden="1">
      <c r="E35840" s="96"/>
    </row>
    <row r="35841" hidden="1">
      <c r="E35841" s="96"/>
    </row>
    <row r="35842" hidden="1">
      <c r="E35842" s="96"/>
    </row>
    <row r="35843" hidden="1">
      <c r="E35843" s="96"/>
    </row>
    <row r="35844" hidden="1">
      <c r="E35844" s="96"/>
    </row>
    <row r="35845" hidden="1">
      <c r="E35845" s="96"/>
    </row>
    <row r="35846" hidden="1">
      <c r="E35846" s="96"/>
    </row>
    <row r="35847" hidden="1">
      <c r="E35847" s="96"/>
    </row>
    <row r="35848" hidden="1">
      <c r="E35848" s="96"/>
    </row>
    <row r="35849" hidden="1">
      <c r="E35849" s="96"/>
    </row>
    <row r="35850" hidden="1">
      <c r="E35850" s="96"/>
    </row>
    <row r="35851" hidden="1">
      <c r="E35851" s="96"/>
    </row>
    <row r="35852" hidden="1">
      <c r="E35852" s="96"/>
    </row>
    <row r="35853" hidden="1">
      <c r="E35853" s="96"/>
    </row>
    <row r="35854" hidden="1">
      <c r="E35854" s="96"/>
    </row>
    <row r="35855" hidden="1">
      <c r="E35855" s="96"/>
    </row>
    <row r="35856" hidden="1">
      <c r="E35856" s="96"/>
    </row>
    <row r="35857" hidden="1">
      <c r="E35857" s="96"/>
    </row>
    <row r="35858" hidden="1">
      <c r="E35858" s="96"/>
    </row>
    <row r="35859" hidden="1">
      <c r="E35859" s="96"/>
    </row>
    <row r="35860" hidden="1">
      <c r="E35860" s="96"/>
    </row>
    <row r="35861" hidden="1">
      <c r="E35861" s="96"/>
    </row>
    <row r="35862" hidden="1">
      <c r="E35862" s="96"/>
    </row>
    <row r="35863" hidden="1">
      <c r="E35863" s="96"/>
    </row>
    <row r="35864" hidden="1">
      <c r="E35864" s="96"/>
    </row>
    <row r="35865" hidden="1">
      <c r="E35865" s="96"/>
    </row>
    <row r="35866" hidden="1">
      <c r="E35866" s="96"/>
    </row>
    <row r="35867" hidden="1">
      <c r="E35867" s="96"/>
    </row>
    <row r="35868" hidden="1">
      <c r="E35868" s="96"/>
    </row>
    <row r="35869" hidden="1">
      <c r="E35869" s="96"/>
    </row>
    <row r="35870" hidden="1">
      <c r="E35870" s="96"/>
    </row>
    <row r="35871" hidden="1">
      <c r="E35871" s="96"/>
    </row>
    <row r="35872" hidden="1">
      <c r="E35872" s="96"/>
    </row>
    <row r="35873" hidden="1">
      <c r="E35873" s="96"/>
    </row>
    <row r="35874" hidden="1">
      <c r="E35874" s="96"/>
    </row>
    <row r="35875" hidden="1">
      <c r="E35875" s="96"/>
    </row>
    <row r="35876" hidden="1">
      <c r="E35876" s="96"/>
    </row>
    <row r="35877" hidden="1">
      <c r="E35877" s="96"/>
    </row>
    <row r="35878" hidden="1">
      <c r="E35878" s="96"/>
    </row>
    <row r="35879" hidden="1">
      <c r="E35879" s="96"/>
    </row>
    <row r="35880" hidden="1">
      <c r="E35880" s="96"/>
    </row>
    <row r="35881" hidden="1">
      <c r="E35881" s="96"/>
    </row>
    <row r="35882" hidden="1">
      <c r="E35882" s="96"/>
    </row>
    <row r="35883" hidden="1">
      <c r="E35883" s="96"/>
    </row>
    <row r="35884" hidden="1">
      <c r="E35884" s="96"/>
    </row>
    <row r="35885" hidden="1">
      <c r="E35885" s="96"/>
    </row>
    <row r="35886" hidden="1">
      <c r="E35886" s="96"/>
    </row>
    <row r="35887" hidden="1">
      <c r="E35887" s="96"/>
    </row>
    <row r="35888" hidden="1">
      <c r="E35888" s="96"/>
    </row>
    <row r="35889" hidden="1">
      <c r="E35889" s="96"/>
    </row>
    <row r="35890" hidden="1">
      <c r="E35890" s="96"/>
    </row>
    <row r="35891" hidden="1">
      <c r="E35891" s="96"/>
    </row>
    <row r="35892" hidden="1">
      <c r="E35892" s="96"/>
    </row>
    <row r="35893" hidden="1">
      <c r="E35893" s="96"/>
    </row>
    <row r="35894" hidden="1">
      <c r="E35894" s="96"/>
    </row>
    <row r="35895" hidden="1">
      <c r="E35895" s="96"/>
    </row>
    <row r="35896" hidden="1">
      <c r="E35896" s="96"/>
    </row>
    <row r="35897" hidden="1">
      <c r="E35897" s="96"/>
    </row>
    <row r="35898" hidden="1">
      <c r="E35898" s="96"/>
    </row>
    <row r="35899" hidden="1">
      <c r="E35899" s="96"/>
    </row>
    <row r="35900" hidden="1">
      <c r="E35900" s="96"/>
    </row>
    <row r="35901" hidden="1">
      <c r="E35901" s="96"/>
    </row>
    <row r="35902" hidden="1">
      <c r="E35902" s="96"/>
    </row>
    <row r="35903" hidden="1">
      <c r="E35903" s="96"/>
    </row>
    <row r="35904" hidden="1">
      <c r="E35904" s="96"/>
    </row>
    <row r="35905" hidden="1">
      <c r="E35905" s="96"/>
    </row>
    <row r="35906" hidden="1">
      <c r="E35906" s="96"/>
    </row>
    <row r="35907" hidden="1">
      <c r="E35907" s="96"/>
    </row>
    <row r="35908" hidden="1">
      <c r="E35908" s="96"/>
    </row>
    <row r="35909" hidden="1">
      <c r="E35909" s="96"/>
    </row>
    <row r="35910" hidden="1">
      <c r="E35910" s="96"/>
    </row>
    <row r="35911" hidden="1">
      <c r="E35911" s="96"/>
    </row>
    <row r="35912" hidden="1">
      <c r="E35912" s="96"/>
    </row>
    <row r="35913" hidden="1">
      <c r="E35913" s="96"/>
    </row>
    <row r="35914" hidden="1">
      <c r="E35914" s="96"/>
    </row>
    <row r="35915" hidden="1">
      <c r="E35915" s="96"/>
    </row>
    <row r="35916" hidden="1">
      <c r="E35916" s="96"/>
    </row>
    <row r="35917" hidden="1">
      <c r="E35917" s="96"/>
    </row>
    <row r="35918" hidden="1">
      <c r="E35918" s="96"/>
    </row>
    <row r="35919" hidden="1">
      <c r="E35919" s="96"/>
    </row>
    <row r="35920" hidden="1">
      <c r="E35920" s="96"/>
    </row>
    <row r="35921" hidden="1">
      <c r="E35921" s="96"/>
    </row>
    <row r="35922" hidden="1">
      <c r="E35922" s="96"/>
    </row>
    <row r="35923" hidden="1">
      <c r="E35923" s="96"/>
    </row>
    <row r="35924" hidden="1">
      <c r="E35924" s="96"/>
    </row>
    <row r="35925" hidden="1">
      <c r="E35925" s="96"/>
    </row>
    <row r="35926" hidden="1">
      <c r="E35926" s="96"/>
    </row>
    <row r="35927" hidden="1">
      <c r="E35927" s="96"/>
    </row>
    <row r="35928" hidden="1">
      <c r="E35928" s="96"/>
    </row>
    <row r="35929" hidden="1">
      <c r="E35929" s="96"/>
    </row>
    <row r="35930" hidden="1">
      <c r="E35930" s="96"/>
    </row>
    <row r="35931" hidden="1">
      <c r="E35931" s="96"/>
    </row>
    <row r="35932" hidden="1">
      <c r="E35932" s="96"/>
    </row>
    <row r="35933" hidden="1">
      <c r="E35933" s="96"/>
    </row>
    <row r="35934" hidden="1">
      <c r="E35934" s="96"/>
    </row>
    <row r="35935" hidden="1">
      <c r="E35935" s="96"/>
    </row>
    <row r="35936" hidden="1">
      <c r="E35936" s="96"/>
    </row>
    <row r="35937" hidden="1">
      <c r="E35937" s="96"/>
    </row>
    <row r="35938" hidden="1">
      <c r="E35938" s="96"/>
    </row>
    <row r="35939" hidden="1">
      <c r="E35939" s="96"/>
    </row>
    <row r="35940" hidden="1">
      <c r="E35940" s="96"/>
    </row>
    <row r="35941" hidden="1">
      <c r="E35941" s="96"/>
    </row>
    <row r="35942" hidden="1">
      <c r="E35942" s="96"/>
    </row>
    <row r="35943" hidden="1">
      <c r="E35943" s="96"/>
    </row>
    <row r="35944" hidden="1">
      <c r="E35944" s="96"/>
    </row>
    <row r="35945" hidden="1">
      <c r="E35945" s="96"/>
    </row>
    <row r="35946" hidden="1">
      <c r="E35946" s="96"/>
    </row>
    <row r="35947" hidden="1">
      <c r="E35947" s="96"/>
    </row>
    <row r="35948" hidden="1">
      <c r="E35948" s="96"/>
    </row>
    <row r="35949" hidden="1">
      <c r="E35949" s="96"/>
    </row>
    <row r="35950" hidden="1">
      <c r="E35950" s="96"/>
    </row>
    <row r="35951" hidden="1">
      <c r="E35951" s="96"/>
    </row>
    <row r="35952" hidden="1">
      <c r="E35952" s="96"/>
    </row>
    <row r="35953" hidden="1">
      <c r="E35953" s="96"/>
    </row>
    <row r="35954" hidden="1">
      <c r="E35954" s="96"/>
    </row>
    <row r="35955" hidden="1">
      <c r="E35955" s="96"/>
    </row>
    <row r="35956" hidden="1">
      <c r="E35956" s="96"/>
    </row>
    <row r="35957" hidden="1">
      <c r="E35957" s="96"/>
    </row>
    <row r="35958" hidden="1">
      <c r="E35958" s="96"/>
    </row>
    <row r="35959" hidden="1">
      <c r="E35959" s="96"/>
    </row>
    <row r="35960" hidden="1">
      <c r="E35960" s="96"/>
    </row>
    <row r="35961" hidden="1">
      <c r="E35961" s="96"/>
    </row>
    <row r="35962" hidden="1">
      <c r="E35962" s="96"/>
    </row>
    <row r="35963" hidden="1">
      <c r="E35963" s="96"/>
    </row>
    <row r="35964" hidden="1">
      <c r="E35964" s="96"/>
    </row>
    <row r="35965" hidden="1">
      <c r="E35965" s="96"/>
    </row>
    <row r="35966" hidden="1">
      <c r="E35966" s="96"/>
    </row>
    <row r="35967" hidden="1">
      <c r="E35967" s="96"/>
    </row>
    <row r="35968" hidden="1">
      <c r="E35968" s="96"/>
    </row>
    <row r="35969" hidden="1">
      <c r="E35969" s="96"/>
    </row>
    <row r="35970" hidden="1">
      <c r="E35970" s="96"/>
    </row>
    <row r="35971" hidden="1">
      <c r="E35971" s="96"/>
    </row>
    <row r="35972" hidden="1">
      <c r="E35972" s="96"/>
    </row>
    <row r="35973" hidden="1">
      <c r="E35973" s="96"/>
    </row>
    <row r="35974" hidden="1">
      <c r="E35974" s="96"/>
    </row>
    <row r="35975" hidden="1">
      <c r="E35975" s="96"/>
    </row>
    <row r="35976" hidden="1">
      <c r="E35976" s="96"/>
    </row>
    <row r="35977" hidden="1">
      <c r="E35977" s="96"/>
    </row>
    <row r="35978" hidden="1">
      <c r="E35978" s="96"/>
    </row>
    <row r="35979" hidden="1">
      <c r="E35979" s="96"/>
    </row>
    <row r="35980" hidden="1">
      <c r="E35980" s="96"/>
    </row>
    <row r="35981" hidden="1">
      <c r="E35981" s="96"/>
    </row>
    <row r="35982" hidden="1">
      <c r="E35982" s="96"/>
    </row>
    <row r="35983" hidden="1">
      <c r="E35983" s="96"/>
    </row>
    <row r="35984" hidden="1">
      <c r="E35984" s="96"/>
    </row>
    <row r="35985" hidden="1">
      <c r="E35985" s="96"/>
    </row>
    <row r="35986" hidden="1">
      <c r="E35986" s="96"/>
    </row>
    <row r="35987" hidden="1">
      <c r="E35987" s="96"/>
    </row>
    <row r="35988" hidden="1">
      <c r="E35988" s="96"/>
    </row>
    <row r="35989" hidden="1">
      <c r="E35989" s="96"/>
    </row>
    <row r="35990" hidden="1">
      <c r="E35990" s="96"/>
    </row>
    <row r="35991" hidden="1">
      <c r="E35991" s="96"/>
    </row>
    <row r="35992" hidden="1">
      <c r="E35992" s="96"/>
    </row>
    <row r="35993" hidden="1">
      <c r="E35993" s="96"/>
    </row>
    <row r="35994" hidden="1">
      <c r="E35994" s="96"/>
    </row>
    <row r="35995" hidden="1">
      <c r="E35995" s="96"/>
    </row>
    <row r="35996" hidden="1">
      <c r="E35996" s="96"/>
    </row>
    <row r="35997" hidden="1">
      <c r="E35997" s="96"/>
    </row>
    <row r="35998" hidden="1">
      <c r="E35998" s="96"/>
    </row>
    <row r="35999" hidden="1">
      <c r="E35999" s="96"/>
    </row>
    <row r="36000" hidden="1">
      <c r="E36000" s="96"/>
    </row>
    <row r="36001" hidden="1">
      <c r="E36001" s="96"/>
    </row>
    <row r="36002" hidden="1">
      <c r="E36002" s="96"/>
    </row>
    <row r="36003" hidden="1">
      <c r="E36003" s="96"/>
    </row>
    <row r="36004" hidden="1">
      <c r="E36004" s="96"/>
    </row>
    <row r="36005" hidden="1">
      <c r="E36005" s="96"/>
    </row>
    <row r="36006" hidden="1">
      <c r="E36006" s="96"/>
    </row>
    <row r="36007" hidden="1">
      <c r="E36007" s="96"/>
    </row>
    <row r="36008" hidden="1">
      <c r="E36008" s="96"/>
    </row>
    <row r="36009" hidden="1">
      <c r="E36009" s="96"/>
    </row>
    <row r="36010" hidden="1">
      <c r="E36010" s="96"/>
    </row>
    <row r="36011" hidden="1">
      <c r="E36011" s="96"/>
    </row>
    <row r="36012" hidden="1">
      <c r="E36012" s="96"/>
    </row>
    <row r="36013" hidden="1">
      <c r="E36013" s="96"/>
    </row>
    <row r="36014" hidden="1">
      <c r="E36014" s="96"/>
    </row>
    <row r="36015" hidden="1">
      <c r="E36015" s="96"/>
    </row>
    <row r="36016" hidden="1">
      <c r="E36016" s="96"/>
    </row>
    <row r="36017" hidden="1">
      <c r="E36017" s="96"/>
    </row>
    <row r="36018" hidden="1">
      <c r="E36018" s="96"/>
    </row>
    <row r="36019" hidden="1">
      <c r="E36019" s="96"/>
    </row>
    <row r="36020" hidden="1">
      <c r="E36020" s="96"/>
    </row>
    <row r="36021" hidden="1">
      <c r="E36021" s="96"/>
    </row>
    <row r="36022" hidden="1">
      <c r="E36022" s="96"/>
    </row>
    <row r="36023" hidden="1">
      <c r="E36023" s="96"/>
    </row>
    <row r="36024" hidden="1">
      <c r="E36024" s="96"/>
    </row>
    <row r="36025" hidden="1">
      <c r="E36025" s="96"/>
    </row>
    <row r="36026" hidden="1">
      <c r="E36026" s="96"/>
    </row>
    <row r="36027" hidden="1">
      <c r="E36027" s="96"/>
    </row>
    <row r="36028" hidden="1">
      <c r="E36028" s="96"/>
    </row>
    <row r="36029" hidden="1">
      <c r="E36029" s="96"/>
    </row>
    <row r="36030" hidden="1">
      <c r="E36030" s="96"/>
    </row>
    <row r="36031" hidden="1">
      <c r="E36031" s="96"/>
    </row>
    <row r="36032" hidden="1">
      <c r="E36032" s="96"/>
    </row>
    <row r="36033" hidden="1">
      <c r="E36033" s="96"/>
    </row>
    <row r="36034" hidden="1">
      <c r="E36034" s="96"/>
    </row>
    <row r="36035" hidden="1">
      <c r="E36035" s="96"/>
    </row>
    <row r="36036" hidden="1">
      <c r="E36036" s="96"/>
    </row>
    <row r="36037" hidden="1">
      <c r="E36037" s="96"/>
    </row>
    <row r="36038" hidden="1">
      <c r="E36038" s="96"/>
    </row>
    <row r="36039" hidden="1">
      <c r="E36039" s="96"/>
    </row>
    <row r="36040" hidden="1">
      <c r="E36040" s="96"/>
    </row>
    <row r="36041" hidden="1">
      <c r="E36041" s="96"/>
    </row>
    <row r="36042" hidden="1">
      <c r="E36042" s="96"/>
    </row>
    <row r="36043" hidden="1">
      <c r="E36043" s="96"/>
    </row>
    <row r="36044" hidden="1">
      <c r="E36044" s="96"/>
    </row>
    <row r="36045" hidden="1">
      <c r="E36045" s="96"/>
    </row>
    <row r="36046" hidden="1">
      <c r="E36046" s="96"/>
    </row>
    <row r="36047" hidden="1">
      <c r="E36047" s="96"/>
    </row>
    <row r="36048" hidden="1">
      <c r="E36048" s="96"/>
    </row>
    <row r="36049" hidden="1">
      <c r="E36049" s="96"/>
    </row>
    <row r="36050" hidden="1">
      <c r="E36050" s="96"/>
    </row>
    <row r="36051" hidden="1">
      <c r="E36051" s="96"/>
    </row>
    <row r="36052" hidden="1">
      <c r="E36052" s="96"/>
    </row>
    <row r="36053" hidden="1">
      <c r="E36053" s="96"/>
    </row>
    <row r="36054" hidden="1">
      <c r="E36054" s="96"/>
    </row>
    <row r="36055" hidden="1">
      <c r="E36055" s="96"/>
    </row>
    <row r="36056" hidden="1">
      <c r="E36056" s="96"/>
    </row>
    <row r="36057" hidden="1">
      <c r="E36057" s="96"/>
    </row>
    <row r="36058" hidden="1">
      <c r="E36058" s="96"/>
    </row>
    <row r="36059" hidden="1">
      <c r="E36059" s="96"/>
    </row>
    <row r="36060" hidden="1">
      <c r="E36060" s="96"/>
    </row>
    <row r="36061" hidden="1">
      <c r="E36061" s="96"/>
    </row>
    <row r="36062" hidden="1">
      <c r="E36062" s="96"/>
    </row>
    <row r="36063" hidden="1">
      <c r="E36063" s="96"/>
    </row>
    <row r="36064" hidden="1">
      <c r="E36064" s="96"/>
    </row>
    <row r="36065" hidden="1">
      <c r="E36065" s="96"/>
    </row>
    <row r="36066" hidden="1">
      <c r="E36066" s="96"/>
    </row>
    <row r="36067" hidden="1">
      <c r="E36067" s="96"/>
    </row>
    <row r="36068" hidden="1">
      <c r="E36068" s="96"/>
    </row>
    <row r="36069" hidden="1">
      <c r="E36069" s="96"/>
    </row>
    <row r="36070" hidden="1">
      <c r="E36070" s="96"/>
    </row>
    <row r="36071" hidden="1">
      <c r="E36071" s="96"/>
    </row>
    <row r="36072" hidden="1">
      <c r="E36072" s="96"/>
    </row>
    <row r="36073" hidden="1">
      <c r="E36073" s="96"/>
    </row>
    <row r="36074" hidden="1">
      <c r="E36074" s="96"/>
    </row>
    <row r="36075" hidden="1">
      <c r="E36075" s="96"/>
    </row>
    <row r="36076" hidden="1">
      <c r="E36076" s="96"/>
    </row>
    <row r="36077" hidden="1">
      <c r="E36077" s="96"/>
    </row>
    <row r="36078" hidden="1">
      <c r="E36078" s="96"/>
    </row>
    <row r="36079" hidden="1">
      <c r="E36079" s="96"/>
    </row>
    <row r="36080" hidden="1">
      <c r="E36080" s="96"/>
    </row>
    <row r="36081" hidden="1">
      <c r="E36081" s="96"/>
    </row>
    <row r="36082" hidden="1">
      <c r="E36082" s="96"/>
    </row>
    <row r="36083" hidden="1">
      <c r="E36083" s="96"/>
    </row>
    <row r="36084" hidden="1">
      <c r="E36084" s="96"/>
    </row>
    <row r="36085" hidden="1">
      <c r="E36085" s="96"/>
    </row>
    <row r="36086" hidden="1">
      <c r="E36086" s="96"/>
    </row>
    <row r="36087" hidden="1">
      <c r="E36087" s="96"/>
    </row>
    <row r="36088" hidden="1">
      <c r="E36088" s="96"/>
    </row>
    <row r="36089" hidden="1">
      <c r="E36089" s="96"/>
    </row>
    <row r="36090" hidden="1">
      <c r="E36090" s="96"/>
    </row>
    <row r="36091" hidden="1">
      <c r="E36091" s="96"/>
    </row>
    <row r="36092" hidden="1">
      <c r="E36092" s="96"/>
    </row>
    <row r="36093" hidden="1">
      <c r="E36093" s="96"/>
    </row>
    <row r="36094" hidden="1">
      <c r="E36094" s="96"/>
    </row>
    <row r="36095" hidden="1">
      <c r="E36095" s="96"/>
    </row>
    <row r="36096" hidden="1">
      <c r="E36096" s="96"/>
    </row>
    <row r="36097" hidden="1">
      <c r="E36097" s="96"/>
    </row>
    <row r="36098" hidden="1">
      <c r="E36098" s="96"/>
    </row>
    <row r="36099" hidden="1">
      <c r="E36099" s="96"/>
    </row>
    <row r="36100" hidden="1">
      <c r="E36100" s="96"/>
    </row>
    <row r="36101" hidden="1">
      <c r="E36101" s="96"/>
    </row>
    <row r="36102" hidden="1">
      <c r="E36102" s="96"/>
    </row>
    <row r="36103" hidden="1">
      <c r="E36103" s="96"/>
    </row>
    <row r="36104" hidden="1">
      <c r="E36104" s="96"/>
    </row>
    <row r="36105" hidden="1">
      <c r="E36105" s="96"/>
    </row>
    <row r="36106" hidden="1">
      <c r="E36106" s="96"/>
    </row>
    <row r="36107" hidden="1">
      <c r="E36107" s="96"/>
    </row>
    <row r="36108" hidden="1">
      <c r="E36108" s="96"/>
    </row>
    <row r="36109" hidden="1">
      <c r="E36109" s="96"/>
    </row>
    <row r="36110" hidden="1">
      <c r="E36110" s="96"/>
    </row>
    <row r="36111" hidden="1">
      <c r="E36111" s="96"/>
    </row>
    <row r="36112" hidden="1">
      <c r="E36112" s="96"/>
    </row>
    <row r="36113" hidden="1">
      <c r="E36113" s="96"/>
    </row>
    <row r="36114" hidden="1">
      <c r="E36114" s="96"/>
    </row>
    <row r="36115" hidden="1">
      <c r="E36115" s="96"/>
    </row>
    <row r="36116" hidden="1">
      <c r="E36116" s="96"/>
    </row>
    <row r="36117" hidden="1">
      <c r="E36117" s="96"/>
    </row>
    <row r="36118" hidden="1">
      <c r="E36118" s="96"/>
    </row>
    <row r="36119" hidden="1">
      <c r="E36119" s="96"/>
    </row>
    <row r="36120" hidden="1">
      <c r="E36120" s="96"/>
    </row>
    <row r="36121" hidden="1">
      <c r="E36121" s="96"/>
    </row>
    <row r="36122" hidden="1">
      <c r="E36122" s="96"/>
    </row>
    <row r="36123" hidden="1">
      <c r="E36123" s="96"/>
    </row>
    <row r="36124" hidden="1">
      <c r="E36124" s="96"/>
    </row>
    <row r="36125" hidden="1">
      <c r="E36125" s="96"/>
    </row>
    <row r="36126" hidden="1">
      <c r="E36126" s="96"/>
    </row>
    <row r="36127" hidden="1">
      <c r="E36127" s="96"/>
    </row>
    <row r="36128" hidden="1">
      <c r="E36128" s="96"/>
    </row>
    <row r="36129" hidden="1">
      <c r="E36129" s="96"/>
    </row>
    <row r="36130" hidden="1">
      <c r="E36130" s="96"/>
    </row>
    <row r="36131" hidden="1">
      <c r="E36131" s="96"/>
    </row>
    <row r="36132" hidden="1">
      <c r="E36132" s="96"/>
    </row>
    <row r="36133" hidden="1">
      <c r="E36133" s="96"/>
    </row>
    <row r="36134" hidden="1">
      <c r="E36134" s="96"/>
    </row>
    <row r="36135" hidden="1">
      <c r="E36135" s="96"/>
    </row>
    <row r="36136" hidden="1">
      <c r="E36136" s="96"/>
    </row>
    <row r="36137" hidden="1">
      <c r="E36137" s="96"/>
    </row>
    <row r="36138" hidden="1">
      <c r="E36138" s="96"/>
    </row>
    <row r="36139" hidden="1">
      <c r="E36139" s="96"/>
    </row>
    <row r="36140" hidden="1">
      <c r="E36140" s="96"/>
    </row>
    <row r="36141" hidden="1">
      <c r="E36141" s="96"/>
    </row>
    <row r="36142" hidden="1">
      <c r="E36142" s="96"/>
    </row>
    <row r="36143" hidden="1">
      <c r="E36143" s="96"/>
    </row>
    <row r="36144" hidden="1">
      <c r="E36144" s="96"/>
    </row>
    <row r="36145" hidden="1">
      <c r="E36145" s="96"/>
    </row>
    <row r="36146" hidden="1">
      <c r="E36146" s="96"/>
    </row>
    <row r="36147" hidden="1">
      <c r="E36147" s="96"/>
    </row>
    <row r="36148" hidden="1">
      <c r="E36148" s="96"/>
    </row>
    <row r="36149" hidden="1">
      <c r="E36149" s="96"/>
    </row>
    <row r="36150" hidden="1">
      <c r="E36150" s="96"/>
    </row>
    <row r="36151" hidden="1">
      <c r="E36151" s="96"/>
    </row>
    <row r="36152" hidden="1">
      <c r="E36152" s="96"/>
    </row>
    <row r="36153" hidden="1">
      <c r="E36153" s="96"/>
    </row>
    <row r="36154" hidden="1">
      <c r="E36154" s="96"/>
    </row>
    <row r="36155" hidden="1">
      <c r="E36155" s="96"/>
    </row>
    <row r="36156" hidden="1">
      <c r="E36156" s="96"/>
    </row>
    <row r="36157" hidden="1">
      <c r="E36157" s="96"/>
    </row>
    <row r="36158" hidden="1">
      <c r="E36158" s="96"/>
    </row>
    <row r="36159" hidden="1">
      <c r="E36159" s="96"/>
    </row>
    <row r="36160" hidden="1">
      <c r="E36160" s="96"/>
    </row>
    <row r="36161" hidden="1">
      <c r="E36161" s="96"/>
    </row>
    <row r="36162" hidden="1">
      <c r="E36162" s="96"/>
    </row>
    <row r="36163" hidden="1">
      <c r="E36163" s="96"/>
    </row>
    <row r="36164" hidden="1">
      <c r="E36164" s="96"/>
    </row>
    <row r="36165" hidden="1">
      <c r="E36165" s="96"/>
    </row>
    <row r="36166" hidden="1">
      <c r="E36166" s="96"/>
    </row>
    <row r="36167" hidden="1">
      <c r="E36167" s="96"/>
    </row>
    <row r="36168" hidden="1">
      <c r="E36168" s="96"/>
    </row>
    <row r="36169" hidden="1">
      <c r="E36169" s="96"/>
    </row>
    <row r="36170" hidden="1">
      <c r="E36170" s="96"/>
    </row>
    <row r="36171" hidden="1">
      <c r="E36171" s="96"/>
    </row>
    <row r="36172" hidden="1">
      <c r="E36172" s="96"/>
    </row>
    <row r="36173" hidden="1">
      <c r="E36173" s="96"/>
    </row>
    <row r="36174" hidden="1">
      <c r="E36174" s="96"/>
    </row>
    <row r="36175" hidden="1">
      <c r="E36175" s="96"/>
    </row>
    <row r="36176" hidden="1">
      <c r="E36176" s="96"/>
    </row>
    <row r="36177" hidden="1">
      <c r="E36177" s="96"/>
    </row>
    <row r="36178" hidden="1">
      <c r="E36178" s="96"/>
    </row>
    <row r="36179" hidden="1">
      <c r="E36179" s="96"/>
    </row>
    <row r="36180" hidden="1">
      <c r="E36180" s="96"/>
    </row>
    <row r="36181" hidden="1">
      <c r="E36181" s="96"/>
    </row>
    <row r="36182" hidden="1">
      <c r="E36182" s="96"/>
    </row>
    <row r="36183" hidden="1">
      <c r="E36183" s="96"/>
    </row>
    <row r="36184" hidden="1">
      <c r="E36184" s="96"/>
    </row>
    <row r="36185" hidden="1">
      <c r="E36185" s="96"/>
    </row>
    <row r="36186" hidden="1">
      <c r="E36186" s="96"/>
    </row>
    <row r="36187" hidden="1">
      <c r="E36187" s="96"/>
    </row>
    <row r="36188" hidden="1">
      <c r="E36188" s="96"/>
    </row>
    <row r="36189" hidden="1">
      <c r="E36189" s="96"/>
    </row>
    <row r="36190" hidden="1">
      <c r="E36190" s="96"/>
    </row>
    <row r="36191" hidden="1">
      <c r="E36191" s="96"/>
    </row>
    <row r="36192" hidden="1">
      <c r="E36192" s="96"/>
    </row>
    <row r="36193" hidden="1">
      <c r="E36193" s="96"/>
    </row>
    <row r="36194" hidden="1">
      <c r="E36194" s="96"/>
    </row>
    <row r="36195" hidden="1">
      <c r="E36195" s="96"/>
    </row>
    <row r="36196" hidden="1">
      <c r="E36196" s="96"/>
    </row>
    <row r="36197" hidden="1">
      <c r="E36197" s="96"/>
    </row>
    <row r="36198" hidden="1">
      <c r="E36198" s="96"/>
    </row>
    <row r="36199" hidden="1">
      <c r="E36199" s="96"/>
    </row>
    <row r="36200" hidden="1">
      <c r="E36200" s="96"/>
    </row>
    <row r="36201" hidden="1">
      <c r="E36201" s="96"/>
    </row>
    <row r="36202" hidden="1">
      <c r="E36202" s="96"/>
    </row>
    <row r="36203" hidden="1">
      <c r="E36203" s="96"/>
    </row>
    <row r="36204" hidden="1">
      <c r="E36204" s="96"/>
    </row>
    <row r="36205" hidden="1">
      <c r="E36205" s="96"/>
    </row>
    <row r="36206" hidden="1">
      <c r="E36206" s="96"/>
    </row>
    <row r="36207" hidden="1">
      <c r="E36207" s="96"/>
    </row>
    <row r="36208" hidden="1">
      <c r="E36208" s="96"/>
    </row>
    <row r="36209" hidden="1">
      <c r="E36209" s="96"/>
    </row>
    <row r="36210" hidden="1">
      <c r="E36210" s="96"/>
    </row>
    <row r="36211" hidden="1">
      <c r="E36211" s="96"/>
    </row>
    <row r="36212" hidden="1">
      <c r="E36212" s="96"/>
    </row>
    <row r="36213" hidden="1">
      <c r="E36213" s="96"/>
    </row>
    <row r="36214" hidden="1">
      <c r="E36214" s="96"/>
    </row>
    <row r="36215" hidden="1">
      <c r="E36215" s="96"/>
    </row>
    <row r="36216" hidden="1">
      <c r="E36216" s="96"/>
    </row>
    <row r="36217" hidden="1">
      <c r="E36217" s="96"/>
    </row>
    <row r="36218" hidden="1">
      <c r="E36218" s="96"/>
    </row>
    <row r="36219" hidden="1">
      <c r="E36219" s="96"/>
    </row>
    <row r="36220" hidden="1">
      <c r="E36220" s="96"/>
    </row>
    <row r="36221" hidden="1">
      <c r="E36221" s="96"/>
    </row>
    <row r="36222" hidden="1">
      <c r="E36222" s="96"/>
    </row>
    <row r="36223" hidden="1">
      <c r="E36223" s="96"/>
    </row>
    <row r="36224" hidden="1">
      <c r="E36224" s="96"/>
    </row>
    <row r="36225" hidden="1">
      <c r="E36225" s="96"/>
    </row>
    <row r="36226" hidden="1">
      <c r="E36226" s="96"/>
    </row>
    <row r="36227" hidden="1">
      <c r="E36227" s="96"/>
    </row>
    <row r="36228" hidden="1">
      <c r="E36228" s="96"/>
    </row>
    <row r="36229" hidden="1">
      <c r="E36229" s="96"/>
    </row>
    <row r="36230" hidden="1">
      <c r="E36230" s="96"/>
    </row>
    <row r="36231" hidden="1">
      <c r="E36231" s="96"/>
    </row>
    <row r="36232" hidden="1">
      <c r="E36232" s="96"/>
    </row>
    <row r="36233" hidden="1">
      <c r="E36233" s="96"/>
    </row>
    <row r="36234" hidden="1">
      <c r="E36234" s="96"/>
    </row>
    <row r="36235" hidden="1">
      <c r="E36235" s="96"/>
    </row>
    <row r="36236" hidden="1">
      <c r="E36236" s="96"/>
    </row>
    <row r="36237" hidden="1">
      <c r="E36237" s="96"/>
    </row>
    <row r="36238" hidden="1">
      <c r="E36238" s="96"/>
    </row>
    <row r="36239" hidden="1">
      <c r="E36239" s="96"/>
    </row>
    <row r="36240" hidden="1">
      <c r="E36240" s="96"/>
    </row>
    <row r="36241" hidden="1">
      <c r="E36241" s="96"/>
    </row>
    <row r="36242" hidden="1">
      <c r="E36242" s="96"/>
    </row>
    <row r="36243" hidden="1">
      <c r="E36243" s="96"/>
    </row>
    <row r="36244" hidden="1">
      <c r="E36244" s="96"/>
    </row>
    <row r="36245" hidden="1">
      <c r="E36245" s="96"/>
    </row>
    <row r="36246" hidden="1">
      <c r="E36246" s="96"/>
    </row>
    <row r="36247" hidden="1">
      <c r="E36247" s="96"/>
    </row>
    <row r="36248" hidden="1">
      <c r="E36248" s="96"/>
    </row>
    <row r="36249" hidden="1">
      <c r="E36249" s="96"/>
    </row>
    <row r="36250" hidden="1">
      <c r="E36250" s="96"/>
    </row>
    <row r="36251" hidden="1">
      <c r="E36251" s="96"/>
    </row>
    <row r="36252" hidden="1">
      <c r="E36252" s="96"/>
    </row>
    <row r="36253" hidden="1">
      <c r="E36253" s="96"/>
    </row>
    <row r="36254" hidden="1">
      <c r="E36254" s="96"/>
    </row>
    <row r="36255" hidden="1">
      <c r="E36255" s="96"/>
    </row>
    <row r="36256" hidden="1">
      <c r="E36256" s="96"/>
    </row>
    <row r="36257" hidden="1">
      <c r="E36257" s="96"/>
    </row>
    <row r="36258" hidden="1">
      <c r="E36258" s="96"/>
    </row>
    <row r="36259" hidden="1">
      <c r="E36259" s="96"/>
    </row>
    <row r="36260" hidden="1">
      <c r="E36260" s="96"/>
    </row>
    <row r="36261" hidden="1">
      <c r="E36261" s="96"/>
    </row>
    <row r="36262" hidden="1">
      <c r="E36262" s="96"/>
    </row>
    <row r="36263" hidden="1">
      <c r="E36263" s="96"/>
    </row>
    <row r="36264" hidden="1">
      <c r="E36264" s="96"/>
    </row>
    <row r="36265" hidden="1">
      <c r="E36265" s="96"/>
    </row>
    <row r="36266" hidden="1">
      <c r="E36266" s="96"/>
    </row>
    <row r="36267" hidden="1">
      <c r="E36267" s="96"/>
    </row>
    <row r="36268" hidden="1">
      <c r="E36268" s="96"/>
    </row>
    <row r="36269" hidden="1">
      <c r="E36269" s="96"/>
    </row>
    <row r="36270" hidden="1">
      <c r="E36270" s="96"/>
    </row>
    <row r="36271" hidden="1">
      <c r="E36271" s="96"/>
    </row>
    <row r="36272" hidden="1">
      <c r="E36272" s="96"/>
    </row>
    <row r="36273" hidden="1">
      <c r="E36273" s="96"/>
    </row>
    <row r="36274" hidden="1">
      <c r="E36274" s="96"/>
    </row>
    <row r="36275" hidden="1">
      <c r="E36275" s="96"/>
    </row>
    <row r="36276" hidden="1">
      <c r="E36276" s="96"/>
    </row>
    <row r="36277" hidden="1">
      <c r="E36277" s="96"/>
    </row>
    <row r="36278" hidden="1">
      <c r="E36278" s="96"/>
    </row>
    <row r="36279" hidden="1">
      <c r="E36279" s="96"/>
    </row>
    <row r="36280" hidden="1">
      <c r="E36280" s="96"/>
    </row>
    <row r="36281" hidden="1">
      <c r="E36281" s="96"/>
    </row>
    <row r="36282" hidden="1">
      <c r="E36282" s="96"/>
    </row>
    <row r="36283" hidden="1">
      <c r="E36283" s="96"/>
    </row>
    <row r="36284" hidden="1">
      <c r="E36284" s="96"/>
    </row>
    <row r="36285" hidden="1">
      <c r="E36285" s="96"/>
    </row>
    <row r="36286" hidden="1">
      <c r="E36286" s="96"/>
    </row>
    <row r="36287" hidden="1">
      <c r="E36287" s="96"/>
    </row>
    <row r="36288" hidden="1">
      <c r="E36288" s="96"/>
    </row>
    <row r="36289" hidden="1">
      <c r="E36289" s="96"/>
    </row>
    <row r="36290" hidden="1">
      <c r="E36290" s="96"/>
    </row>
    <row r="36291" hidden="1">
      <c r="E36291" s="96"/>
    </row>
    <row r="36292" hidden="1">
      <c r="E36292" s="96"/>
    </row>
    <row r="36293" hidden="1">
      <c r="E36293" s="96"/>
    </row>
    <row r="36294" hidden="1">
      <c r="E36294" s="96"/>
    </row>
    <row r="36295" hidden="1">
      <c r="E36295" s="96"/>
    </row>
    <row r="36296" hidden="1">
      <c r="E36296" s="96"/>
    </row>
    <row r="36297" hidden="1">
      <c r="E36297" s="96"/>
    </row>
    <row r="36298" hidden="1">
      <c r="E36298" s="96"/>
    </row>
    <row r="36299" hidden="1">
      <c r="E36299" s="96"/>
    </row>
    <row r="36300" hidden="1">
      <c r="E36300" s="96"/>
    </row>
    <row r="36301" hidden="1">
      <c r="E36301" s="96"/>
    </row>
    <row r="36302" hidden="1">
      <c r="E36302" s="96"/>
    </row>
    <row r="36303" hidden="1">
      <c r="E36303" s="96"/>
    </row>
    <row r="36304" hidden="1">
      <c r="E36304" s="96"/>
    </row>
    <row r="36305" hidden="1">
      <c r="E36305" s="96"/>
    </row>
    <row r="36306" hidden="1">
      <c r="E36306" s="96"/>
    </row>
    <row r="36307" hidden="1">
      <c r="E36307" s="96"/>
    </row>
    <row r="36308" hidden="1">
      <c r="E36308" s="96"/>
    </row>
    <row r="36309" hidden="1">
      <c r="E36309" s="96"/>
    </row>
    <row r="36310" hidden="1">
      <c r="E36310" s="96"/>
    </row>
    <row r="36311" hidden="1">
      <c r="E36311" s="96"/>
    </row>
    <row r="36312" hidden="1">
      <c r="E36312" s="96"/>
    </row>
    <row r="36313" hidden="1">
      <c r="E36313" s="96"/>
    </row>
    <row r="36314" hidden="1">
      <c r="E36314" s="96"/>
    </row>
    <row r="36315" hidden="1">
      <c r="E36315" s="96"/>
    </row>
    <row r="36316" hidden="1">
      <c r="E36316" s="96"/>
    </row>
    <row r="36317" hidden="1">
      <c r="E36317" s="96"/>
    </row>
    <row r="36318" hidden="1">
      <c r="E36318" s="96"/>
    </row>
    <row r="36319" hidden="1">
      <c r="E36319" s="96"/>
    </row>
    <row r="36320" hidden="1">
      <c r="E36320" s="96"/>
    </row>
    <row r="36321" hidden="1">
      <c r="E36321" s="96"/>
    </row>
    <row r="36322" hidden="1">
      <c r="E36322" s="96"/>
    </row>
    <row r="36323" hidden="1">
      <c r="E36323" s="96"/>
    </row>
    <row r="36324" hidden="1">
      <c r="E36324" s="96"/>
    </row>
    <row r="36325" hidden="1">
      <c r="E36325" s="96"/>
    </row>
    <row r="36326" hidden="1">
      <c r="E36326" s="96"/>
    </row>
    <row r="36327" hidden="1">
      <c r="E36327" s="96"/>
    </row>
    <row r="36328" hidden="1">
      <c r="E36328" s="96"/>
    </row>
    <row r="36329" hidden="1">
      <c r="E36329" s="96"/>
    </row>
    <row r="36330" hidden="1">
      <c r="E36330" s="96"/>
    </row>
    <row r="36331" hidden="1">
      <c r="E36331" s="96"/>
    </row>
    <row r="36332" hidden="1">
      <c r="E36332" s="96"/>
    </row>
    <row r="36333" hidden="1">
      <c r="E36333" s="96"/>
    </row>
    <row r="36334" hidden="1">
      <c r="E36334" s="96"/>
    </row>
    <row r="36335" hidden="1">
      <c r="E36335" s="96"/>
    </row>
    <row r="36336" hidden="1">
      <c r="E36336" s="96"/>
    </row>
    <row r="36337" hidden="1">
      <c r="E36337" s="96"/>
    </row>
    <row r="36338" hidden="1">
      <c r="E36338" s="96"/>
    </row>
    <row r="36339" hidden="1">
      <c r="E36339" s="96"/>
    </row>
    <row r="36340" hidden="1">
      <c r="E36340" s="96"/>
    </row>
    <row r="36341" hidden="1">
      <c r="E36341" s="96"/>
    </row>
    <row r="36342" hidden="1">
      <c r="E36342" s="96"/>
    </row>
    <row r="36343" hidden="1">
      <c r="E36343" s="96"/>
    </row>
    <row r="36344" hidden="1">
      <c r="E36344" s="96"/>
    </row>
    <row r="36345" hidden="1">
      <c r="E36345" s="96"/>
    </row>
    <row r="36346" hidden="1">
      <c r="E36346" s="96"/>
    </row>
    <row r="36347" hidden="1">
      <c r="E36347" s="96"/>
    </row>
    <row r="36348" hidden="1">
      <c r="E36348" s="96"/>
    </row>
    <row r="36349" hidden="1">
      <c r="E36349" s="96"/>
    </row>
    <row r="36350" hidden="1">
      <c r="E36350" s="96"/>
    </row>
    <row r="36351" hidden="1">
      <c r="E36351" s="96"/>
    </row>
    <row r="36352" hidden="1">
      <c r="E36352" s="96"/>
    </row>
    <row r="36353" hidden="1">
      <c r="E36353" s="96"/>
    </row>
    <row r="36354" hidden="1">
      <c r="E36354" s="96"/>
    </row>
    <row r="36355" hidden="1">
      <c r="E36355" s="96"/>
    </row>
    <row r="36356" hidden="1">
      <c r="E36356" s="96"/>
    </row>
    <row r="36357" hidden="1">
      <c r="E36357" s="96"/>
    </row>
    <row r="36358" hidden="1">
      <c r="E36358" s="96"/>
    </row>
    <row r="36359" hidden="1">
      <c r="E36359" s="96"/>
    </row>
    <row r="36360" hidden="1">
      <c r="E36360" s="96"/>
    </row>
    <row r="36361" hidden="1">
      <c r="E36361" s="96"/>
    </row>
    <row r="36362" hidden="1">
      <c r="E36362" s="96"/>
    </row>
    <row r="36363" hidden="1">
      <c r="E36363" s="96"/>
    </row>
    <row r="36364" hidden="1">
      <c r="E36364" s="96"/>
    </row>
    <row r="36365" hidden="1">
      <c r="E36365" s="96"/>
    </row>
    <row r="36366" hidden="1">
      <c r="E36366" s="96"/>
    </row>
    <row r="36367" hidden="1">
      <c r="E36367" s="96"/>
    </row>
    <row r="36368" hidden="1">
      <c r="E36368" s="96"/>
    </row>
    <row r="36369" hidden="1">
      <c r="E36369" s="96"/>
    </row>
    <row r="36370" hidden="1">
      <c r="E36370" s="96"/>
    </row>
    <row r="36371" hidden="1">
      <c r="E36371" s="96"/>
    </row>
    <row r="36372" hidden="1">
      <c r="E36372" s="96"/>
    </row>
    <row r="36373" hidden="1">
      <c r="E36373" s="96"/>
    </row>
    <row r="36374" hidden="1">
      <c r="E36374" s="96"/>
    </row>
    <row r="36375" hidden="1">
      <c r="E36375" s="96"/>
    </row>
    <row r="36376" hidden="1">
      <c r="E36376" s="96"/>
    </row>
    <row r="36377" hidden="1">
      <c r="E36377" s="96"/>
    </row>
    <row r="36378" hidden="1">
      <c r="E36378" s="96"/>
    </row>
    <row r="36379" hidden="1">
      <c r="E36379" s="96"/>
    </row>
    <row r="36380" hidden="1">
      <c r="E36380" s="96"/>
    </row>
    <row r="36381" hidden="1">
      <c r="E36381" s="96"/>
    </row>
    <row r="36382" hidden="1">
      <c r="E36382" s="96"/>
    </row>
    <row r="36383" hidden="1">
      <c r="E36383" s="96"/>
    </row>
    <row r="36384" hidden="1">
      <c r="E36384" s="96"/>
    </row>
    <row r="36385" hidden="1">
      <c r="E36385" s="96"/>
    </row>
    <row r="36386" hidden="1">
      <c r="E36386" s="96"/>
    </row>
    <row r="36387" hidden="1">
      <c r="E36387" s="96"/>
    </row>
    <row r="36388" hidden="1">
      <c r="E36388" s="96"/>
    </row>
    <row r="36389" hidden="1">
      <c r="E36389" s="96"/>
    </row>
    <row r="36390" hidden="1">
      <c r="E36390" s="96"/>
    </row>
    <row r="36391" hidden="1">
      <c r="E36391" s="96"/>
    </row>
    <row r="36392" hidden="1">
      <c r="E36392" s="96"/>
    </row>
    <row r="36393" hidden="1">
      <c r="E36393" s="96"/>
    </row>
    <row r="36394" hidden="1">
      <c r="E36394" s="96"/>
    </row>
    <row r="36395" hidden="1">
      <c r="E36395" s="96"/>
    </row>
    <row r="36396" hidden="1">
      <c r="E36396" s="96"/>
    </row>
    <row r="36397" hidden="1">
      <c r="E36397" s="96"/>
    </row>
    <row r="36398" hidden="1">
      <c r="E36398" s="96"/>
    </row>
    <row r="36399" hidden="1">
      <c r="E36399" s="96"/>
    </row>
    <row r="36400" hidden="1">
      <c r="E36400" s="96"/>
    </row>
    <row r="36401" hidden="1">
      <c r="E36401" s="96"/>
    </row>
    <row r="36402" hidden="1">
      <c r="E36402" s="96"/>
    </row>
    <row r="36403" hidden="1">
      <c r="E36403" s="96"/>
    </row>
    <row r="36404" hidden="1">
      <c r="E36404" s="96"/>
    </row>
    <row r="36405" hidden="1">
      <c r="E36405" s="96"/>
    </row>
    <row r="36406" hidden="1">
      <c r="E36406" s="96"/>
    </row>
    <row r="36407" hidden="1">
      <c r="E36407" s="96"/>
    </row>
    <row r="36408" hidden="1">
      <c r="E36408" s="96"/>
    </row>
    <row r="36409" hidden="1">
      <c r="E36409" s="96"/>
    </row>
    <row r="36410" hidden="1">
      <c r="E36410" s="96"/>
    </row>
    <row r="36411" hidden="1">
      <c r="E36411" s="96"/>
    </row>
    <row r="36412" hidden="1">
      <c r="E36412" s="96"/>
    </row>
    <row r="36413" hidden="1">
      <c r="E36413" s="96"/>
    </row>
    <row r="36414" hidden="1">
      <c r="E36414" s="96"/>
    </row>
    <row r="36415" hidden="1">
      <c r="E36415" s="96"/>
    </row>
    <row r="36416" hidden="1">
      <c r="E36416" s="96"/>
    </row>
    <row r="36417" hidden="1">
      <c r="E36417" s="96"/>
    </row>
    <row r="36418" hidden="1">
      <c r="E36418" s="96"/>
    </row>
    <row r="36419" hidden="1">
      <c r="E36419" s="96"/>
    </row>
    <row r="36420" hidden="1">
      <c r="E36420" s="96"/>
    </row>
    <row r="36421" hidden="1">
      <c r="E36421" s="96"/>
    </row>
    <row r="36422" hidden="1">
      <c r="E36422" s="96"/>
    </row>
    <row r="36423" hidden="1">
      <c r="E36423" s="96"/>
    </row>
    <row r="36424" hidden="1">
      <c r="E36424" s="96"/>
    </row>
    <row r="36425" hidden="1">
      <c r="E36425" s="96"/>
    </row>
    <row r="36426" hidden="1">
      <c r="E36426" s="96"/>
    </row>
    <row r="36427" hidden="1">
      <c r="E36427" s="96"/>
    </row>
    <row r="36428" hidden="1">
      <c r="E36428" s="96"/>
    </row>
    <row r="36429" hidden="1">
      <c r="E36429" s="96"/>
    </row>
    <row r="36430" hidden="1">
      <c r="E36430" s="96"/>
    </row>
    <row r="36431" hidden="1">
      <c r="E36431" s="96"/>
    </row>
    <row r="36432" hidden="1">
      <c r="E36432" s="96"/>
    </row>
    <row r="36433" hidden="1">
      <c r="E36433" s="96"/>
    </row>
    <row r="36434" hidden="1">
      <c r="E36434" s="96"/>
    </row>
    <row r="36435" hidden="1">
      <c r="E36435" s="96"/>
    </row>
    <row r="36436" hidden="1">
      <c r="E36436" s="96"/>
    </row>
    <row r="36437" hidden="1">
      <c r="E36437" s="96"/>
    </row>
    <row r="36438" hidden="1">
      <c r="E36438" s="96"/>
    </row>
    <row r="36439" hidden="1">
      <c r="E36439" s="96"/>
    </row>
    <row r="36440" hidden="1">
      <c r="E36440" s="96"/>
    </row>
    <row r="36441" hidden="1">
      <c r="E36441" s="96"/>
    </row>
    <row r="36442" hidden="1">
      <c r="E36442" s="96"/>
    </row>
    <row r="36443" hidden="1">
      <c r="E36443" s="96"/>
    </row>
    <row r="36444" hidden="1">
      <c r="E36444" s="96"/>
    </row>
    <row r="36445" hidden="1">
      <c r="E36445" s="96"/>
    </row>
    <row r="36446" hidden="1">
      <c r="E36446" s="96"/>
    </row>
    <row r="36447" hidden="1">
      <c r="E36447" s="96"/>
    </row>
    <row r="36448" hidden="1">
      <c r="E36448" s="96"/>
    </row>
    <row r="36449" hidden="1">
      <c r="E36449" s="96"/>
    </row>
    <row r="36450" hidden="1">
      <c r="E36450" s="96"/>
    </row>
    <row r="36451" hidden="1">
      <c r="E36451" s="96"/>
    </row>
    <row r="36452" hidden="1">
      <c r="E36452" s="96"/>
    </row>
    <row r="36453" hidden="1">
      <c r="E36453" s="96"/>
    </row>
    <row r="36454" hidden="1">
      <c r="E36454" s="96"/>
    </row>
    <row r="36455" hidden="1">
      <c r="E36455" s="96"/>
    </row>
    <row r="36456" hidden="1">
      <c r="E36456" s="96"/>
    </row>
    <row r="36457" hidden="1">
      <c r="E36457" s="96"/>
    </row>
    <row r="36458" hidden="1">
      <c r="E36458" s="96"/>
    </row>
    <row r="36459" hidden="1">
      <c r="E36459" s="96"/>
    </row>
    <row r="36460" hidden="1">
      <c r="E36460" s="96"/>
    </row>
    <row r="36461" hidden="1">
      <c r="E36461" s="96"/>
    </row>
    <row r="36462" hidden="1">
      <c r="E36462" s="96"/>
    </row>
    <row r="36463" hidden="1">
      <c r="E36463" s="96"/>
    </row>
    <row r="36464" hidden="1">
      <c r="E36464" s="96"/>
    </row>
    <row r="36465" hidden="1">
      <c r="E36465" s="96"/>
    </row>
    <row r="36466" hidden="1">
      <c r="E36466" s="96"/>
    </row>
    <row r="36467" hidden="1">
      <c r="E36467" s="96"/>
    </row>
    <row r="36468" hidden="1">
      <c r="E36468" s="96"/>
    </row>
    <row r="36469" hidden="1">
      <c r="E36469" s="96"/>
    </row>
    <row r="36470" hidden="1">
      <c r="E36470" s="96"/>
    </row>
    <row r="36471" hidden="1">
      <c r="E36471" s="96"/>
    </row>
    <row r="36472" hidden="1">
      <c r="E36472" s="96"/>
    </row>
    <row r="36473" hidden="1">
      <c r="E36473" s="96"/>
    </row>
    <row r="36474" hidden="1">
      <c r="E36474" s="96"/>
    </row>
    <row r="36475" hidden="1">
      <c r="E36475" s="96"/>
    </row>
    <row r="36476" hidden="1">
      <c r="E36476" s="96"/>
    </row>
    <row r="36477" hidden="1">
      <c r="E36477" s="96"/>
    </row>
    <row r="36478" hidden="1">
      <c r="E36478" s="96"/>
    </row>
    <row r="36479" hidden="1">
      <c r="E36479" s="96"/>
    </row>
    <row r="36480" hidden="1">
      <c r="E36480" s="96"/>
    </row>
    <row r="36481" hidden="1">
      <c r="E36481" s="96"/>
    </row>
    <row r="36482" hidden="1">
      <c r="E36482" s="96"/>
    </row>
    <row r="36483" hidden="1">
      <c r="E36483" s="96"/>
    </row>
    <row r="36484" hidden="1">
      <c r="E36484" s="96"/>
    </row>
    <row r="36485" hidden="1">
      <c r="E36485" s="96"/>
    </row>
    <row r="36486" hidden="1">
      <c r="E36486" s="96"/>
    </row>
    <row r="36487" hidden="1">
      <c r="E36487" s="96"/>
    </row>
    <row r="36488" hidden="1">
      <c r="E36488" s="96"/>
    </row>
    <row r="36489" hidden="1">
      <c r="E36489" s="96"/>
    </row>
    <row r="36490" hidden="1">
      <c r="E36490" s="96"/>
    </row>
    <row r="36491" hidden="1">
      <c r="E36491" s="96"/>
    </row>
    <row r="36492" hidden="1">
      <c r="E36492" s="96"/>
    </row>
    <row r="36493" hidden="1">
      <c r="E36493" s="96"/>
    </row>
    <row r="36494" hidden="1">
      <c r="E36494" s="96"/>
    </row>
    <row r="36495" hidden="1">
      <c r="E36495" s="96"/>
    </row>
    <row r="36496" hidden="1">
      <c r="E36496" s="96"/>
    </row>
    <row r="36497" hidden="1">
      <c r="E36497" s="96"/>
    </row>
    <row r="36498" hidden="1">
      <c r="E36498" s="96"/>
    </row>
    <row r="36499" hidden="1">
      <c r="E36499" s="96"/>
    </row>
    <row r="36500" hidden="1">
      <c r="E36500" s="96"/>
    </row>
    <row r="36501" hidden="1">
      <c r="E36501" s="96"/>
    </row>
    <row r="36502" hidden="1">
      <c r="E36502" s="96"/>
    </row>
    <row r="36503" hidden="1">
      <c r="E36503" s="96"/>
    </row>
    <row r="36504" hidden="1">
      <c r="E36504" s="96"/>
    </row>
    <row r="36505" hidden="1">
      <c r="E36505" s="96"/>
    </row>
    <row r="36506" hidden="1">
      <c r="E36506" s="96"/>
    </row>
    <row r="36507" hidden="1">
      <c r="E36507" s="96"/>
    </row>
    <row r="36508" hidden="1">
      <c r="E36508" s="96"/>
    </row>
    <row r="36509" hidden="1">
      <c r="E36509" s="96"/>
    </row>
    <row r="36510" hidden="1">
      <c r="E36510" s="96"/>
    </row>
    <row r="36511" hidden="1">
      <c r="E36511" s="96"/>
    </row>
    <row r="36512" hidden="1">
      <c r="E36512" s="96"/>
    </row>
    <row r="36513" hidden="1">
      <c r="E36513" s="96"/>
    </row>
    <row r="36514" hidden="1">
      <c r="E36514" s="96"/>
    </row>
    <row r="36515" hidden="1">
      <c r="E36515" s="96"/>
    </row>
    <row r="36516" hidden="1">
      <c r="E36516" s="96"/>
    </row>
    <row r="36517" hidden="1">
      <c r="E36517" s="96"/>
    </row>
    <row r="36518" hidden="1">
      <c r="E36518" s="96"/>
    </row>
    <row r="36519" hidden="1">
      <c r="E36519" s="96"/>
    </row>
    <row r="36520" hidden="1">
      <c r="E36520" s="96"/>
    </row>
    <row r="36521" hidden="1">
      <c r="E36521" s="96"/>
    </row>
    <row r="36522" hidden="1">
      <c r="E36522" s="96"/>
    </row>
    <row r="36523" hidden="1">
      <c r="E36523" s="96"/>
    </row>
    <row r="36524" hidden="1">
      <c r="E36524" s="96"/>
    </row>
    <row r="36525" hidden="1">
      <c r="E36525" s="96"/>
    </row>
    <row r="36526" hidden="1">
      <c r="E36526" s="96"/>
    </row>
    <row r="36527" hidden="1">
      <c r="E36527" s="96"/>
    </row>
    <row r="36528" hidden="1">
      <c r="E36528" s="96"/>
    </row>
    <row r="36529" hidden="1">
      <c r="E36529" s="96"/>
    </row>
    <row r="36530" hidden="1">
      <c r="E36530" s="96"/>
    </row>
    <row r="36531" hidden="1">
      <c r="E36531" s="96"/>
    </row>
    <row r="36532" hidden="1">
      <c r="E36532" s="96"/>
    </row>
    <row r="36533" hidden="1">
      <c r="E36533" s="96"/>
    </row>
    <row r="36534" hidden="1">
      <c r="E36534" s="96"/>
    </row>
    <row r="36535" hidden="1">
      <c r="E36535" s="96"/>
    </row>
    <row r="36536" hidden="1">
      <c r="E36536" s="96"/>
    </row>
    <row r="36537" hidden="1">
      <c r="E36537" s="96"/>
    </row>
    <row r="36538" hidden="1">
      <c r="E36538" s="96"/>
    </row>
    <row r="36539" hidden="1">
      <c r="E36539" s="96"/>
    </row>
    <row r="36540" hidden="1">
      <c r="E36540" s="96"/>
    </row>
    <row r="36541" hidden="1">
      <c r="E36541" s="96"/>
    </row>
    <row r="36542" hidden="1">
      <c r="E36542" s="96"/>
    </row>
    <row r="36543" hidden="1">
      <c r="E36543" s="96"/>
    </row>
    <row r="36544" hidden="1">
      <c r="E36544" s="96"/>
    </row>
    <row r="36545" hidden="1">
      <c r="E36545" s="96"/>
    </row>
    <row r="36546" hidden="1">
      <c r="E36546" s="96"/>
    </row>
    <row r="36547" hidden="1">
      <c r="E36547" s="96"/>
    </row>
    <row r="36548" hidden="1">
      <c r="E36548" s="96"/>
    </row>
    <row r="36549" hidden="1">
      <c r="E36549" s="96"/>
    </row>
    <row r="36550" hidden="1">
      <c r="E36550" s="96"/>
    </row>
    <row r="36551" hidden="1">
      <c r="E36551" s="96"/>
    </row>
    <row r="36552" hidden="1">
      <c r="E36552" s="96"/>
    </row>
    <row r="36553" hidden="1">
      <c r="E36553" s="96"/>
    </row>
    <row r="36554" hidden="1">
      <c r="E36554" s="96"/>
    </row>
    <row r="36555" hidden="1">
      <c r="E36555" s="96"/>
    </row>
    <row r="36556" hidden="1">
      <c r="E36556" s="96"/>
    </row>
    <row r="36557" hidden="1">
      <c r="E36557" s="96"/>
    </row>
    <row r="36558" hidden="1">
      <c r="E36558" s="96"/>
    </row>
    <row r="36559" hidden="1">
      <c r="E36559" s="96"/>
    </row>
    <row r="36560" hidden="1">
      <c r="E36560" s="96"/>
    </row>
    <row r="36561" hidden="1">
      <c r="E36561" s="96"/>
    </row>
    <row r="36562" hidden="1">
      <c r="E36562" s="96"/>
    </row>
    <row r="36563" hidden="1">
      <c r="E36563" s="96"/>
    </row>
    <row r="36564" hidden="1">
      <c r="E36564" s="96"/>
    </row>
    <row r="36565" hidden="1">
      <c r="E36565" s="96"/>
    </row>
    <row r="36566" hidden="1">
      <c r="E36566" s="96"/>
    </row>
    <row r="36567" hidden="1">
      <c r="E36567" s="96"/>
    </row>
    <row r="36568" hidden="1">
      <c r="E36568" s="96"/>
    </row>
    <row r="36569" hidden="1">
      <c r="E36569" s="96"/>
    </row>
    <row r="36570" hidden="1">
      <c r="E36570" s="96"/>
    </row>
    <row r="36571" hidden="1">
      <c r="E36571" s="96"/>
    </row>
    <row r="36572" hidden="1">
      <c r="E36572" s="96"/>
    </row>
    <row r="36573" hidden="1">
      <c r="E36573" s="96"/>
    </row>
    <row r="36574" hidden="1">
      <c r="E36574" s="96"/>
    </row>
    <row r="36575" hidden="1">
      <c r="E36575" s="96"/>
    </row>
    <row r="36576" hidden="1">
      <c r="E36576" s="96"/>
    </row>
    <row r="36577" hidden="1">
      <c r="E36577" s="96"/>
    </row>
    <row r="36578" hidden="1">
      <c r="E36578" s="96"/>
    </row>
    <row r="36579" hidden="1">
      <c r="E36579" s="96"/>
    </row>
    <row r="36580" hidden="1">
      <c r="E36580" s="96"/>
    </row>
    <row r="36581" hidden="1">
      <c r="E36581" s="96"/>
    </row>
    <row r="36582" hidden="1">
      <c r="E36582" s="96"/>
    </row>
    <row r="36583" hidden="1">
      <c r="E36583" s="96"/>
    </row>
    <row r="36584" hidden="1">
      <c r="E36584" s="96"/>
    </row>
    <row r="36585" hidden="1">
      <c r="E36585" s="96"/>
    </row>
    <row r="36586" hidden="1">
      <c r="E36586" s="96"/>
    </row>
    <row r="36587" hidden="1">
      <c r="E36587" s="96"/>
    </row>
    <row r="36588" hidden="1">
      <c r="E36588" s="96"/>
    </row>
    <row r="36589" hidden="1">
      <c r="E36589" s="96"/>
    </row>
    <row r="36590" hidden="1">
      <c r="E36590" s="96"/>
    </row>
    <row r="36591" hidden="1">
      <c r="E36591" s="96"/>
    </row>
    <row r="36592" hidden="1">
      <c r="E36592" s="96"/>
    </row>
    <row r="36593" hidden="1">
      <c r="E36593" s="96"/>
    </row>
    <row r="36594" hidden="1">
      <c r="E36594" s="96"/>
    </row>
    <row r="36595" hidden="1">
      <c r="E36595" s="96"/>
    </row>
    <row r="36596" hidden="1">
      <c r="E36596" s="96"/>
    </row>
    <row r="36597" hidden="1">
      <c r="E36597" s="96"/>
    </row>
    <row r="36598" hidden="1">
      <c r="E36598" s="96"/>
    </row>
    <row r="36599" hidden="1">
      <c r="E36599" s="96"/>
    </row>
    <row r="36600" hidden="1">
      <c r="E36600" s="96"/>
    </row>
    <row r="36601" hidden="1">
      <c r="E36601" s="96"/>
    </row>
    <row r="36602" hidden="1">
      <c r="E36602" s="96"/>
    </row>
    <row r="36603" hidden="1">
      <c r="E36603" s="96"/>
    </row>
    <row r="36604" hidden="1">
      <c r="E36604" s="96"/>
    </row>
    <row r="36605" hidden="1">
      <c r="E36605" s="96"/>
    </row>
    <row r="36606" hidden="1">
      <c r="E36606" s="96"/>
    </row>
    <row r="36607" hidden="1">
      <c r="E36607" s="96"/>
    </row>
    <row r="36608" hidden="1">
      <c r="E36608" s="96"/>
    </row>
    <row r="36609" hidden="1">
      <c r="E36609" s="96"/>
    </row>
    <row r="36610" hidden="1">
      <c r="E36610" s="96"/>
    </row>
    <row r="36611" hidden="1">
      <c r="E36611" s="96"/>
    </row>
    <row r="36612" hidden="1">
      <c r="E36612" s="96"/>
    </row>
    <row r="36613" hidden="1">
      <c r="E36613" s="96"/>
    </row>
    <row r="36614" hidden="1">
      <c r="E36614" s="96"/>
    </row>
    <row r="36615" hidden="1">
      <c r="E36615" s="96"/>
    </row>
    <row r="36616" hidden="1">
      <c r="E36616" s="96"/>
    </row>
    <row r="36617" hidden="1">
      <c r="E36617" s="96"/>
    </row>
    <row r="36618" hidden="1">
      <c r="E36618" s="96"/>
    </row>
    <row r="36619" hidden="1">
      <c r="E36619" s="96"/>
    </row>
    <row r="36620" hidden="1">
      <c r="E36620" s="96"/>
    </row>
    <row r="36621" hidden="1">
      <c r="E36621" s="96"/>
    </row>
    <row r="36622" hidden="1">
      <c r="E36622" s="96"/>
    </row>
    <row r="36623" hidden="1">
      <c r="E36623" s="96"/>
    </row>
    <row r="36624" hidden="1">
      <c r="E36624" s="96"/>
    </row>
    <row r="36625" hidden="1">
      <c r="E36625" s="96"/>
    </row>
    <row r="36626" hidden="1">
      <c r="E36626" s="96"/>
    </row>
    <row r="36627" hidden="1">
      <c r="E36627" s="96"/>
    </row>
    <row r="36628" hidden="1">
      <c r="E36628" s="96"/>
    </row>
    <row r="36629" hidden="1">
      <c r="E36629" s="96"/>
    </row>
    <row r="36630" hidden="1">
      <c r="E36630" s="96"/>
    </row>
    <row r="36631" hidden="1">
      <c r="E36631" s="96"/>
    </row>
    <row r="36632" hidden="1">
      <c r="E36632" s="96"/>
    </row>
    <row r="36633" hidden="1">
      <c r="E36633" s="96"/>
    </row>
    <row r="36634" hidden="1">
      <c r="E36634" s="96"/>
    </row>
    <row r="36635" hidden="1">
      <c r="E36635" s="96"/>
    </row>
    <row r="36636" hidden="1">
      <c r="E36636" s="96"/>
    </row>
    <row r="36637" hidden="1">
      <c r="E36637" s="96"/>
    </row>
    <row r="36638" hidden="1">
      <c r="E36638" s="96"/>
    </row>
    <row r="36639" hidden="1">
      <c r="E36639" s="96"/>
    </row>
    <row r="36640" hidden="1">
      <c r="E36640" s="96"/>
    </row>
    <row r="36641" hidden="1">
      <c r="E36641" s="96"/>
    </row>
    <row r="36642" hidden="1">
      <c r="E36642" s="96"/>
    </row>
    <row r="36643" hidden="1">
      <c r="E36643" s="96"/>
    </row>
    <row r="36644" hidden="1">
      <c r="E36644" s="96"/>
    </row>
    <row r="36645" hidden="1">
      <c r="E36645" s="96"/>
    </row>
    <row r="36646" hidden="1">
      <c r="E36646" s="96"/>
    </row>
    <row r="36647" hidden="1">
      <c r="E36647" s="96"/>
    </row>
    <row r="36648" hidden="1">
      <c r="E36648" s="96"/>
    </row>
    <row r="36649" hidden="1">
      <c r="E36649" s="96"/>
    </row>
    <row r="36650" hidden="1">
      <c r="E36650" s="96"/>
    </row>
    <row r="36651" hidden="1">
      <c r="E36651" s="96"/>
    </row>
    <row r="36652" hidden="1">
      <c r="E36652" s="96"/>
    </row>
    <row r="36653" hidden="1">
      <c r="E36653" s="96"/>
    </row>
    <row r="36654" hidden="1">
      <c r="E36654" s="96"/>
    </row>
    <row r="36655" hidden="1">
      <c r="E36655" s="96"/>
    </row>
    <row r="36656" hidden="1">
      <c r="E36656" s="96"/>
    </row>
    <row r="36657" hidden="1">
      <c r="E36657" s="96"/>
    </row>
    <row r="36658" hidden="1">
      <c r="E36658" s="96"/>
    </row>
    <row r="36659" hidden="1">
      <c r="E36659" s="96"/>
    </row>
    <row r="36660" hidden="1">
      <c r="E36660" s="96"/>
    </row>
    <row r="36661" hidden="1">
      <c r="E36661" s="96"/>
    </row>
    <row r="36662" hidden="1">
      <c r="E36662" s="96"/>
    </row>
    <row r="36663" hidden="1">
      <c r="E36663" s="96"/>
    </row>
    <row r="36664" hidden="1">
      <c r="E36664" s="96"/>
    </row>
    <row r="36665" hidden="1">
      <c r="E36665" s="96"/>
    </row>
    <row r="36666" hidden="1">
      <c r="E36666" s="96"/>
    </row>
    <row r="36667" hidden="1">
      <c r="E36667" s="96"/>
    </row>
    <row r="36668" hidden="1">
      <c r="E36668" s="96"/>
    </row>
    <row r="36669" hidden="1">
      <c r="E36669" s="96"/>
    </row>
    <row r="36670" hidden="1">
      <c r="E36670" s="96"/>
    </row>
    <row r="36671" hidden="1">
      <c r="E36671" s="96"/>
    </row>
    <row r="36672" hidden="1">
      <c r="E36672" s="96"/>
    </row>
    <row r="36673" hidden="1">
      <c r="E36673" s="96"/>
    </row>
    <row r="36674" hidden="1">
      <c r="E36674" s="96"/>
    </row>
    <row r="36675" hidden="1">
      <c r="E36675" s="96"/>
    </row>
    <row r="36676" hidden="1">
      <c r="E36676" s="96"/>
    </row>
    <row r="36677" hidden="1">
      <c r="E36677" s="96"/>
    </row>
    <row r="36678" hidden="1">
      <c r="E36678" s="96"/>
    </row>
    <row r="36679" hidden="1">
      <c r="E36679" s="96"/>
    </row>
    <row r="36680" hidden="1">
      <c r="E36680" s="96"/>
    </row>
    <row r="36681" hidden="1">
      <c r="E36681" s="96"/>
    </row>
    <row r="36682" hidden="1">
      <c r="E36682" s="96"/>
    </row>
    <row r="36683" hidden="1">
      <c r="E36683" s="96"/>
    </row>
    <row r="36684" hidden="1">
      <c r="E36684" s="96"/>
    </row>
    <row r="36685" hidden="1">
      <c r="E36685" s="96"/>
    </row>
    <row r="36686" hidden="1">
      <c r="E36686" s="96"/>
    </row>
    <row r="36687" hidden="1">
      <c r="E36687" s="96"/>
    </row>
    <row r="36688" hidden="1">
      <c r="E36688" s="96"/>
    </row>
    <row r="36689" hidden="1">
      <c r="E36689" s="96"/>
    </row>
    <row r="36690" hidden="1">
      <c r="E36690" s="96"/>
    </row>
    <row r="36691" hidden="1">
      <c r="E36691" s="96"/>
    </row>
    <row r="36692" hidden="1">
      <c r="E36692" s="96"/>
    </row>
    <row r="36693" hidden="1">
      <c r="E36693" s="96"/>
    </row>
    <row r="36694" hidden="1">
      <c r="E36694" s="96"/>
    </row>
    <row r="36695" hidden="1">
      <c r="E36695" s="96"/>
    </row>
    <row r="36696" hidden="1">
      <c r="E36696" s="96"/>
    </row>
    <row r="36697" hidden="1">
      <c r="E36697" s="96"/>
    </row>
    <row r="36698" hidden="1">
      <c r="E36698" s="96"/>
    </row>
    <row r="36699" hidden="1">
      <c r="E36699" s="96"/>
    </row>
    <row r="36700" hidden="1">
      <c r="E36700" s="96"/>
    </row>
    <row r="36701" hidden="1">
      <c r="E36701" s="96"/>
    </row>
    <row r="36702" hidden="1">
      <c r="E36702" s="96"/>
    </row>
    <row r="36703" hidden="1">
      <c r="E36703" s="96"/>
    </row>
    <row r="36704" hidden="1">
      <c r="E36704" s="96"/>
    </row>
    <row r="36705" hidden="1">
      <c r="E36705" s="96"/>
    </row>
    <row r="36706" hidden="1">
      <c r="E36706" s="96"/>
    </row>
    <row r="36707" hidden="1">
      <c r="E36707" s="96"/>
    </row>
    <row r="36708" hidden="1">
      <c r="E36708" s="96"/>
    </row>
    <row r="36709" hidden="1">
      <c r="E36709" s="96"/>
    </row>
    <row r="36710" hidden="1">
      <c r="E36710" s="96"/>
    </row>
    <row r="36711" hidden="1">
      <c r="E36711" s="96"/>
    </row>
    <row r="36712" hidden="1">
      <c r="E36712" s="96"/>
    </row>
    <row r="36713" hidden="1">
      <c r="E36713" s="96"/>
    </row>
    <row r="36714" hidden="1">
      <c r="E36714" s="96"/>
    </row>
    <row r="36715" hidden="1">
      <c r="E36715" s="96"/>
    </row>
    <row r="36716" hidden="1">
      <c r="E36716" s="96"/>
    </row>
    <row r="36717" hidden="1">
      <c r="E36717" s="96"/>
    </row>
    <row r="36718" hidden="1">
      <c r="E36718" s="96"/>
    </row>
    <row r="36719" hidden="1">
      <c r="E36719" s="96"/>
    </row>
    <row r="36720" hidden="1">
      <c r="E36720" s="96"/>
    </row>
    <row r="36721" hidden="1">
      <c r="E36721" s="96"/>
    </row>
    <row r="36722" hidden="1">
      <c r="E36722" s="96"/>
    </row>
    <row r="36723" hidden="1">
      <c r="E36723" s="96"/>
    </row>
    <row r="36724" hidden="1">
      <c r="E36724" s="96"/>
    </row>
    <row r="36725" hidden="1">
      <c r="E36725" s="96"/>
    </row>
    <row r="36726" hidden="1">
      <c r="E36726" s="96"/>
    </row>
    <row r="36727" hidden="1">
      <c r="E36727" s="96"/>
    </row>
    <row r="36728" hidden="1">
      <c r="E36728" s="96"/>
    </row>
    <row r="36729" hidden="1">
      <c r="E36729" s="96"/>
    </row>
    <row r="36730" hidden="1">
      <c r="E36730" s="96"/>
    </row>
    <row r="36731" hidden="1">
      <c r="E36731" s="96"/>
    </row>
    <row r="36732" hidden="1">
      <c r="E36732" s="96"/>
    </row>
    <row r="36733" hidden="1">
      <c r="E36733" s="96"/>
    </row>
    <row r="36734" hidden="1">
      <c r="E36734" s="96"/>
    </row>
    <row r="36735" hidden="1">
      <c r="E36735" s="96"/>
    </row>
    <row r="36736" hidden="1">
      <c r="E36736" s="96"/>
    </row>
    <row r="36737" hidden="1">
      <c r="E36737" s="96"/>
    </row>
    <row r="36738" hidden="1">
      <c r="E36738" s="96"/>
    </row>
    <row r="36739" hidden="1">
      <c r="E36739" s="96"/>
    </row>
    <row r="36740" hidden="1">
      <c r="E36740" s="96"/>
    </row>
    <row r="36741" hidden="1">
      <c r="E36741" s="96"/>
    </row>
    <row r="36742" hidden="1">
      <c r="E36742" s="96"/>
    </row>
    <row r="36743" hidden="1">
      <c r="E36743" s="96"/>
    </row>
    <row r="36744" hidden="1">
      <c r="E36744" s="96"/>
    </row>
    <row r="36745" hidden="1">
      <c r="E36745" s="96"/>
    </row>
    <row r="36746" hidden="1">
      <c r="E36746" s="96"/>
    </row>
    <row r="36747" hidden="1">
      <c r="E36747" s="96"/>
    </row>
    <row r="36748" hidden="1">
      <c r="E36748" s="96"/>
    </row>
    <row r="36749" hidden="1">
      <c r="E36749" s="96"/>
    </row>
    <row r="36750" hidden="1">
      <c r="E36750" s="96"/>
    </row>
    <row r="36751" hidden="1">
      <c r="E36751" s="96"/>
    </row>
    <row r="36752" hidden="1">
      <c r="E36752" s="96"/>
    </row>
    <row r="36753" hidden="1">
      <c r="E36753" s="96"/>
    </row>
    <row r="36754" hidden="1">
      <c r="E36754" s="96"/>
    </row>
    <row r="36755" hidden="1">
      <c r="E36755" s="96"/>
    </row>
    <row r="36756" hidden="1">
      <c r="E36756" s="96"/>
    </row>
    <row r="36757" hidden="1">
      <c r="E36757" s="96"/>
    </row>
    <row r="36758" hidden="1">
      <c r="E36758" s="96"/>
    </row>
    <row r="36759" hidden="1">
      <c r="E36759" s="96"/>
    </row>
    <row r="36760" hidden="1">
      <c r="E36760" s="96"/>
    </row>
    <row r="36761" hidden="1">
      <c r="E36761" s="96"/>
    </row>
    <row r="36762" hidden="1">
      <c r="E36762" s="96"/>
    </row>
    <row r="36763" hidden="1">
      <c r="E36763" s="96"/>
    </row>
    <row r="36764" hidden="1">
      <c r="E36764" s="96"/>
    </row>
    <row r="36765" hidden="1">
      <c r="E36765" s="96"/>
    </row>
    <row r="36766" hidden="1">
      <c r="E36766" s="96"/>
    </row>
    <row r="36767" hidden="1">
      <c r="E36767" s="96"/>
    </row>
    <row r="36768" hidden="1">
      <c r="E36768" s="96"/>
    </row>
    <row r="36769" hidden="1">
      <c r="E36769" s="96"/>
    </row>
    <row r="36770" hidden="1">
      <c r="E36770" s="96"/>
    </row>
    <row r="36771" hidden="1">
      <c r="E36771" s="96"/>
    </row>
    <row r="36772" hidden="1">
      <c r="E36772" s="96"/>
    </row>
    <row r="36773" hidden="1">
      <c r="E36773" s="96"/>
    </row>
    <row r="36774" hidden="1">
      <c r="E36774" s="96"/>
    </row>
    <row r="36775" hidden="1">
      <c r="E36775" s="96"/>
    </row>
    <row r="36776" hidden="1">
      <c r="E36776" s="96"/>
    </row>
    <row r="36777" hidden="1">
      <c r="E36777" s="96"/>
    </row>
    <row r="36778" hidden="1">
      <c r="E36778" s="96"/>
    </row>
    <row r="36779" hidden="1">
      <c r="E36779" s="96"/>
    </row>
    <row r="36780" hidden="1">
      <c r="E36780" s="96"/>
    </row>
    <row r="36781" hidden="1">
      <c r="E36781" s="96"/>
    </row>
    <row r="36782" hidden="1">
      <c r="E36782" s="96"/>
    </row>
    <row r="36783" hidden="1">
      <c r="E36783" s="96"/>
    </row>
    <row r="36784" hidden="1">
      <c r="E36784" s="96"/>
    </row>
    <row r="36785" hidden="1">
      <c r="E36785" s="96"/>
    </row>
    <row r="36786" hidden="1">
      <c r="E36786" s="96"/>
    </row>
    <row r="36787" hidden="1">
      <c r="E36787" s="96"/>
    </row>
    <row r="36788" hidden="1">
      <c r="E36788" s="96"/>
    </row>
    <row r="36789" hidden="1">
      <c r="E36789" s="96"/>
    </row>
    <row r="36790" hidden="1">
      <c r="E36790" s="96"/>
    </row>
    <row r="36791" hidden="1">
      <c r="E36791" s="96"/>
    </row>
    <row r="36792" hidden="1">
      <c r="E36792" s="96"/>
    </row>
    <row r="36793" hidden="1">
      <c r="E36793" s="96"/>
    </row>
    <row r="36794" hidden="1">
      <c r="E36794" s="96"/>
    </row>
    <row r="36795" hidden="1">
      <c r="E36795" s="96"/>
    </row>
    <row r="36796" hidden="1">
      <c r="E36796" s="96"/>
    </row>
    <row r="36797" hidden="1">
      <c r="E36797" s="96"/>
    </row>
    <row r="36798" hidden="1">
      <c r="E36798" s="96"/>
    </row>
    <row r="36799" hidden="1">
      <c r="E36799" s="96"/>
    </row>
    <row r="36800" hidden="1">
      <c r="E36800" s="96"/>
    </row>
    <row r="36801" hidden="1">
      <c r="E36801" s="96"/>
    </row>
    <row r="36802" hidden="1">
      <c r="E36802" s="96"/>
    </row>
    <row r="36803" hidden="1">
      <c r="E36803" s="96"/>
    </row>
    <row r="36804" hidden="1">
      <c r="E36804" s="96"/>
    </row>
    <row r="36805" hidden="1">
      <c r="E36805" s="96"/>
    </row>
    <row r="36806" hidden="1">
      <c r="E36806" s="96"/>
    </row>
    <row r="36807" hidden="1">
      <c r="E36807" s="96"/>
    </row>
    <row r="36808" hidden="1">
      <c r="E36808" s="96"/>
    </row>
    <row r="36809" hidden="1">
      <c r="E36809" s="96"/>
    </row>
    <row r="36810" hidden="1">
      <c r="E36810" s="96"/>
    </row>
    <row r="36811" hidden="1">
      <c r="E36811" s="96"/>
    </row>
    <row r="36812" hidden="1">
      <c r="E36812" s="96"/>
    </row>
    <row r="36813" hidden="1">
      <c r="E36813" s="96"/>
    </row>
    <row r="36814" hidden="1">
      <c r="E36814" s="96"/>
    </row>
    <row r="36815" hidden="1">
      <c r="E36815" s="96"/>
    </row>
    <row r="36816" hidden="1">
      <c r="E36816" s="96"/>
    </row>
    <row r="36817" hidden="1">
      <c r="E36817" s="96"/>
    </row>
    <row r="36818" hidden="1">
      <c r="E36818" s="96"/>
    </row>
    <row r="36819" hidden="1">
      <c r="E36819" s="96"/>
    </row>
    <row r="36820" hidden="1">
      <c r="E36820" s="96"/>
    </row>
    <row r="36821" hidden="1">
      <c r="E36821" s="96"/>
    </row>
    <row r="36822" hidden="1">
      <c r="E36822" s="96"/>
    </row>
    <row r="36823" hidden="1">
      <c r="E36823" s="96"/>
    </row>
    <row r="36824" hidden="1">
      <c r="E36824" s="96"/>
    </row>
    <row r="36825" hidden="1">
      <c r="E36825" s="96"/>
    </row>
    <row r="36826" hidden="1">
      <c r="E36826" s="96"/>
    </row>
    <row r="36827" hidden="1">
      <c r="E36827" s="96"/>
    </row>
    <row r="36828" hidden="1">
      <c r="E36828" s="96"/>
    </row>
    <row r="36829" hidden="1">
      <c r="E36829" s="96"/>
    </row>
    <row r="36830" hidden="1">
      <c r="E36830" s="96"/>
    </row>
    <row r="36831" hidden="1">
      <c r="E36831" s="96"/>
    </row>
    <row r="36832" hidden="1">
      <c r="E36832" s="96"/>
    </row>
    <row r="36833" hidden="1">
      <c r="E36833" s="96"/>
    </row>
    <row r="36834" hidden="1">
      <c r="E36834" s="96"/>
    </row>
    <row r="36835" hidden="1">
      <c r="E36835" s="96"/>
    </row>
    <row r="36836" hidden="1">
      <c r="E36836" s="96"/>
    </row>
    <row r="36837" hidden="1">
      <c r="E36837" s="96"/>
    </row>
    <row r="36838" hidden="1">
      <c r="E36838" s="96"/>
    </row>
    <row r="36839" hidden="1">
      <c r="E36839" s="96"/>
    </row>
    <row r="36840" hidden="1">
      <c r="E36840" s="96"/>
    </row>
    <row r="36841" hidden="1">
      <c r="E36841" s="96"/>
    </row>
    <row r="36842" hidden="1">
      <c r="E36842" s="96"/>
    </row>
    <row r="36843" hidden="1">
      <c r="E36843" s="96"/>
    </row>
    <row r="36844" hidden="1">
      <c r="E36844" s="96"/>
    </row>
    <row r="36845" hidden="1">
      <c r="E36845" s="96"/>
    </row>
    <row r="36846" hidden="1">
      <c r="E36846" s="96"/>
    </row>
    <row r="36847" hidden="1">
      <c r="E36847" s="96"/>
    </row>
    <row r="36848" hidden="1">
      <c r="E36848" s="96"/>
    </row>
    <row r="36849" hidden="1">
      <c r="E36849" s="96"/>
    </row>
    <row r="36850" hidden="1">
      <c r="E36850" s="96"/>
    </row>
    <row r="36851" hidden="1">
      <c r="E36851" s="96"/>
    </row>
    <row r="36852" hidden="1">
      <c r="E36852" s="96"/>
    </row>
    <row r="36853" hidden="1">
      <c r="E36853" s="96"/>
    </row>
    <row r="36854" hidden="1">
      <c r="E36854" s="96"/>
    </row>
    <row r="36855" hidden="1">
      <c r="E36855" s="96"/>
    </row>
    <row r="36856" hidden="1">
      <c r="E36856" s="96"/>
    </row>
    <row r="36857" hidden="1">
      <c r="E36857" s="96"/>
    </row>
    <row r="36858" hidden="1">
      <c r="E36858" s="96"/>
    </row>
    <row r="36859" hidden="1">
      <c r="E36859" s="96"/>
    </row>
    <row r="36860" hidden="1">
      <c r="E36860" s="96"/>
    </row>
    <row r="36861" hidden="1">
      <c r="E36861" s="96"/>
    </row>
    <row r="36862" hidden="1">
      <c r="E36862" s="96"/>
    </row>
    <row r="36863" hidden="1">
      <c r="E36863" s="96"/>
    </row>
    <row r="36864" hidden="1">
      <c r="E36864" s="96"/>
    </row>
    <row r="36865" hidden="1">
      <c r="E36865" s="96"/>
    </row>
    <row r="36866" hidden="1">
      <c r="E36866" s="96"/>
    </row>
    <row r="36867" hidden="1">
      <c r="E36867" s="96"/>
    </row>
    <row r="36868" hidden="1">
      <c r="E36868" s="96"/>
    </row>
    <row r="36869" hidden="1">
      <c r="E36869" s="96"/>
    </row>
    <row r="36870" hidden="1">
      <c r="E36870" s="96"/>
    </row>
    <row r="36871" hidden="1">
      <c r="E36871" s="96"/>
    </row>
    <row r="36872" hidden="1">
      <c r="E36872" s="96"/>
    </row>
    <row r="36873" hidden="1">
      <c r="E36873" s="96"/>
    </row>
    <row r="36874" hidden="1">
      <c r="E36874" s="96"/>
    </row>
    <row r="36875" hidden="1">
      <c r="E36875" s="96"/>
    </row>
    <row r="36876" hidden="1">
      <c r="E36876" s="96"/>
    </row>
    <row r="36877" hidden="1">
      <c r="E36877" s="96"/>
    </row>
    <row r="36878" hidden="1">
      <c r="E36878" s="96"/>
    </row>
    <row r="36879" hidden="1">
      <c r="E36879" s="96"/>
    </row>
    <row r="36880" hidden="1">
      <c r="E36880" s="96"/>
    </row>
    <row r="36881" hidden="1">
      <c r="E36881" s="96"/>
    </row>
    <row r="36882" hidden="1">
      <c r="E36882" s="96"/>
    </row>
    <row r="36883" hidden="1">
      <c r="E36883" s="96"/>
    </row>
    <row r="36884" hidden="1">
      <c r="E36884" s="96"/>
    </row>
    <row r="36885" hidden="1">
      <c r="E36885" s="96"/>
    </row>
    <row r="36886" hidden="1">
      <c r="E36886" s="96"/>
    </row>
    <row r="36887" hidden="1">
      <c r="E36887" s="96"/>
    </row>
    <row r="36888" hidden="1">
      <c r="E36888" s="96"/>
    </row>
    <row r="36889" hidden="1">
      <c r="E36889" s="96"/>
    </row>
    <row r="36890" hidden="1">
      <c r="E36890" s="96"/>
    </row>
    <row r="36891" hidden="1">
      <c r="E36891" s="96"/>
    </row>
    <row r="36892" hidden="1">
      <c r="E36892" s="96"/>
    </row>
    <row r="36893" hidden="1">
      <c r="E36893" s="96"/>
    </row>
    <row r="36894" hidden="1">
      <c r="E36894" s="96"/>
    </row>
    <row r="36895" hidden="1">
      <c r="E36895" s="96"/>
    </row>
    <row r="36896" hidden="1">
      <c r="E36896" s="96"/>
    </row>
    <row r="36897" hidden="1">
      <c r="E36897" s="96"/>
    </row>
    <row r="36898" hidden="1">
      <c r="E36898" s="96"/>
    </row>
    <row r="36899" hidden="1">
      <c r="E36899" s="96"/>
    </row>
    <row r="36900" hidden="1">
      <c r="E36900" s="96"/>
    </row>
    <row r="36901" hidden="1">
      <c r="E36901" s="96"/>
    </row>
    <row r="36902" hidden="1">
      <c r="E36902" s="96"/>
    </row>
    <row r="36903" hidden="1">
      <c r="E36903" s="96"/>
    </row>
    <row r="36904" hidden="1">
      <c r="E36904" s="96"/>
    </row>
    <row r="36905" hidden="1">
      <c r="E36905" s="96"/>
    </row>
    <row r="36906" hidden="1">
      <c r="E36906" s="96"/>
    </row>
    <row r="36907" hidden="1">
      <c r="E36907" s="96"/>
    </row>
    <row r="36908" hidden="1">
      <c r="E36908" s="96"/>
    </row>
    <row r="36909" hidden="1">
      <c r="E36909" s="96"/>
    </row>
    <row r="36910" hidden="1">
      <c r="E36910" s="96"/>
    </row>
    <row r="36911" hidden="1">
      <c r="E36911" s="96"/>
    </row>
    <row r="36912" hidden="1">
      <c r="E36912" s="96"/>
    </row>
    <row r="36913" hidden="1">
      <c r="E36913" s="96"/>
    </row>
    <row r="36914" hidden="1">
      <c r="E36914" s="96"/>
    </row>
    <row r="36915" hidden="1">
      <c r="E36915" s="96"/>
    </row>
    <row r="36916" hidden="1">
      <c r="E36916" s="96"/>
    </row>
    <row r="36917" hidden="1">
      <c r="E36917" s="96"/>
    </row>
    <row r="36918" hidden="1">
      <c r="E36918" s="96"/>
    </row>
    <row r="36919" hidden="1">
      <c r="E36919" s="96"/>
    </row>
    <row r="36920" hidden="1">
      <c r="E36920" s="96"/>
    </row>
    <row r="36921" hidden="1">
      <c r="E36921" s="96"/>
    </row>
    <row r="36922" hidden="1">
      <c r="E36922" s="96"/>
    </row>
    <row r="36923" hidden="1">
      <c r="E36923" s="96"/>
    </row>
    <row r="36924" hidden="1">
      <c r="E36924" s="96"/>
    </row>
    <row r="36925" hidden="1">
      <c r="E36925" s="96"/>
    </row>
    <row r="36926" hidden="1">
      <c r="E36926" s="96"/>
    </row>
    <row r="36927" hidden="1">
      <c r="E36927" s="96"/>
    </row>
    <row r="36928" hidden="1">
      <c r="E36928" s="96"/>
    </row>
    <row r="36929" hidden="1">
      <c r="E36929" s="96"/>
    </row>
    <row r="36930" hidden="1">
      <c r="E36930" s="96"/>
    </row>
    <row r="36931" hidden="1">
      <c r="E36931" s="96"/>
    </row>
    <row r="36932" hidden="1">
      <c r="E36932" s="96"/>
    </row>
    <row r="36933" hidden="1">
      <c r="E36933" s="96"/>
    </row>
    <row r="36934" hidden="1">
      <c r="E36934" s="96"/>
    </row>
    <row r="36935" hidden="1">
      <c r="E36935" s="96"/>
    </row>
    <row r="36936" hidden="1">
      <c r="E36936" s="96"/>
    </row>
    <row r="36937" hidden="1">
      <c r="E36937" s="96"/>
    </row>
    <row r="36938" hidden="1">
      <c r="E36938" s="96"/>
    </row>
    <row r="36939" hidden="1">
      <c r="E36939" s="96"/>
    </row>
    <row r="36940" hidden="1">
      <c r="E36940" s="96"/>
    </row>
    <row r="36941" hidden="1">
      <c r="E36941" s="96"/>
    </row>
    <row r="36942" hidden="1">
      <c r="E36942" s="96"/>
    </row>
    <row r="36943" hidden="1">
      <c r="E36943" s="96"/>
    </row>
    <row r="36944" hidden="1">
      <c r="E36944" s="96"/>
    </row>
    <row r="36945" hidden="1">
      <c r="E36945" s="96"/>
    </row>
    <row r="36946" hidden="1">
      <c r="E36946" s="96"/>
    </row>
    <row r="36947" hidden="1">
      <c r="E36947" s="96"/>
    </row>
    <row r="36948" hidden="1">
      <c r="E36948" s="96"/>
    </row>
    <row r="36949" hidden="1">
      <c r="E36949" s="96"/>
    </row>
    <row r="36950" hidden="1">
      <c r="E36950" s="96"/>
    </row>
    <row r="36951" hidden="1">
      <c r="E36951" s="96"/>
    </row>
    <row r="36952" hidden="1">
      <c r="E36952" s="96"/>
    </row>
    <row r="36953" hidden="1">
      <c r="E36953" s="96"/>
    </row>
    <row r="36954" hidden="1">
      <c r="E36954" s="96"/>
    </row>
    <row r="36955" hidden="1">
      <c r="E36955" s="96"/>
    </row>
    <row r="36956" hidden="1">
      <c r="E36956" s="96"/>
    </row>
    <row r="36957" hidden="1">
      <c r="E36957" s="96"/>
    </row>
    <row r="36958" hidden="1">
      <c r="E36958" s="96"/>
    </row>
    <row r="36959" hidden="1">
      <c r="E36959" s="96"/>
    </row>
    <row r="36960" hidden="1">
      <c r="E36960" s="96"/>
    </row>
    <row r="36961" hidden="1">
      <c r="E36961" s="96"/>
    </row>
    <row r="36962" hidden="1">
      <c r="E36962" s="96"/>
    </row>
    <row r="36963" hidden="1">
      <c r="E36963" s="96"/>
    </row>
    <row r="36964" hidden="1">
      <c r="E36964" s="96"/>
    </row>
    <row r="36965" hidden="1">
      <c r="E36965" s="96"/>
    </row>
    <row r="36966" hidden="1">
      <c r="E36966" s="96"/>
    </row>
    <row r="36967" hidden="1">
      <c r="E36967" s="96"/>
    </row>
    <row r="36968" hidden="1">
      <c r="E36968" s="96"/>
    </row>
    <row r="36969" hidden="1">
      <c r="E36969" s="96"/>
    </row>
    <row r="36970" hidden="1">
      <c r="E36970" s="96"/>
    </row>
    <row r="36971" hidden="1">
      <c r="E36971" s="96"/>
    </row>
    <row r="36972" hidden="1">
      <c r="E36972" s="96"/>
    </row>
    <row r="36973" hidden="1">
      <c r="E36973" s="96"/>
    </row>
    <row r="36974" hidden="1">
      <c r="E36974" s="96"/>
    </row>
    <row r="36975" hidden="1">
      <c r="E36975" s="96"/>
    </row>
    <row r="36976" hidden="1">
      <c r="E36976" s="96"/>
    </row>
    <row r="36977" hidden="1">
      <c r="E36977" s="96"/>
    </row>
    <row r="36978" hidden="1">
      <c r="E36978" s="96"/>
    </row>
    <row r="36979" hidden="1">
      <c r="E36979" s="96"/>
    </row>
    <row r="36980" hidden="1">
      <c r="E36980" s="96"/>
    </row>
    <row r="36981" hidden="1">
      <c r="E36981" s="96"/>
    </row>
    <row r="36982" hidden="1">
      <c r="E36982" s="96"/>
    </row>
    <row r="36983" hidden="1">
      <c r="E36983" s="96"/>
    </row>
    <row r="36984" hidden="1">
      <c r="E36984" s="96"/>
    </row>
    <row r="36985" hidden="1">
      <c r="E36985" s="96"/>
    </row>
    <row r="36986" hidden="1">
      <c r="E36986" s="96"/>
    </row>
    <row r="36987" hidden="1">
      <c r="E36987" s="96"/>
    </row>
    <row r="36988" hidden="1">
      <c r="E36988" s="96"/>
    </row>
    <row r="36989" hidden="1">
      <c r="E36989" s="96"/>
    </row>
    <row r="36990" hidden="1">
      <c r="E36990" s="96"/>
    </row>
    <row r="36991" hidden="1">
      <c r="E36991" s="96"/>
    </row>
    <row r="36992" hidden="1">
      <c r="E36992" s="96"/>
    </row>
    <row r="36993" hidden="1">
      <c r="E36993" s="96"/>
    </row>
    <row r="36994" hidden="1">
      <c r="E36994" s="96"/>
    </row>
    <row r="36995" hidden="1">
      <c r="E36995" s="96"/>
    </row>
    <row r="36996" hidden="1">
      <c r="E36996" s="96"/>
    </row>
    <row r="36997" hidden="1">
      <c r="E36997" s="96"/>
    </row>
    <row r="36998" hidden="1">
      <c r="E36998" s="96"/>
    </row>
    <row r="36999" hidden="1">
      <c r="E36999" s="96"/>
    </row>
    <row r="37000" hidden="1">
      <c r="E37000" s="96"/>
    </row>
    <row r="37001" hidden="1">
      <c r="E37001" s="96"/>
    </row>
    <row r="37002" hidden="1">
      <c r="E37002" s="96"/>
    </row>
    <row r="37003" hidden="1">
      <c r="E37003" s="96"/>
    </row>
    <row r="37004" hidden="1">
      <c r="E37004" s="96"/>
    </row>
    <row r="37005" hidden="1">
      <c r="E37005" s="96"/>
    </row>
    <row r="37006" hidden="1">
      <c r="E37006" s="96"/>
    </row>
    <row r="37007" hidden="1">
      <c r="E37007" s="96"/>
    </row>
    <row r="37008" hidden="1">
      <c r="E37008" s="96"/>
    </row>
    <row r="37009" hidden="1">
      <c r="E37009" s="96"/>
    </row>
    <row r="37010" hidden="1">
      <c r="E37010" s="96"/>
    </row>
    <row r="37011" hidden="1">
      <c r="E37011" s="96"/>
    </row>
    <row r="37012" hidden="1">
      <c r="E37012" s="96"/>
    </row>
    <row r="37013" hidden="1">
      <c r="E37013" s="96"/>
    </row>
    <row r="37014" hidden="1">
      <c r="E37014" s="96"/>
    </row>
    <row r="37015" hidden="1">
      <c r="E37015" s="96"/>
    </row>
    <row r="37016" hidden="1">
      <c r="E37016" s="96"/>
    </row>
    <row r="37017" hidden="1">
      <c r="E37017" s="96"/>
    </row>
    <row r="37018" hidden="1">
      <c r="E37018" s="96"/>
    </row>
    <row r="37019" hidden="1">
      <c r="E37019" s="96"/>
    </row>
    <row r="37020" hidden="1">
      <c r="E37020" s="96"/>
    </row>
    <row r="37021" hidden="1">
      <c r="E37021" s="96"/>
    </row>
    <row r="37022" hidden="1">
      <c r="E37022" s="96"/>
    </row>
    <row r="37023" hidden="1">
      <c r="E37023" s="96"/>
    </row>
    <row r="37024" hidden="1">
      <c r="E37024" s="96"/>
    </row>
    <row r="37025" hidden="1">
      <c r="E37025" s="96"/>
    </row>
    <row r="37026" hidden="1">
      <c r="E37026" s="96"/>
    </row>
    <row r="37027" hidden="1">
      <c r="E37027" s="96"/>
    </row>
    <row r="37028" hidden="1">
      <c r="E37028" s="96"/>
    </row>
    <row r="37029" hidden="1">
      <c r="E37029" s="96"/>
    </row>
    <row r="37030" hidden="1">
      <c r="E37030" s="96"/>
    </row>
    <row r="37031" hidden="1">
      <c r="E37031" s="96"/>
    </row>
    <row r="37032" hidden="1">
      <c r="E37032" s="96"/>
    </row>
    <row r="37033" hidden="1">
      <c r="E37033" s="96"/>
    </row>
    <row r="37034" hidden="1">
      <c r="E37034" s="96"/>
    </row>
    <row r="37035" hidden="1">
      <c r="E37035" s="96"/>
    </row>
    <row r="37036" hidden="1">
      <c r="E37036" s="96"/>
    </row>
    <row r="37037" hidden="1">
      <c r="E37037" s="96"/>
    </row>
    <row r="37038" hidden="1">
      <c r="E37038" s="96"/>
    </row>
    <row r="37039" hidden="1">
      <c r="E37039" s="96"/>
    </row>
    <row r="37040" hidden="1">
      <c r="E37040" s="96"/>
    </row>
    <row r="37041" hidden="1">
      <c r="E37041" s="96"/>
    </row>
    <row r="37042" hidden="1">
      <c r="E37042" s="96"/>
    </row>
    <row r="37043" hidden="1">
      <c r="E37043" s="96"/>
    </row>
    <row r="37044" hidden="1">
      <c r="E37044" s="96"/>
    </row>
    <row r="37045" hidden="1">
      <c r="E37045" s="96"/>
    </row>
    <row r="37046" hidden="1">
      <c r="E37046" s="96"/>
    </row>
    <row r="37047" hidden="1">
      <c r="E37047" s="96"/>
    </row>
    <row r="37048" hidden="1">
      <c r="E37048" s="96"/>
    </row>
    <row r="37049" hidden="1">
      <c r="E37049" s="96"/>
    </row>
    <row r="37050" hidden="1">
      <c r="E37050" s="96"/>
    </row>
    <row r="37051" hidden="1">
      <c r="E37051" s="96"/>
    </row>
    <row r="37052" hidden="1">
      <c r="E37052" s="96"/>
    </row>
    <row r="37053" hidden="1">
      <c r="E37053" s="96"/>
    </row>
    <row r="37054" hidden="1">
      <c r="E37054" s="96"/>
    </row>
    <row r="37055" hidden="1">
      <c r="E37055" s="96"/>
    </row>
    <row r="37056" hidden="1">
      <c r="E37056" s="96"/>
    </row>
    <row r="37057" hidden="1">
      <c r="E37057" s="96"/>
    </row>
    <row r="37058" hidden="1">
      <c r="E37058" s="96"/>
    </row>
    <row r="37059" hidden="1">
      <c r="E37059" s="96"/>
    </row>
    <row r="37060" hidden="1">
      <c r="E37060" s="96"/>
    </row>
    <row r="37061" hidden="1">
      <c r="E37061" s="96"/>
    </row>
    <row r="37062" hidden="1">
      <c r="E37062" s="96"/>
    </row>
    <row r="37063" hidden="1">
      <c r="E37063" s="96"/>
    </row>
    <row r="37064" hidden="1">
      <c r="E37064" s="96"/>
    </row>
    <row r="37065" hidden="1">
      <c r="E37065" s="96"/>
    </row>
    <row r="37066" hidden="1">
      <c r="E37066" s="96"/>
    </row>
    <row r="37067" hidden="1">
      <c r="E37067" s="96"/>
    </row>
    <row r="37068" hidden="1">
      <c r="E37068" s="96"/>
    </row>
    <row r="37069" hidden="1">
      <c r="E37069" s="96"/>
    </row>
    <row r="37070" hidden="1">
      <c r="E37070" s="96"/>
    </row>
    <row r="37071" hidden="1">
      <c r="E37071" s="96"/>
    </row>
    <row r="37072" hidden="1">
      <c r="E37072" s="96"/>
    </row>
    <row r="37073" hidden="1">
      <c r="E37073" s="96"/>
    </row>
    <row r="37074" hidden="1">
      <c r="E37074" s="96"/>
    </row>
    <row r="37075" hidden="1">
      <c r="E37075" s="96"/>
    </row>
    <row r="37076" hidden="1">
      <c r="E37076" s="96"/>
    </row>
    <row r="37077" hidden="1">
      <c r="E37077" s="96"/>
    </row>
    <row r="37078" hidden="1">
      <c r="E37078" s="96"/>
    </row>
    <row r="37079" hidden="1">
      <c r="E37079" s="96"/>
    </row>
    <row r="37080" hidden="1">
      <c r="E37080" s="96"/>
    </row>
    <row r="37081" hidden="1">
      <c r="E37081" s="96"/>
    </row>
    <row r="37082" hidden="1">
      <c r="E37082" s="96"/>
    </row>
    <row r="37083" hidden="1">
      <c r="E37083" s="96"/>
    </row>
    <row r="37084" hidden="1">
      <c r="E37084" s="96"/>
    </row>
    <row r="37085" hidden="1">
      <c r="E37085" s="96"/>
    </row>
    <row r="37086" hidden="1">
      <c r="E37086" s="96"/>
    </row>
    <row r="37087" hidden="1">
      <c r="E37087" s="96"/>
    </row>
    <row r="37088" hidden="1">
      <c r="E37088" s="96"/>
    </row>
    <row r="37089" hidden="1">
      <c r="E37089" s="96"/>
    </row>
    <row r="37090" hidden="1">
      <c r="E37090" s="96"/>
    </row>
    <row r="37091" hidden="1">
      <c r="E37091" s="96"/>
    </row>
    <row r="37092" hidden="1">
      <c r="E37092" s="96"/>
    </row>
    <row r="37093" hidden="1">
      <c r="E37093" s="96"/>
    </row>
    <row r="37094" hidden="1">
      <c r="E37094" s="96"/>
    </row>
    <row r="37095" hidden="1">
      <c r="E37095" s="96"/>
    </row>
    <row r="37096" hidden="1">
      <c r="E37096" s="96"/>
    </row>
    <row r="37097" hidden="1">
      <c r="E37097" s="96"/>
    </row>
    <row r="37098" hidden="1">
      <c r="E37098" s="96"/>
    </row>
    <row r="37099" hidden="1">
      <c r="E37099" s="96"/>
    </row>
    <row r="37100" hidden="1">
      <c r="E37100" s="96"/>
    </row>
    <row r="37101" hidden="1">
      <c r="E37101" s="96"/>
    </row>
    <row r="37102" hidden="1">
      <c r="E37102" s="96"/>
    </row>
    <row r="37103" hidden="1">
      <c r="E37103" s="96"/>
    </row>
    <row r="37104" hidden="1">
      <c r="E37104" s="96"/>
    </row>
    <row r="37105" hidden="1">
      <c r="E37105" s="96"/>
    </row>
    <row r="37106" hidden="1">
      <c r="E37106" s="96"/>
    </row>
    <row r="37107" hidden="1">
      <c r="E37107" s="96"/>
    </row>
    <row r="37108" hidden="1">
      <c r="E37108" s="96"/>
    </row>
    <row r="37109" hidden="1">
      <c r="E37109" s="96"/>
    </row>
    <row r="37110" hidden="1">
      <c r="E37110" s="96"/>
    </row>
    <row r="37111" hidden="1">
      <c r="E37111" s="96"/>
    </row>
    <row r="37112" hidden="1">
      <c r="E37112" s="96"/>
    </row>
    <row r="37113" hidden="1">
      <c r="E37113" s="96"/>
    </row>
    <row r="37114" hidden="1">
      <c r="E37114" s="96"/>
    </row>
    <row r="37115" hidden="1">
      <c r="E37115" s="96"/>
    </row>
    <row r="37116" hidden="1">
      <c r="E37116" s="96"/>
    </row>
    <row r="37117" hidden="1">
      <c r="E37117" s="96"/>
    </row>
    <row r="37118" hidden="1">
      <c r="E37118" s="96"/>
    </row>
    <row r="37119" hidden="1">
      <c r="E37119" s="96"/>
    </row>
    <row r="37120" hidden="1">
      <c r="E37120" s="96"/>
    </row>
    <row r="37121" hidden="1">
      <c r="E37121" s="96"/>
    </row>
    <row r="37122" hidden="1">
      <c r="E37122" s="96"/>
    </row>
    <row r="37123" hidden="1">
      <c r="E37123" s="96"/>
    </row>
    <row r="37124" hidden="1">
      <c r="E37124" s="96"/>
    </row>
    <row r="37125" hidden="1">
      <c r="E37125" s="96"/>
    </row>
    <row r="37126" hidden="1">
      <c r="E37126" s="96"/>
    </row>
    <row r="37127" hidden="1">
      <c r="E37127" s="96"/>
    </row>
    <row r="37128" hidden="1">
      <c r="E37128" s="96"/>
    </row>
    <row r="37129" hidden="1">
      <c r="E37129" s="96"/>
    </row>
    <row r="37130" hidden="1">
      <c r="E37130" s="96"/>
    </row>
    <row r="37131" hidden="1">
      <c r="E37131" s="96"/>
    </row>
    <row r="37132" hidden="1">
      <c r="E37132" s="96"/>
    </row>
    <row r="37133" hidden="1">
      <c r="E37133" s="96"/>
    </row>
    <row r="37134" hidden="1">
      <c r="E37134" s="96"/>
    </row>
    <row r="37135" hidden="1">
      <c r="E37135" s="96"/>
    </row>
    <row r="37136" hidden="1">
      <c r="E37136" s="96"/>
    </row>
    <row r="37137" hidden="1">
      <c r="E37137" s="96"/>
    </row>
    <row r="37138" hidden="1">
      <c r="E37138" s="96"/>
    </row>
    <row r="37139" hidden="1">
      <c r="E37139" s="96"/>
    </row>
    <row r="37140" hidden="1">
      <c r="E37140" s="96"/>
    </row>
    <row r="37141" hidden="1">
      <c r="E37141" s="96"/>
    </row>
    <row r="37142" hidden="1">
      <c r="E37142" s="96"/>
    </row>
    <row r="37143" hidden="1">
      <c r="E37143" s="96"/>
    </row>
    <row r="37144" hidden="1">
      <c r="E37144" s="96"/>
    </row>
    <row r="37145" hidden="1">
      <c r="E37145" s="96"/>
    </row>
    <row r="37146" hidden="1">
      <c r="E37146" s="96"/>
    </row>
    <row r="37147" hidden="1">
      <c r="E37147" s="96"/>
    </row>
    <row r="37148" hidden="1">
      <c r="E37148" s="96"/>
    </row>
    <row r="37149" hidden="1">
      <c r="E37149" s="96"/>
    </row>
    <row r="37150" hidden="1">
      <c r="E37150" s="96"/>
    </row>
    <row r="37151" hidden="1">
      <c r="E37151" s="96"/>
    </row>
    <row r="37152" hidden="1">
      <c r="E37152" s="96"/>
    </row>
    <row r="37153" hidden="1">
      <c r="E37153" s="96"/>
    </row>
    <row r="37154" hidden="1">
      <c r="E37154" s="96"/>
    </row>
    <row r="37155" hidden="1">
      <c r="E37155" s="96"/>
    </row>
    <row r="37156" hidden="1">
      <c r="E37156" s="96"/>
    </row>
    <row r="37157" hidden="1">
      <c r="E37157" s="96"/>
    </row>
    <row r="37158" hidden="1">
      <c r="E37158" s="96"/>
    </row>
    <row r="37159" hidden="1">
      <c r="E37159" s="96"/>
    </row>
    <row r="37160" hidden="1">
      <c r="E37160" s="96"/>
    </row>
    <row r="37161" hidden="1">
      <c r="E37161" s="96"/>
    </row>
    <row r="37162" hidden="1">
      <c r="E37162" s="96"/>
    </row>
    <row r="37163" hidden="1">
      <c r="E37163" s="96"/>
    </row>
    <row r="37164" hidden="1">
      <c r="E37164" s="96"/>
    </row>
    <row r="37165" hidden="1">
      <c r="E37165" s="96"/>
    </row>
    <row r="37166" hidden="1">
      <c r="E37166" s="96"/>
    </row>
    <row r="37167" hidden="1">
      <c r="E37167" s="96"/>
    </row>
    <row r="37168" hidden="1">
      <c r="E37168" s="96"/>
    </row>
    <row r="37169" hidden="1">
      <c r="E37169" s="96"/>
    </row>
    <row r="37170" hidden="1">
      <c r="E37170" s="96"/>
    </row>
    <row r="37171" hidden="1">
      <c r="E37171" s="96"/>
    </row>
    <row r="37172" hidden="1">
      <c r="E37172" s="96"/>
    </row>
    <row r="37173" hidden="1">
      <c r="E37173" s="96"/>
    </row>
    <row r="37174" hidden="1">
      <c r="E37174" s="96"/>
    </row>
    <row r="37175" hidden="1">
      <c r="E37175" s="96"/>
    </row>
    <row r="37176" hidden="1">
      <c r="E37176" s="96"/>
    </row>
    <row r="37177" hidden="1">
      <c r="E37177" s="96"/>
    </row>
    <row r="37178" hidden="1">
      <c r="E37178" s="96"/>
    </row>
    <row r="37179" hidden="1">
      <c r="E37179" s="96"/>
    </row>
    <row r="37180" hidden="1">
      <c r="E37180" s="96"/>
    </row>
    <row r="37181" hidden="1">
      <c r="E37181" s="96"/>
    </row>
    <row r="37182" hidden="1">
      <c r="E37182" s="96"/>
    </row>
    <row r="37183" hidden="1">
      <c r="E37183" s="96"/>
    </row>
    <row r="37184" hidden="1">
      <c r="E37184" s="96"/>
    </row>
    <row r="37185" hidden="1">
      <c r="E37185" s="96"/>
    </row>
    <row r="37186" hidden="1">
      <c r="E37186" s="96"/>
    </row>
    <row r="37187" hidden="1">
      <c r="E37187" s="96"/>
    </row>
    <row r="37188" hidden="1">
      <c r="E37188" s="96"/>
    </row>
    <row r="37189" hidden="1">
      <c r="E37189" s="96"/>
    </row>
    <row r="37190" hidden="1">
      <c r="E37190" s="96"/>
    </row>
    <row r="37191" hidden="1">
      <c r="E37191" s="96"/>
    </row>
    <row r="37192" hidden="1">
      <c r="E37192" s="96"/>
    </row>
    <row r="37193" hidden="1">
      <c r="E37193" s="96"/>
    </row>
    <row r="37194" hidden="1">
      <c r="E37194" s="96"/>
    </row>
    <row r="37195" hidden="1">
      <c r="E37195" s="96"/>
    </row>
    <row r="37196" hidden="1">
      <c r="E37196" s="96"/>
    </row>
    <row r="37197" hidden="1">
      <c r="E37197" s="96"/>
    </row>
    <row r="37198" hidden="1">
      <c r="E37198" s="96"/>
    </row>
    <row r="37199" hidden="1">
      <c r="E37199" s="96"/>
    </row>
    <row r="37200" hidden="1">
      <c r="E37200" s="96"/>
    </row>
    <row r="37201" hidden="1">
      <c r="E37201" s="96"/>
    </row>
    <row r="37202" hidden="1">
      <c r="E37202" s="96"/>
    </row>
    <row r="37203" hidden="1">
      <c r="E37203" s="96"/>
    </row>
    <row r="37204" hidden="1">
      <c r="E37204" s="96"/>
    </row>
    <row r="37205" hidden="1">
      <c r="E37205" s="96"/>
    </row>
    <row r="37206" hidden="1">
      <c r="E37206" s="96"/>
    </row>
    <row r="37207" hidden="1">
      <c r="E37207" s="96"/>
    </row>
    <row r="37208" hidden="1">
      <c r="E37208" s="96"/>
    </row>
    <row r="37209" hidden="1">
      <c r="E37209" s="96"/>
    </row>
    <row r="37210" hidden="1">
      <c r="E37210" s="96"/>
    </row>
    <row r="37211" hidden="1">
      <c r="E37211" s="96"/>
    </row>
    <row r="37212" hidden="1">
      <c r="E37212" s="96"/>
    </row>
    <row r="37213" hidden="1">
      <c r="E37213" s="96"/>
    </row>
    <row r="37214" hidden="1">
      <c r="E37214" s="96"/>
    </row>
    <row r="37215" hidden="1">
      <c r="E37215" s="96"/>
    </row>
    <row r="37216" hidden="1">
      <c r="E37216" s="96"/>
    </row>
    <row r="37217" hidden="1">
      <c r="E37217" s="96"/>
    </row>
    <row r="37218" hidden="1">
      <c r="E37218" s="96"/>
    </row>
    <row r="37219" hidden="1">
      <c r="E37219" s="96"/>
    </row>
    <row r="37220" hidden="1">
      <c r="E37220" s="96"/>
    </row>
    <row r="37221" hidden="1">
      <c r="E37221" s="96"/>
    </row>
    <row r="37222" hidden="1">
      <c r="E37222" s="96"/>
    </row>
    <row r="37223" hidden="1">
      <c r="E37223" s="96"/>
    </row>
    <row r="37224" hidden="1">
      <c r="E37224" s="96"/>
    </row>
    <row r="37225" hidden="1">
      <c r="E37225" s="96"/>
    </row>
    <row r="37226" hidden="1">
      <c r="E37226" s="96"/>
    </row>
    <row r="37227" hidden="1">
      <c r="E37227" s="96"/>
    </row>
    <row r="37228" hidden="1">
      <c r="E37228" s="96"/>
    </row>
    <row r="37229" hidden="1">
      <c r="E37229" s="96"/>
    </row>
    <row r="37230" hidden="1">
      <c r="E37230" s="96"/>
    </row>
    <row r="37231" hidden="1">
      <c r="E37231" s="96"/>
    </row>
    <row r="37232" hidden="1">
      <c r="E37232" s="96"/>
    </row>
    <row r="37233" hidden="1">
      <c r="E37233" s="96"/>
    </row>
    <row r="37234" hidden="1">
      <c r="E37234" s="96"/>
    </row>
    <row r="37235" hidden="1">
      <c r="E37235" s="96"/>
    </row>
    <row r="37236" hidden="1">
      <c r="E37236" s="96"/>
    </row>
    <row r="37237" hidden="1">
      <c r="E37237" s="96"/>
    </row>
    <row r="37238" hidden="1">
      <c r="E37238" s="96"/>
    </row>
    <row r="37239" hidden="1">
      <c r="E37239" s="96"/>
    </row>
    <row r="37240" hidden="1">
      <c r="E37240" s="96"/>
    </row>
    <row r="37241" hidden="1">
      <c r="E37241" s="96"/>
    </row>
    <row r="37242" hidden="1">
      <c r="E37242" s="96"/>
    </row>
    <row r="37243" hidden="1">
      <c r="E37243" s="96"/>
    </row>
    <row r="37244" hidden="1">
      <c r="E37244" s="96"/>
    </row>
    <row r="37245" hidden="1">
      <c r="E37245" s="96"/>
    </row>
    <row r="37246" hidden="1">
      <c r="E37246" s="96"/>
    </row>
    <row r="37247" hidden="1">
      <c r="E37247" s="96"/>
    </row>
    <row r="37248" hidden="1">
      <c r="E37248" s="96"/>
    </row>
    <row r="37249" hidden="1">
      <c r="E37249" s="96"/>
    </row>
    <row r="37250" hidden="1">
      <c r="E37250" s="96"/>
    </row>
    <row r="37251" hidden="1">
      <c r="E37251" s="96"/>
    </row>
    <row r="37252" hidden="1">
      <c r="E37252" s="96"/>
    </row>
    <row r="37253" hidden="1">
      <c r="E37253" s="96"/>
    </row>
    <row r="37254" hidden="1">
      <c r="E37254" s="96"/>
    </row>
    <row r="37255" hidden="1">
      <c r="E37255" s="96"/>
    </row>
    <row r="37256" hidden="1">
      <c r="E37256" s="96"/>
    </row>
    <row r="37257" hidden="1">
      <c r="E37257" s="96"/>
    </row>
    <row r="37258" hidden="1">
      <c r="E37258" s="96"/>
    </row>
    <row r="37259" hidden="1">
      <c r="E37259" s="96"/>
    </row>
    <row r="37260" hidden="1">
      <c r="E37260" s="96"/>
    </row>
    <row r="37261" hidden="1">
      <c r="E37261" s="96"/>
    </row>
    <row r="37262" hidden="1">
      <c r="E37262" s="96"/>
    </row>
    <row r="37263" hidden="1">
      <c r="E37263" s="96"/>
    </row>
    <row r="37264" hidden="1">
      <c r="E37264" s="96"/>
    </row>
    <row r="37265" hidden="1">
      <c r="E37265" s="96"/>
    </row>
    <row r="37266" hidden="1">
      <c r="E37266" s="96"/>
    </row>
    <row r="37267" hidden="1">
      <c r="E37267" s="96"/>
    </row>
    <row r="37268" hidden="1">
      <c r="E37268" s="96"/>
    </row>
    <row r="37269" hidden="1">
      <c r="E37269" s="96"/>
    </row>
    <row r="37270" hidden="1">
      <c r="E37270" s="96"/>
    </row>
    <row r="37271" hidden="1">
      <c r="E37271" s="96"/>
    </row>
    <row r="37272" hidden="1">
      <c r="E37272" s="96"/>
    </row>
    <row r="37273" hidden="1">
      <c r="E37273" s="96"/>
    </row>
    <row r="37274" hidden="1">
      <c r="E37274" s="96"/>
    </row>
    <row r="37275" hidden="1">
      <c r="E37275" s="96"/>
    </row>
    <row r="37276" hidden="1">
      <c r="E37276" s="96"/>
    </row>
    <row r="37277" hidden="1">
      <c r="E37277" s="96"/>
    </row>
    <row r="37278" hidden="1">
      <c r="E37278" s="96"/>
    </row>
    <row r="37279" hidden="1">
      <c r="E37279" s="96"/>
    </row>
    <row r="37280" hidden="1">
      <c r="E37280" s="96"/>
    </row>
    <row r="37281" hidden="1">
      <c r="E37281" s="96"/>
    </row>
    <row r="37282" hidden="1">
      <c r="E37282" s="96"/>
    </row>
    <row r="37283" hidden="1">
      <c r="E37283" s="96"/>
    </row>
    <row r="37284" hidden="1">
      <c r="E37284" s="96"/>
    </row>
    <row r="37285" hidden="1">
      <c r="E37285" s="96"/>
    </row>
    <row r="37286" hidden="1">
      <c r="E37286" s="96"/>
    </row>
    <row r="37287" hidden="1">
      <c r="E37287" s="96"/>
    </row>
    <row r="37288" hidden="1">
      <c r="E37288" s="96"/>
    </row>
    <row r="37289" hidden="1">
      <c r="E37289" s="96"/>
    </row>
    <row r="37290" hidden="1">
      <c r="E37290" s="96"/>
    </row>
    <row r="37291" hidden="1">
      <c r="E37291" s="96"/>
    </row>
    <row r="37292" hidden="1">
      <c r="E37292" s="96"/>
    </row>
    <row r="37293" hidden="1">
      <c r="E37293" s="96"/>
    </row>
    <row r="37294" hidden="1">
      <c r="E37294" s="96"/>
    </row>
    <row r="37295" hidden="1">
      <c r="E37295" s="96"/>
    </row>
    <row r="37296" hidden="1">
      <c r="E37296" s="96"/>
    </row>
    <row r="37297" hidden="1">
      <c r="E37297" s="96"/>
    </row>
    <row r="37298" hidden="1">
      <c r="E37298" s="96"/>
    </row>
    <row r="37299" hidden="1">
      <c r="E37299" s="96"/>
    </row>
    <row r="37300" hidden="1">
      <c r="E37300" s="96"/>
    </row>
    <row r="37301" hidden="1">
      <c r="E37301" s="96"/>
    </row>
    <row r="37302" hidden="1">
      <c r="E37302" s="96"/>
    </row>
    <row r="37303" hidden="1">
      <c r="E37303" s="96"/>
    </row>
    <row r="37304" hidden="1">
      <c r="E37304" s="96"/>
    </row>
    <row r="37305" hidden="1">
      <c r="E37305" s="96"/>
    </row>
    <row r="37306" hidden="1">
      <c r="E37306" s="96"/>
    </row>
    <row r="37307" hidden="1">
      <c r="E37307" s="96"/>
    </row>
    <row r="37308" hidden="1">
      <c r="E37308" s="96"/>
    </row>
    <row r="37309" hidden="1">
      <c r="E37309" s="96"/>
    </row>
    <row r="37310" hidden="1">
      <c r="E37310" s="96"/>
    </row>
    <row r="37311" hidden="1">
      <c r="E37311" s="96"/>
    </row>
    <row r="37312" hidden="1">
      <c r="E37312" s="96"/>
    </row>
    <row r="37313" hidden="1">
      <c r="E37313" s="96"/>
    </row>
    <row r="37314" hidden="1">
      <c r="E37314" s="96"/>
    </row>
    <row r="37315" hidden="1">
      <c r="E37315" s="96"/>
    </row>
    <row r="37316" hidden="1">
      <c r="E37316" s="96"/>
    </row>
    <row r="37317" hidden="1">
      <c r="E37317" s="96"/>
    </row>
    <row r="37318" hidden="1">
      <c r="E37318" s="96"/>
    </row>
    <row r="37319" hidden="1">
      <c r="E37319" s="96"/>
    </row>
    <row r="37320" hidden="1">
      <c r="E37320" s="96"/>
    </row>
    <row r="37321" hidden="1">
      <c r="E37321" s="96"/>
    </row>
    <row r="37322" hidden="1">
      <c r="E37322" s="96"/>
    </row>
    <row r="37323" hidden="1">
      <c r="E37323" s="96"/>
    </row>
    <row r="37324" hidden="1">
      <c r="E37324" s="96"/>
    </row>
    <row r="37325" hidden="1">
      <c r="E37325" s="96"/>
    </row>
    <row r="37326" hidden="1">
      <c r="E37326" s="96"/>
    </row>
    <row r="37327" hidden="1">
      <c r="E37327" s="96"/>
    </row>
    <row r="37328" hidden="1">
      <c r="E37328" s="96"/>
    </row>
    <row r="37329" hidden="1">
      <c r="E37329" s="96"/>
    </row>
    <row r="37330" hidden="1">
      <c r="E37330" s="96"/>
    </row>
    <row r="37331" hidden="1">
      <c r="E37331" s="96"/>
    </row>
    <row r="37332" hidden="1">
      <c r="E37332" s="96"/>
    </row>
    <row r="37333" hidden="1">
      <c r="E37333" s="96"/>
    </row>
    <row r="37334" hidden="1">
      <c r="E37334" s="96"/>
    </row>
    <row r="37335" hidden="1">
      <c r="E37335" s="96"/>
    </row>
    <row r="37336" hidden="1">
      <c r="E37336" s="96"/>
    </row>
    <row r="37337" hidden="1">
      <c r="E37337" s="96"/>
    </row>
    <row r="37338" hidden="1">
      <c r="E37338" s="96"/>
    </row>
    <row r="37339" hidden="1">
      <c r="E37339" s="96"/>
    </row>
    <row r="37340" hidden="1">
      <c r="E37340" s="96"/>
    </row>
    <row r="37341" hidden="1">
      <c r="E37341" s="96"/>
    </row>
    <row r="37342" hidden="1">
      <c r="E37342" s="96"/>
    </row>
    <row r="37343" hidden="1">
      <c r="E37343" s="96"/>
    </row>
    <row r="37344" hidden="1">
      <c r="E37344" s="96"/>
    </row>
    <row r="37345" hidden="1">
      <c r="E37345" s="96"/>
    </row>
    <row r="37346" hidden="1">
      <c r="E37346" s="96"/>
    </row>
    <row r="37347" hidden="1">
      <c r="E37347" s="96"/>
    </row>
    <row r="37348" hidden="1">
      <c r="E37348" s="96"/>
    </row>
    <row r="37349" hidden="1">
      <c r="E37349" s="96"/>
    </row>
    <row r="37350" hidden="1">
      <c r="E37350" s="96"/>
    </row>
    <row r="37351" hidden="1">
      <c r="E37351" s="96"/>
    </row>
    <row r="37352" hidden="1">
      <c r="E37352" s="96"/>
    </row>
    <row r="37353" hidden="1">
      <c r="E37353" s="96"/>
    </row>
    <row r="37354" hidden="1">
      <c r="E37354" s="96"/>
    </row>
    <row r="37355" hidden="1">
      <c r="E37355" s="96"/>
    </row>
    <row r="37356" hidden="1">
      <c r="E37356" s="96"/>
    </row>
    <row r="37357" hidden="1">
      <c r="E37357" s="96"/>
    </row>
    <row r="37358" hidden="1">
      <c r="E37358" s="96"/>
    </row>
    <row r="37359" hidden="1">
      <c r="E37359" s="96"/>
    </row>
    <row r="37360" hidden="1">
      <c r="E37360" s="96"/>
    </row>
    <row r="37361" hidden="1">
      <c r="E37361" s="96"/>
    </row>
    <row r="37362" hidden="1">
      <c r="E37362" s="96"/>
    </row>
    <row r="37363" hidden="1">
      <c r="E37363" s="96"/>
    </row>
    <row r="37364" hidden="1">
      <c r="E37364" s="96"/>
    </row>
    <row r="37365" hidden="1">
      <c r="E37365" s="96"/>
    </row>
    <row r="37366" hidden="1">
      <c r="E37366" s="96"/>
    </row>
    <row r="37367" hidden="1">
      <c r="E37367" s="96"/>
    </row>
    <row r="37368" hidden="1">
      <c r="E37368" s="96"/>
    </row>
    <row r="37369" hidden="1">
      <c r="E37369" s="96"/>
    </row>
    <row r="37370" hidden="1">
      <c r="E37370" s="96"/>
    </row>
    <row r="37371" hidden="1">
      <c r="E37371" s="96"/>
    </row>
    <row r="37372" hidden="1">
      <c r="E37372" s="96"/>
    </row>
    <row r="37373" hidden="1">
      <c r="E37373" s="96"/>
    </row>
    <row r="37374" hidden="1">
      <c r="E37374" s="96"/>
    </row>
    <row r="37375" hidden="1">
      <c r="E37375" s="96"/>
    </row>
    <row r="37376" hidden="1">
      <c r="E37376" s="96"/>
    </row>
    <row r="37377" hidden="1">
      <c r="E37377" s="96"/>
    </row>
    <row r="37378" hidden="1">
      <c r="E37378" s="96"/>
    </row>
    <row r="37379" hidden="1">
      <c r="E37379" s="96"/>
    </row>
    <row r="37380" hidden="1">
      <c r="E37380" s="96"/>
    </row>
    <row r="37381" hidden="1">
      <c r="E37381" s="96"/>
    </row>
    <row r="37382" hidden="1">
      <c r="E37382" s="96"/>
    </row>
    <row r="37383" hidden="1">
      <c r="E37383" s="96"/>
    </row>
    <row r="37384" hidden="1">
      <c r="E37384" s="96"/>
    </row>
    <row r="37385" hidden="1">
      <c r="E37385" s="96"/>
    </row>
    <row r="37386" hidden="1">
      <c r="E37386" s="96"/>
    </row>
    <row r="37387" hidden="1">
      <c r="E37387" s="96"/>
    </row>
    <row r="37388" hidden="1">
      <c r="E37388" s="96"/>
    </row>
    <row r="37389" hidden="1">
      <c r="E37389" s="96"/>
    </row>
    <row r="37390" hidden="1">
      <c r="E37390" s="96"/>
    </row>
    <row r="37391" hidden="1">
      <c r="E37391" s="96"/>
    </row>
    <row r="37392" hidden="1">
      <c r="E37392" s="96"/>
    </row>
    <row r="37393" hidden="1">
      <c r="E37393" s="96"/>
    </row>
    <row r="37394" hidden="1">
      <c r="E37394" s="96"/>
    </row>
    <row r="37395" hidden="1">
      <c r="E37395" s="96"/>
    </row>
    <row r="37396" hidden="1">
      <c r="E37396" s="96"/>
    </row>
    <row r="37397" hidden="1">
      <c r="E37397" s="96"/>
    </row>
    <row r="37398" hidden="1">
      <c r="E37398" s="96"/>
    </row>
    <row r="37399" hidden="1">
      <c r="E37399" s="96"/>
    </row>
    <row r="37400" hidden="1">
      <c r="E37400" s="96"/>
    </row>
    <row r="37401" hidden="1">
      <c r="E37401" s="96"/>
    </row>
    <row r="37402" hidden="1">
      <c r="E37402" s="96"/>
    </row>
    <row r="37403" hidden="1">
      <c r="E37403" s="96"/>
    </row>
    <row r="37404" hidden="1">
      <c r="E37404" s="96"/>
    </row>
    <row r="37405" hidden="1">
      <c r="E37405" s="96"/>
    </row>
    <row r="37406" hidden="1">
      <c r="E37406" s="96"/>
    </row>
    <row r="37407" hidden="1">
      <c r="E37407" s="96"/>
    </row>
    <row r="37408" hidden="1">
      <c r="E37408" s="96"/>
    </row>
    <row r="37409" hidden="1">
      <c r="E37409" s="96"/>
    </row>
    <row r="37410" hidden="1">
      <c r="E37410" s="96"/>
    </row>
    <row r="37411" hidden="1">
      <c r="E37411" s="96"/>
    </row>
    <row r="37412" hidden="1">
      <c r="E37412" s="96"/>
    </row>
    <row r="37413" hidden="1">
      <c r="E37413" s="96"/>
    </row>
    <row r="37414" hidden="1">
      <c r="E37414" s="96"/>
    </row>
    <row r="37415" hidden="1">
      <c r="E37415" s="96"/>
    </row>
    <row r="37416" hidden="1">
      <c r="E37416" s="96"/>
    </row>
    <row r="37417" hidden="1">
      <c r="E37417" s="96"/>
    </row>
    <row r="37418" hidden="1">
      <c r="E37418" s="96"/>
    </row>
    <row r="37419" hidden="1">
      <c r="E37419" s="96"/>
    </row>
    <row r="37420" hidden="1">
      <c r="E37420" s="96"/>
    </row>
    <row r="37421" hidden="1">
      <c r="E37421" s="96"/>
    </row>
    <row r="37422" hidden="1">
      <c r="E37422" s="96"/>
    </row>
    <row r="37423" hidden="1">
      <c r="E37423" s="96"/>
    </row>
    <row r="37424" hidden="1">
      <c r="E37424" s="96"/>
    </row>
    <row r="37425" hidden="1">
      <c r="E37425" s="96"/>
    </row>
    <row r="37426" hidden="1">
      <c r="E37426" s="96"/>
    </row>
    <row r="37427" hidden="1">
      <c r="E37427" s="96"/>
    </row>
    <row r="37428" hidden="1">
      <c r="E37428" s="96"/>
    </row>
    <row r="37429" hidden="1">
      <c r="E37429" s="96"/>
    </row>
    <row r="37430" hidden="1">
      <c r="E37430" s="96"/>
    </row>
    <row r="37431" hidden="1">
      <c r="E37431" s="96"/>
    </row>
    <row r="37432" hidden="1">
      <c r="E37432" s="96"/>
    </row>
    <row r="37433" hidden="1">
      <c r="E37433" s="96"/>
    </row>
    <row r="37434" hidden="1">
      <c r="E37434" s="96"/>
    </row>
    <row r="37435" hidden="1">
      <c r="E37435" s="96"/>
    </row>
    <row r="37436" hidden="1">
      <c r="E37436" s="96"/>
    </row>
    <row r="37437" hidden="1">
      <c r="E37437" s="96"/>
    </row>
    <row r="37438" hidden="1">
      <c r="E37438" s="96"/>
    </row>
    <row r="37439" hidden="1">
      <c r="E37439" s="96"/>
    </row>
    <row r="37440" hidden="1">
      <c r="E37440" s="96"/>
    </row>
    <row r="37441" hidden="1">
      <c r="E37441" s="96"/>
    </row>
    <row r="37442" hidden="1">
      <c r="E37442" s="96"/>
    </row>
    <row r="37443" hidden="1">
      <c r="E37443" s="96"/>
    </row>
    <row r="37444" hidden="1">
      <c r="E37444" s="96"/>
    </row>
    <row r="37445" hidden="1">
      <c r="E37445" s="96"/>
    </row>
    <row r="37446" hidden="1">
      <c r="E37446" s="96"/>
    </row>
    <row r="37447" hidden="1">
      <c r="E37447" s="96"/>
    </row>
    <row r="37448" hidden="1">
      <c r="E37448" s="96"/>
    </row>
    <row r="37449" hidden="1">
      <c r="E37449" s="96"/>
    </row>
    <row r="37450" hidden="1">
      <c r="E37450" s="96"/>
    </row>
    <row r="37451" hidden="1">
      <c r="E37451" s="96"/>
    </row>
    <row r="37452" hidden="1">
      <c r="E37452" s="96"/>
    </row>
    <row r="37453" hidden="1">
      <c r="E37453" s="96"/>
    </row>
    <row r="37454" hidden="1">
      <c r="E37454" s="96"/>
    </row>
    <row r="37455" hidden="1">
      <c r="E37455" s="96"/>
    </row>
    <row r="37456" hidden="1">
      <c r="E37456" s="96"/>
    </row>
    <row r="37457" hidden="1">
      <c r="E37457" s="96"/>
    </row>
    <row r="37458" hidden="1">
      <c r="E37458" s="96"/>
    </row>
    <row r="37459" hidden="1">
      <c r="E37459" s="96"/>
    </row>
    <row r="37460" hidden="1">
      <c r="E37460" s="96"/>
    </row>
    <row r="37461" hidden="1">
      <c r="E37461" s="96"/>
    </row>
    <row r="37462" hidden="1">
      <c r="E37462" s="96"/>
    </row>
    <row r="37463" hidden="1">
      <c r="E37463" s="96"/>
    </row>
    <row r="37464" hidden="1">
      <c r="E37464" s="96"/>
    </row>
    <row r="37465" hidden="1">
      <c r="E37465" s="96"/>
    </row>
    <row r="37466" hidden="1">
      <c r="E37466" s="96"/>
    </row>
    <row r="37467" hidden="1">
      <c r="E37467" s="96"/>
    </row>
    <row r="37468" hidden="1">
      <c r="E37468" s="96"/>
    </row>
    <row r="37469" hidden="1">
      <c r="E37469" s="96"/>
    </row>
    <row r="37470" hidden="1">
      <c r="E37470" s="96"/>
    </row>
    <row r="37471" hidden="1">
      <c r="E37471" s="96"/>
    </row>
    <row r="37472" hidden="1">
      <c r="E37472" s="96"/>
    </row>
    <row r="37473" hidden="1">
      <c r="E37473" s="96"/>
    </row>
    <row r="37474" hidden="1">
      <c r="E37474" s="96"/>
    </row>
    <row r="37475" hidden="1">
      <c r="E37475" s="96"/>
    </row>
    <row r="37476" hidden="1">
      <c r="E37476" s="96"/>
    </row>
    <row r="37477" hidden="1">
      <c r="E37477" s="96"/>
    </row>
    <row r="37478" hidden="1">
      <c r="E37478" s="96"/>
    </row>
    <row r="37479" hidden="1">
      <c r="E37479" s="96"/>
    </row>
    <row r="37480" hidden="1">
      <c r="E37480" s="96"/>
    </row>
    <row r="37481" hidden="1">
      <c r="E37481" s="96"/>
    </row>
    <row r="37482" hidden="1">
      <c r="E37482" s="96"/>
    </row>
    <row r="37483" hidden="1">
      <c r="E37483" s="96"/>
    </row>
    <row r="37484" hidden="1">
      <c r="E37484" s="96"/>
    </row>
    <row r="37485" hidden="1">
      <c r="E37485" s="96"/>
    </row>
    <row r="37486" hidden="1">
      <c r="E37486" s="96"/>
    </row>
    <row r="37487" hidden="1">
      <c r="E37487" s="96"/>
    </row>
    <row r="37488" hidden="1">
      <c r="E37488" s="96"/>
    </row>
    <row r="37489" hidden="1">
      <c r="E37489" s="96"/>
    </row>
    <row r="37490" hidden="1">
      <c r="E37490" s="96"/>
    </row>
    <row r="37491" hidden="1">
      <c r="E37491" s="96"/>
    </row>
    <row r="37492" hidden="1">
      <c r="E37492" s="96"/>
    </row>
    <row r="37493" hidden="1">
      <c r="E37493" s="96"/>
    </row>
    <row r="37494" hidden="1">
      <c r="E37494" s="96"/>
    </row>
    <row r="37495" hidden="1">
      <c r="E37495" s="96"/>
    </row>
    <row r="37496" hidden="1">
      <c r="E37496" s="96"/>
    </row>
    <row r="37497" hidden="1">
      <c r="E37497" s="96"/>
    </row>
    <row r="37498" hidden="1">
      <c r="E37498" s="96"/>
    </row>
    <row r="37499" hidden="1">
      <c r="E37499" s="96"/>
    </row>
    <row r="37500" hidden="1">
      <c r="E37500" s="96"/>
    </row>
    <row r="37501" hidden="1">
      <c r="E37501" s="96"/>
    </row>
    <row r="37502" hidden="1">
      <c r="E37502" s="96"/>
    </row>
    <row r="37503" hidden="1">
      <c r="E37503" s="96"/>
    </row>
    <row r="37504" hidden="1">
      <c r="E37504" s="96"/>
    </row>
    <row r="37505" hidden="1">
      <c r="E37505" s="96"/>
    </row>
    <row r="37506" hidden="1">
      <c r="E37506" s="96"/>
    </row>
    <row r="37507" hidden="1">
      <c r="E37507" s="96"/>
    </row>
    <row r="37508" hidden="1">
      <c r="E37508" s="96"/>
    </row>
    <row r="37509" hidden="1">
      <c r="E37509" s="96"/>
    </row>
    <row r="37510" hidden="1">
      <c r="E37510" s="96"/>
    </row>
    <row r="37511" hidden="1">
      <c r="E37511" s="96"/>
    </row>
    <row r="37512" hidden="1">
      <c r="E37512" s="96"/>
    </row>
    <row r="37513" hidden="1">
      <c r="E37513" s="96"/>
    </row>
    <row r="37514" hidden="1">
      <c r="E37514" s="96"/>
    </row>
    <row r="37515" hidden="1">
      <c r="E37515" s="96"/>
    </row>
    <row r="37516" hidden="1">
      <c r="E37516" s="96"/>
    </row>
    <row r="37517" hidden="1">
      <c r="E37517" s="96"/>
    </row>
    <row r="37518" hidden="1">
      <c r="E37518" s="96"/>
    </row>
    <row r="37519" hidden="1">
      <c r="E37519" s="96"/>
    </row>
    <row r="37520" hidden="1">
      <c r="E37520" s="96"/>
    </row>
    <row r="37521" hidden="1">
      <c r="E37521" s="96"/>
    </row>
    <row r="37522" hidden="1">
      <c r="E37522" s="96"/>
    </row>
    <row r="37523" hidden="1">
      <c r="E37523" s="96"/>
    </row>
    <row r="37524" hidden="1">
      <c r="E37524" s="96"/>
    </row>
    <row r="37525" hidden="1">
      <c r="E37525" s="96"/>
    </row>
    <row r="37526" hidden="1">
      <c r="E37526" s="96"/>
    </row>
    <row r="37527" hidden="1">
      <c r="E37527" s="96"/>
    </row>
    <row r="37528" hidden="1">
      <c r="E37528" s="96"/>
    </row>
    <row r="37529" hidden="1">
      <c r="E37529" s="96"/>
    </row>
    <row r="37530" hidden="1">
      <c r="E37530" s="96"/>
    </row>
    <row r="37531" hidden="1">
      <c r="E37531" s="96"/>
    </row>
    <row r="37532" hidden="1">
      <c r="E37532" s="96"/>
    </row>
    <row r="37533" hidden="1">
      <c r="E37533" s="96"/>
    </row>
    <row r="37534" hidden="1">
      <c r="E37534" s="96"/>
    </row>
    <row r="37535" hidden="1">
      <c r="E37535" s="96"/>
    </row>
    <row r="37536" hidden="1">
      <c r="E37536" s="96"/>
    </row>
    <row r="37537" hidden="1">
      <c r="E37537" s="96"/>
    </row>
    <row r="37538" hidden="1">
      <c r="E37538" s="96"/>
    </row>
    <row r="37539" hidden="1">
      <c r="E37539" s="96"/>
    </row>
    <row r="37540" hidden="1">
      <c r="E37540" s="96"/>
    </row>
    <row r="37541" hidden="1">
      <c r="E37541" s="96"/>
    </row>
    <row r="37542" hidden="1">
      <c r="E37542" s="96"/>
    </row>
    <row r="37543" hidden="1">
      <c r="E37543" s="96"/>
    </row>
    <row r="37544" hidden="1">
      <c r="E37544" s="96"/>
    </row>
    <row r="37545" hidden="1">
      <c r="E37545" s="96"/>
    </row>
    <row r="37546" hidden="1">
      <c r="E37546" s="96"/>
    </row>
    <row r="37547" hidden="1">
      <c r="E37547" s="96"/>
    </row>
    <row r="37548" hidden="1">
      <c r="E37548" s="96"/>
    </row>
    <row r="37549" hidden="1">
      <c r="E37549" s="96"/>
    </row>
    <row r="37550" hidden="1">
      <c r="E37550" s="96"/>
    </row>
    <row r="37551" hidden="1">
      <c r="E37551" s="96"/>
    </row>
    <row r="37552" hidden="1">
      <c r="E37552" s="96"/>
    </row>
    <row r="37553" hidden="1">
      <c r="E37553" s="96"/>
    </row>
    <row r="37554" hidden="1">
      <c r="E37554" s="96"/>
    </row>
    <row r="37555" hidden="1">
      <c r="E37555" s="96"/>
    </row>
    <row r="37556" hidden="1">
      <c r="E37556" s="96"/>
    </row>
    <row r="37557" hidden="1">
      <c r="E37557" s="96"/>
    </row>
    <row r="37558" hidden="1">
      <c r="E37558" s="96"/>
    </row>
    <row r="37559" hidden="1">
      <c r="E37559" s="96"/>
    </row>
    <row r="37560" hidden="1">
      <c r="E37560" s="96"/>
    </row>
    <row r="37561" hidden="1">
      <c r="E37561" s="96"/>
    </row>
    <row r="37562" hidden="1">
      <c r="E37562" s="96"/>
    </row>
    <row r="37563" hidden="1">
      <c r="E37563" s="96"/>
    </row>
    <row r="37564" hidden="1">
      <c r="E37564" s="96"/>
    </row>
    <row r="37565" hidden="1">
      <c r="E37565" s="96"/>
    </row>
    <row r="37566" hidden="1">
      <c r="E37566" s="96"/>
    </row>
    <row r="37567" hidden="1">
      <c r="E37567" s="96"/>
    </row>
    <row r="37568" hidden="1">
      <c r="E37568" s="96"/>
    </row>
    <row r="37569" hidden="1">
      <c r="E37569" s="96"/>
    </row>
    <row r="37570" hidden="1">
      <c r="E37570" s="96"/>
    </row>
    <row r="37571" hidden="1">
      <c r="E37571" s="96"/>
    </row>
    <row r="37572" hidden="1">
      <c r="E37572" s="96"/>
    </row>
    <row r="37573" hidden="1">
      <c r="E37573" s="96"/>
    </row>
    <row r="37574" hidden="1">
      <c r="E37574" s="96"/>
    </row>
    <row r="37575" hidden="1">
      <c r="E37575" s="96"/>
    </row>
    <row r="37576" hidden="1">
      <c r="E37576" s="96"/>
    </row>
    <row r="37577" hidden="1">
      <c r="E37577" s="96"/>
    </row>
    <row r="37578" hidden="1">
      <c r="E37578" s="96"/>
    </row>
    <row r="37579" hidden="1">
      <c r="E37579" s="96"/>
    </row>
    <row r="37580" hidden="1">
      <c r="E37580" s="96"/>
    </row>
    <row r="37581" hidden="1">
      <c r="E37581" s="96"/>
    </row>
    <row r="37582" hidden="1">
      <c r="E37582" s="96"/>
    </row>
    <row r="37583" hidden="1">
      <c r="E37583" s="96"/>
    </row>
    <row r="37584" hidden="1">
      <c r="E37584" s="96"/>
    </row>
    <row r="37585" hidden="1">
      <c r="E37585" s="96"/>
    </row>
    <row r="37586" hidden="1">
      <c r="E37586" s="96"/>
    </row>
    <row r="37587" hidden="1">
      <c r="E37587" s="96"/>
    </row>
    <row r="37588" hidden="1">
      <c r="E37588" s="96"/>
    </row>
    <row r="37589" hidden="1">
      <c r="E37589" s="96"/>
    </row>
    <row r="37590" hidden="1">
      <c r="E37590" s="96"/>
    </row>
    <row r="37591" hidden="1">
      <c r="E37591" s="96"/>
    </row>
    <row r="37592" hidden="1">
      <c r="E37592" s="96"/>
    </row>
    <row r="37593" hidden="1">
      <c r="E37593" s="96"/>
    </row>
    <row r="37594" hidden="1">
      <c r="E37594" s="96"/>
    </row>
    <row r="37595" hidden="1">
      <c r="E37595" s="96"/>
    </row>
    <row r="37596" hidden="1">
      <c r="E37596" s="96"/>
    </row>
    <row r="37597" hidden="1">
      <c r="E37597" s="96"/>
    </row>
    <row r="37598" hidden="1">
      <c r="E37598" s="96"/>
    </row>
    <row r="37599" hidden="1">
      <c r="E37599" s="96"/>
    </row>
    <row r="37600" hidden="1">
      <c r="E37600" s="96"/>
    </row>
    <row r="37601" hidden="1">
      <c r="E37601" s="96"/>
    </row>
    <row r="37602" hidden="1">
      <c r="E37602" s="96"/>
    </row>
    <row r="37603" hidden="1">
      <c r="E37603" s="96"/>
    </row>
    <row r="37604" hidden="1">
      <c r="E37604" s="96"/>
    </row>
    <row r="37605" hidden="1">
      <c r="E37605" s="96"/>
    </row>
    <row r="37606" hidden="1">
      <c r="E37606" s="96"/>
    </row>
    <row r="37607" hidden="1">
      <c r="E37607" s="96"/>
    </row>
    <row r="37608" hidden="1">
      <c r="E37608" s="96"/>
    </row>
    <row r="37609" hidden="1">
      <c r="E37609" s="96"/>
    </row>
    <row r="37610" hidden="1">
      <c r="E37610" s="96"/>
    </row>
    <row r="37611" hidden="1">
      <c r="E37611" s="96"/>
    </row>
    <row r="37612" hidden="1">
      <c r="E37612" s="96"/>
    </row>
    <row r="37613" hidden="1">
      <c r="E37613" s="96"/>
    </row>
    <row r="37614" hidden="1">
      <c r="E37614" s="96"/>
    </row>
    <row r="37615" hidden="1">
      <c r="E37615" s="96"/>
    </row>
    <row r="37616" hidden="1">
      <c r="E37616" s="96"/>
    </row>
    <row r="37617" hidden="1">
      <c r="E37617" s="96"/>
    </row>
    <row r="37618" hidden="1">
      <c r="E37618" s="96"/>
    </row>
    <row r="37619" hidden="1">
      <c r="E37619" s="96"/>
    </row>
    <row r="37620" hidden="1">
      <c r="E37620" s="96"/>
    </row>
    <row r="37621" hidden="1">
      <c r="E37621" s="96"/>
    </row>
    <row r="37622" hidden="1">
      <c r="E37622" s="96"/>
    </row>
    <row r="37623" hidden="1">
      <c r="E37623" s="96"/>
    </row>
    <row r="37624" hidden="1">
      <c r="E37624" s="96"/>
    </row>
    <row r="37625" hidden="1">
      <c r="E37625" s="96"/>
    </row>
    <row r="37626" hidden="1">
      <c r="E37626" s="96"/>
    </row>
    <row r="37627" hidden="1">
      <c r="E37627" s="96"/>
    </row>
    <row r="37628" hidden="1">
      <c r="E37628" s="96"/>
    </row>
    <row r="37629" hidden="1">
      <c r="E37629" s="96"/>
    </row>
    <row r="37630" hidden="1">
      <c r="E37630" s="96"/>
    </row>
    <row r="37631" hidden="1">
      <c r="E37631" s="96"/>
    </row>
    <row r="37632" hidden="1">
      <c r="E37632" s="96"/>
    </row>
    <row r="37633" hidden="1">
      <c r="E37633" s="96"/>
    </row>
    <row r="37634" hidden="1">
      <c r="E37634" s="96"/>
    </row>
    <row r="37635" hidden="1">
      <c r="E37635" s="96"/>
    </row>
    <row r="37636" hidden="1">
      <c r="E37636" s="96"/>
    </row>
    <row r="37637" hidden="1">
      <c r="E37637" s="96"/>
    </row>
    <row r="37638" hidden="1">
      <c r="E37638" s="96"/>
    </row>
    <row r="37639" hidden="1">
      <c r="E37639" s="96"/>
    </row>
    <row r="37640" hidden="1">
      <c r="E37640" s="96"/>
    </row>
    <row r="37641" hidden="1">
      <c r="E37641" s="96"/>
    </row>
    <row r="37642" hidden="1">
      <c r="E37642" s="96"/>
    </row>
    <row r="37643" hidden="1">
      <c r="E37643" s="96"/>
    </row>
    <row r="37644" hidden="1">
      <c r="E37644" s="96"/>
    </row>
    <row r="37645" hidden="1">
      <c r="E37645" s="96"/>
    </row>
    <row r="37646" hidden="1">
      <c r="E37646" s="96"/>
    </row>
    <row r="37647" hidden="1">
      <c r="E37647" s="96"/>
    </row>
    <row r="37648" hidden="1">
      <c r="E37648" s="96"/>
    </row>
    <row r="37649" hidden="1">
      <c r="E37649" s="96"/>
    </row>
    <row r="37650" hidden="1">
      <c r="E37650" s="96"/>
    </row>
    <row r="37651" hidden="1">
      <c r="E37651" s="96"/>
    </row>
    <row r="37652" hidden="1">
      <c r="E37652" s="96"/>
    </row>
    <row r="37653" hidden="1">
      <c r="E37653" s="96"/>
    </row>
    <row r="37654" hidden="1">
      <c r="E37654" s="96"/>
    </row>
    <row r="37655" hidden="1">
      <c r="E37655" s="96"/>
    </row>
    <row r="37656" hidden="1">
      <c r="E37656" s="96"/>
    </row>
    <row r="37657" hidden="1">
      <c r="E37657" s="96"/>
    </row>
    <row r="37658" hidden="1">
      <c r="E37658" s="96"/>
    </row>
    <row r="37659" hidden="1">
      <c r="E37659" s="96"/>
    </row>
    <row r="37660" hidden="1">
      <c r="E37660" s="96"/>
    </row>
    <row r="37661" hidden="1">
      <c r="E37661" s="96"/>
    </row>
    <row r="37662" hidden="1">
      <c r="E37662" s="96"/>
    </row>
    <row r="37663" hidden="1">
      <c r="E37663" s="96"/>
    </row>
    <row r="37664" hidden="1">
      <c r="E37664" s="96"/>
    </row>
    <row r="37665" hidden="1">
      <c r="E37665" s="96"/>
    </row>
    <row r="37666" hidden="1">
      <c r="E37666" s="96"/>
    </row>
    <row r="37667" hidden="1">
      <c r="E37667" s="96"/>
    </row>
    <row r="37668" hidden="1">
      <c r="E37668" s="96"/>
    </row>
    <row r="37669" hidden="1">
      <c r="E37669" s="96"/>
    </row>
    <row r="37670" hidden="1">
      <c r="E37670" s="96"/>
    </row>
    <row r="37671" hidden="1">
      <c r="E37671" s="96"/>
    </row>
    <row r="37672" hidden="1">
      <c r="E37672" s="96"/>
    </row>
    <row r="37673" hidden="1">
      <c r="E37673" s="96"/>
    </row>
    <row r="37674" hidden="1">
      <c r="E37674" s="96"/>
    </row>
    <row r="37675" hidden="1">
      <c r="E37675" s="96"/>
    </row>
    <row r="37676" hidden="1">
      <c r="E37676" s="96"/>
    </row>
    <row r="37677" hidden="1">
      <c r="E37677" s="96"/>
    </row>
    <row r="37678" hidden="1">
      <c r="E37678" s="96"/>
    </row>
    <row r="37679" hidden="1">
      <c r="E37679" s="96"/>
    </row>
    <row r="37680" hidden="1">
      <c r="E37680" s="96"/>
    </row>
    <row r="37681" hidden="1">
      <c r="E37681" s="96"/>
    </row>
    <row r="37682" hidden="1">
      <c r="E37682" s="96"/>
    </row>
    <row r="37683" hidden="1">
      <c r="E37683" s="96"/>
    </row>
    <row r="37684" hidden="1">
      <c r="E37684" s="96"/>
    </row>
    <row r="37685" hidden="1">
      <c r="E37685" s="96"/>
    </row>
    <row r="37686" hidden="1">
      <c r="E37686" s="96"/>
    </row>
    <row r="37687" hidden="1">
      <c r="E37687" s="96"/>
    </row>
    <row r="37688" hidden="1">
      <c r="E37688" s="96"/>
    </row>
    <row r="37689" hidden="1">
      <c r="E37689" s="96"/>
    </row>
    <row r="37690" hidden="1">
      <c r="E37690" s="96"/>
    </row>
    <row r="37691" hidden="1">
      <c r="E37691" s="96"/>
    </row>
    <row r="37692" hidden="1">
      <c r="E37692" s="96"/>
    </row>
    <row r="37693" hidden="1">
      <c r="E37693" s="96"/>
    </row>
    <row r="37694" hidden="1">
      <c r="E37694" s="96"/>
    </row>
    <row r="37695" hidden="1">
      <c r="E37695" s="96"/>
    </row>
    <row r="37696" hidden="1">
      <c r="E37696" s="96"/>
    </row>
    <row r="37697" hidden="1">
      <c r="E37697" s="96"/>
    </row>
    <row r="37698" hidden="1">
      <c r="E37698" s="96"/>
    </row>
    <row r="37699" hidden="1">
      <c r="E37699" s="96"/>
    </row>
    <row r="37700" hidden="1">
      <c r="E37700" s="96"/>
    </row>
    <row r="37701" hidden="1">
      <c r="E37701" s="96"/>
    </row>
    <row r="37702" hidden="1">
      <c r="E37702" s="96"/>
    </row>
    <row r="37703" hidden="1">
      <c r="E37703" s="96"/>
    </row>
    <row r="37704" hidden="1">
      <c r="E37704" s="96"/>
    </row>
    <row r="37705" hidden="1">
      <c r="E37705" s="96"/>
    </row>
    <row r="37706" hidden="1">
      <c r="E37706" s="96"/>
    </row>
    <row r="37707" hidden="1">
      <c r="E37707" s="96"/>
    </row>
    <row r="37708" hidden="1">
      <c r="E37708" s="96"/>
    </row>
    <row r="37709" hidden="1">
      <c r="E37709" s="96"/>
    </row>
    <row r="37710" hidden="1">
      <c r="E37710" s="96"/>
    </row>
    <row r="37711" hidden="1">
      <c r="E37711" s="96"/>
    </row>
    <row r="37712" hidden="1">
      <c r="E37712" s="96"/>
    </row>
    <row r="37713" hidden="1">
      <c r="E37713" s="96"/>
    </row>
    <row r="37714" hidden="1">
      <c r="E37714" s="96"/>
    </row>
    <row r="37715" hidden="1">
      <c r="E37715" s="96"/>
    </row>
    <row r="37716" hidden="1">
      <c r="E37716" s="96"/>
    </row>
    <row r="37717" hidden="1">
      <c r="E37717" s="96"/>
    </row>
    <row r="37718" hidden="1">
      <c r="E37718" s="96"/>
    </row>
    <row r="37719" hidden="1">
      <c r="E37719" s="96"/>
    </row>
    <row r="37720" hidden="1">
      <c r="E37720" s="96"/>
    </row>
    <row r="37721" hidden="1">
      <c r="E37721" s="96"/>
    </row>
    <row r="37722" hidden="1">
      <c r="E37722" s="96"/>
    </row>
    <row r="37723" hidden="1">
      <c r="E37723" s="96"/>
    </row>
    <row r="37724" hidden="1">
      <c r="E37724" s="96"/>
    </row>
    <row r="37725" hidden="1">
      <c r="E37725" s="96"/>
    </row>
    <row r="37726" hidden="1">
      <c r="E37726" s="96"/>
    </row>
    <row r="37727" hidden="1">
      <c r="E37727" s="96"/>
    </row>
    <row r="37728" hidden="1">
      <c r="E37728" s="96"/>
    </row>
    <row r="37729" hidden="1">
      <c r="E37729" s="96"/>
    </row>
    <row r="37730" hidden="1">
      <c r="E37730" s="96"/>
    </row>
    <row r="37731" hidden="1">
      <c r="E37731" s="96"/>
    </row>
    <row r="37732" hidden="1">
      <c r="E37732" s="96"/>
    </row>
    <row r="37733" hidden="1">
      <c r="E37733" s="96"/>
    </row>
    <row r="37734" hidden="1">
      <c r="E37734" s="96"/>
    </row>
    <row r="37735" hidden="1">
      <c r="E37735" s="96"/>
    </row>
    <row r="37736" hidden="1">
      <c r="E37736" s="96"/>
    </row>
    <row r="37737" hidden="1">
      <c r="E37737" s="96"/>
    </row>
    <row r="37738" hidden="1">
      <c r="E37738" s="96"/>
    </row>
    <row r="37739" hidden="1">
      <c r="E37739" s="96"/>
    </row>
    <row r="37740" hidden="1">
      <c r="E37740" s="96"/>
    </row>
    <row r="37741" hidden="1">
      <c r="E37741" s="96"/>
    </row>
    <row r="37742" hidden="1">
      <c r="E37742" s="96"/>
    </row>
    <row r="37743" hidden="1">
      <c r="E37743" s="96"/>
    </row>
    <row r="37744" hidden="1">
      <c r="E37744" s="96"/>
    </row>
    <row r="37745" hidden="1">
      <c r="E37745" s="96"/>
    </row>
    <row r="37746" hidden="1">
      <c r="E37746" s="96"/>
    </row>
    <row r="37747" hidden="1">
      <c r="E37747" s="96"/>
    </row>
    <row r="37748" hidden="1">
      <c r="E37748" s="96"/>
    </row>
    <row r="37749" hidden="1">
      <c r="E37749" s="96"/>
    </row>
    <row r="37750" hidden="1">
      <c r="E37750" s="96"/>
    </row>
    <row r="37751" hidden="1">
      <c r="E37751" s="96"/>
    </row>
    <row r="37752" hidden="1">
      <c r="E37752" s="96"/>
    </row>
    <row r="37753" hidden="1">
      <c r="E37753" s="96"/>
    </row>
    <row r="37754" hidden="1">
      <c r="E37754" s="96"/>
    </row>
    <row r="37755" hidden="1">
      <c r="E37755" s="96"/>
    </row>
    <row r="37756" hidden="1">
      <c r="E37756" s="96"/>
    </row>
    <row r="37757" hidden="1">
      <c r="E37757" s="96"/>
    </row>
    <row r="37758" hidden="1">
      <c r="E37758" s="96"/>
    </row>
    <row r="37759" hidden="1">
      <c r="E37759" s="96"/>
    </row>
    <row r="37760" hidden="1">
      <c r="E37760" s="96"/>
    </row>
    <row r="37761" hidden="1">
      <c r="E37761" s="96"/>
    </row>
    <row r="37762" hidden="1">
      <c r="E37762" s="96"/>
    </row>
    <row r="37763" hidden="1">
      <c r="E37763" s="96"/>
    </row>
    <row r="37764" hidden="1">
      <c r="E37764" s="96"/>
    </row>
    <row r="37765" hidden="1">
      <c r="E37765" s="96"/>
    </row>
    <row r="37766" hidden="1">
      <c r="E37766" s="96"/>
    </row>
    <row r="37767" hidden="1">
      <c r="E37767" s="96"/>
    </row>
    <row r="37768" hidden="1">
      <c r="E37768" s="96"/>
    </row>
    <row r="37769" hidden="1">
      <c r="E37769" s="96"/>
    </row>
    <row r="37770" hidden="1">
      <c r="E37770" s="96"/>
    </row>
    <row r="37771" hidden="1">
      <c r="E37771" s="96"/>
    </row>
    <row r="37772" hidden="1">
      <c r="E37772" s="96"/>
    </row>
    <row r="37773" hidden="1">
      <c r="E37773" s="96"/>
    </row>
    <row r="37774" hidden="1">
      <c r="E37774" s="96"/>
    </row>
    <row r="37775" hidden="1">
      <c r="E37775" s="96"/>
    </row>
    <row r="37776" hidden="1">
      <c r="E37776" s="96"/>
    </row>
    <row r="37777" hidden="1">
      <c r="E37777" s="96"/>
    </row>
    <row r="37778" hidden="1">
      <c r="E37778" s="96"/>
    </row>
    <row r="37779" hidden="1">
      <c r="E37779" s="96"/>
    </row>
    <row r="37780" hidden="1">
      <c r="E37780" s="96"/>
    </row>
    <row r="37781" hidden="1">
      <c r="E37781" s="96"/>
    </row>
    <row r="37782" hidden="1">
      <c r="E37782" s="96"/>
    </row>
    <row r="37783" hidden="1">
      <c r="E37783" s="96"/>
    </row>
    <row r="37784" hidden="1">
      <c r="E37784" s="96"/>
    </row>
    <row r="37785" hidden="1">
      <c r="E37785" s="96"/>
    </row>
    <row r="37786" hidden="1">
      <c r="E37786" s="96"/>
    </row>
    <row r="37787" hidden="1">
      <c r="E37787" s="96"/>
    </row>
    <row r="37788" hidden="1">
      <c r="E37788" s="96"/>
    </row>
    <row r="37789" hidden="1">
      <c r="E37789" s="96"/>
    </row>
    <row r="37790" hidden="1">
      <c r="E37790" s="96"/>
    </row>
    <row r="37791" hidden="1">
      <c r="E37791" s="96"/>
    </row>
    <row r="37792" hidden="1">
      <c r="E37792" s="96"/>
    </row>
    <row r="37793" hidden="1">
      <c r="E37793" s="96"/>
    </row>
    <row r="37794" hidden="1">
      <c r="E37794" s="96"/>
    </row>
    <row r="37795" hidden="1">
      <c r="E37795" s="96"/>
    </row>
    <row r="37796" hidden="1">
      <c r="E37796" s="96"/>
    </row>
    <row r="37797" hidden="1">
      <c r="E37797" s="96"/>
    </row>
    <row r="37798" hidden="1">
      <c r="E37798" s="96"/>
    </row>
    <row r="37799" hidden="1">
      <c r="E37799" s="96"/>
    </row>
    <row r="37800" hidden="1">
      <c r="E37800" s="96"/>
    </row>
    <row r="37801" hidden="1">
      <c r="E37801" s="96"/>
    </row>
    <row r="37802" hidden="1">
      <c r="E37802" s="96"/>
    </row>
    <row r="37803" hidden="1">
      <c r="E37803" s="96"/>
    </row>
    <row r="37804" hidden="1">
      <c r="E37804" s="96"/>
    </row>
    <row r="37805" hidden="1">
      <c r="E37805" s="96"/>
    </row>
    <row r="37806" hidden="1">
      <c r="E37806" s="96"/>
    </row>
    <row r="37807" hidden="1">
      <c r="E37807" s="96"/>
    </row>
    <row r="37808" hidden="1">
      <c r="E37808" s="96"/>
    </row>
    <row r="37809" hidden="1">
      <c r="E37809" s="96"/>
    </row>
    <row r="37810" hidden="1">
      <c r="E37810" s="96"/>
    </row>
    <row r="37811" hidden="1">
      <c r="E37811" s="96"/>
    </row>
    <row r="37812" hidden="1">
      <c r="E37812" s="96"/>
    </row>
    <row r="37813" hidden="1">
      <c r="E37813" s="96"/>
    </row>
    <row r="37814" hidden="1">
      <c r="E37814" s="96"/>
    </row>
    <row r="37815" hidden="1">
      <c r="E37815" s="96"/>
    </row>
    <row r="37816" hidden="1">
      <c r="E37816" s="96"/>
    </row>
    <row r="37817" hidden="1">
      <c r="E37817" s="96"/>
    </row>
    <row r="37818" hidden="1">
      <c r="E37818" s="96"/>
    </row>
    <row r="37819" hidden="1">
      <c r="E37819" s="96"/>
    </row>
    <row r="37820" hidden="1">
      <c r="E37820" s="96"/>
    </row>
    <row r="37821" hidden="1">
      <c r="E37821" s="96"/>
    </row>
    <row r="37822" hidden="1">
      <c r="E37822" s="96"/>
    </row>
    <row r="37823" hidden="1">
      <c r="E37823" s="96"/>
    </row>
    <row r="37824" hidden="1">
      <c r="E37824" s="96"/>
    </row>
    <row r="37825" hidden="1">
      <c r="E37825" s="96"/>
    </row>
    <row r="37826" hidden="1">
      <c r="E37826" s="96"/>
    </row>
    <row r="37827" hidden="1">
      <c r="E37827" s="96"/>
    </row>
    <row r="37828" hidden="1">
      <c r="E37828" s="96"/>
    </row>
    <row r="37829" hidden="1">
      <c r="E37829" s="96"/>
    </row>
    <row r="37830" hidden="1">
      <c r="E37830" s="96"/>
    </row>
    <row r="37831" hidden="1">
      <c r="E37831" s="96"/>
    </row>
    <row r="37832" hidden="1">
      <c r="E37832" s="96"/>
    </row>
    <row r="37833" hidden="1">
      <c r="E37833" s="96"/>
    </row>
    <row r="37834" hidden="1">
      <c r="E37834" s="96"/>
    </row>
    <row r="37835" hidden="1">
      <c r="E37835" s="96"/>
    </row>
    <row r="37836" hidden="1">
      <c r="E37836" s="96"/>
    </row>
    <row r="37837" hidden="1">
      <c r="E37837" s="96"/>
    </row>
    <row r="37838" hidden="1">
      <c r="E37838" s="96"/>
    </row>
    <row r="37839" hidden="1">
      <c r="E37839" s="96"/>
    </row>
    <row r="37840" hidden="1">
      <c r="E37840" s="96"/>
    </row>
    <row r="37841" hidden="1">
      <c r="E37841" s="96"/>
    </row>
    <row r="37842" hidden="1">
      <c r="E37842" s="96"/>
    </row>
    <row r="37843" hidden="1">
      <c r="E37843" s="96"/>
    </row>
    <row r="37844" hidden="1">
      <c r="E37844" s="96"/>
    </row>
    <row r="37845" hidden="1">
      <c r="E37845" s="96"/>
    </row>
    <row r="37846" hidden="1">
      <c r="E37846" s="96"/>
    </row>
    <row r="37847" hidden="1">
      <c r="E37847" s="96"/>
    </row>
    <row r="37848" hidden="1">
      <c r="E37848" s="96"/>
    </row>
    <row r="37849" hidden="1">
      <c r="E37849" s="96"/>
    </row>
    <row r="37850" hidden="1">
      <c r="E37850" s="96"/>
    </row>
    <row r="37851" hidden="1">
      <c r="E37851" s="96"/>
    </row>
    <row r="37852" hidden="1">
      <c r="E37852" s="96"/>
    </row>
    <row r="37853" hidden="1">
      <c r="E37853" s="96"/>
    </row>
    <row r="37854" hidden="1">
      <c r="E37854" s="96"/>
    </row>
    <row r="37855" hidden="1">
      <c r="E37855" s="96"/>
    </row>
    <row r="37856" hidden="1">
      <c r="E37856" s="96"/>
    </row>
    <row r="37857" hidden="1">
      <c r="E37857" s="96"/>
    </row>
    <row r="37858" hidden="1">
      <c r="E37858" s="96"/>
    </row>
    <row r="37859" hidden="1">
      <c r="E37859" s="96"/>
    </row>
    <row r="37860" hidden="1">
      <c r="E37860" s="96"/>
    </row>
    <row r="37861" hidden="1">
      <c r="E37861" s="96"/>
    </row>
    <row r="37862" hidden="1">
      <c r="E37862" s="96"/>
    </row>
    <row r="37863" hidden="1">
      <c r="E37863" s="96"/>
    </row>
    <row r="37864" hidden="1">
      <c r="E37864" s="96"/>
    </row>
    <row r="37865" hidden="1">
      <c r="E37865" s="96"/>
    </row>
    <row r="37866" hidden="1">
      <c r="E37866" s="96"/>
    </row>
    <row r="37867" hidden="1">
      <c r="E37867" s="96"/>
    </row>
    <row r="37868" hidden="1">
      <c r="E37868" s="96"/>
    </row>
    <row r="37869" hidden="1">
      <c r="E37869" s="96"/>
    </row>
    <row r="37870" hidden="1">
      <c r="E37870" s="96"/>
    </row>
    <row r="37871" hidden="1">
      <c r="E37871" s="96"/>
    </row>
    <row r="37872" hidden="1">
      <c r="E37872" s="96"/>
    </row>
    <row r="37873" hidden="1">
      <c r="E37873" s="96"/>
    </row>
    <row r="37874" hidden="1">
      <c r="E37874" s="96"/>
    </row>
    <row r="37875" hidden="1">
      <c r="E37875" s="96"/>
    </row>
    <row r="37876" hidden="1">
      <c r="E37876" s="96"/>
    </row>
    <row r="37877" hidden="1">
      <c r="E37877" s="96"/>
    </row>
    <row r="37878" hidden="1">
      <c r="E37878" s="96"/>
    </row>
    <row r="37879" hidden="1">
      <c r="E37879" s="96"/>
    </row>
    <row r="37880" hidden="1">
      <c r="E37880" s="96"/>
    </row>
    <row r="37881" hidden="1">
      <c r="E37881" s="96"/>
    </row>
    <row r="37882" hidden="1">
      <c r="E37882" s="96"/>
    </row>
    <row r="37883" hidden="1">
      <c r="E37883" s="96"/>
    </row>
    <row r="37884" hidden="1">
      <c r="E37884" s="96"/>
    </row>
    <row r="37885" hidden="1">
      <c r="E37885" s="96"/>
    </row>
    <row r="37886" hidden="1">
      <c r="E37886" s="96"/>
    </row>
    <row r="37887" hidden="1">
      <c r="E37887" s="96"/>
    </row>
    <row r="37888" hidden="1">
      <c r="E37888" s="96"/>
    </row>
    <row r="37889" hidden="1">
      <c r="E37889" s="96"/>
    </row>
    <row r="37890" hidden="1">
      <c r="E37890" s="96"/>
    </row>
    <row r="37891" hidden="1">
      <c r="E37891" s="96"/>
    </row>
    <row r="37892" hidden="1">
      <c r="E37892" s="96"/>
    </row>
    <row r="37893" hidden="1">
      <c r="E37893" s="96"/>
    </row>
    <row r="37894" hidden="1">
      <c r="E37894" s="96"/>
    </row>
    <row r="37895" hidden="1">
      <c r="E37895" s="96"/>
    </row>
    <row r="37896" hidden="1">
      <c r="E37896" s="96"/>
    </row>
    <row r="37897" hidden="1">
      <c r="E37897" s="96"/>
    </row>
    <row r="37898" hidden="1">
      <c r="E37898" s="96"/>
    </row>
    <row r="37899" hidden="1">
      <c r="E37899" s="96"/>
    </row>
    <row r="37900" hidden="1">
      <c r="E37900" s="96"/>
    </row>
    <row r="37901" hidden="1">
      <c r="E37901" s="96"/>
    </row>
    <row r="37902" hidden="1">
      <c r="E37902" s="96"/>
    </row>
    <row r="37903" hidden="1">
      <c r="E37903" s="96"/>
    </row>
    <row r="37904" hidden="1">
      <c r="E37904" s="96"/>
    </row>
    <row r="37905" hidden="1">
      <c r="E37905" s="96"/>
    </row>
    <row r="37906" hidden="1">
      <c r="E37906" s="96"/>
    </row>
    <row r="37907" hidden="1">
      <c r="E37907" s="96"/>
    </row>
    <row r="37908" hidden="1">
      <c r="E37908" s="96"/>
    </row>
    <row r="37909" hidden="1">
      <c r="E37909" s="96"/>
    </row>
    <row r="37910" hidden="1">
      <c r="E37910" s="96"/>
    </row>
    <row r="37911" hidden="1">
      <c r="E37911" s="96"/>
    </row>
    <row r="37912" hidden="1">
      <c r="E37912" s="96"/>
    </row>
    <row r="37913" hidden="1">
      <c r="E37913" s="96"/>
    </row>
    <row r="37914" hidden="1">
      <c r="E37914" s="96"/>
    </row>
    <row r="37915" hidden="1">
      <c r="E37915" s="96"/>
    </row>
    <row r="37916" hidden="1">
      <c r="E37916" s="96"/>
    </row>
    <row r="37917" hidden="1">
      <c r="E37917" s="96"/>
    </row>
    <row r="37918" hidden="1">
      <c r="E37918" s="96"/>
    </row>
    <row r="37919" hidden="1">
      <c r="E37919" s="96"/>
    </row>
    <row r="37920" hidden="1">
      <c r="E37920" s="96"/>
    </row>
    <row r="37921" hidden="1">
      <c r="E37921" s="96"/>
    </row>
    <row r="37922" hidden="1">
      <c r="E37922" s="96"/>
    </row>
    <row r="37923" hidden="1">
      <c r="E37923" s="96"/>
    </row>
    <row r="37924" hidden="1">
      <c r="E37924" s="96"/>
    </row>
    <row r="37925" hidden="1">
      <c r="E37925" s="96"/>
    </row>
    <row r="37926" hidden="1">
      <c r="E37926" s="96"/>
    </row>
    <row r="37927" hidden="1">
      <c r="E37927" s="96"/>
    </row>
    <row r="37928" hidden="1">
      <c r="E37928" s="96"/>
    </row>
    <row r="37929" hidden="1">
      <c r="E37929" s="96"/>
    </row>
    <row r="37930" hidden="1">
      <c r="E37930" s="96"/>
    </row>
    <row r="37931" hidden="1">
      <c r="E37931" s="96"/>
    </row>
    <row r="37932" hidden="1">
      <c r="E37932" s="96"/>
    </row>
    <row r="37933" hidden="1">
      <c r="E37933" s="96"/>
    </row>
    <row r="37934" hidden="1">
      <c r="E37934" s="96"/>
    </row>
    <row r="37935" hidden="1">
      <c r="E37935" s="96"/>
    </row>
    <row r="37936" hidden="1">
      <c r="E37936" s="96"/>
    </row>
    <row r="37937" hidden="1">
      <c r="E37937" s="96"/>
    </row>
    <row r="37938" hidden="1">
      <c r="E37938" s="96"/>
    </row>
    <row r="37939" hidden="1">
      <c r="E37939" s="96"/>
    </row>
    <row r="37940" hidden="1">
      <c r="E37940" s="96"/>
    </row>
    <row r="37941" hidden="1">
      <c r="E37941" s="96"/>
    </row>
    <row r="37942" hidden="1">
      <c r="E37942" s="96"/>
    </row>
    <row r="37943" hidden="1">
      <c r="E37943" s="96"/>
    </row>
    <row r="37944" hidden="1">
      <c r="E37944" s="96"/>
    </row>
    <row r="37945" hidden="1">
      <c r="E37945" s="96"/>
    </row>
    <row r="37946" hidden="1">
      <c r="E37946" s="96"/>
    </row>
    <row r="37947" hidden="1">
      <c r="E37947" s="96"/>
    </row>
    <row r="37948" hidden="1">
      <c r="E37948" s="96"/>
    </row>
    <row r="37949" hidden="1">
      <c r="E37949" s="96"/>
    </row>
    <row r="37950" hidden="1">
      <c r="E37950" s="96"/>
    </row>
    <row r="37951" hidden="1">
      <c r="E37951" s="96"/>
    </row>
    <row r="37952" hidden="1">
      <c r="E37952" s="96"/>
    </row>
    <row r="37953" hidden="1">
      <c r="E37953" s="96"/>
    </row>
    <row r="37954" hidden="1">
      <c r="E37954" s="96"/>
    </row>
    <row r="37955" hidden="1">
      <c r="E37955" s="96"/>
    </row>
    <row r="37956" hidden="1">
      <c r="E37956" s="96"/>
    </row>
    <row r="37957" hidden="1">
      <c r="E37957" s="96"/>
    </row>
    <row r="37958" hidden="1">
      <c r="E37958" s="96"/>
    </row>
    <row r="37959" hidden="1">
      <c r="E37959" s="96"/>
    </row>
    <row r="37960" hidden="1">
      <c r="E37960" s="96"/>
    </row>
    <row r="37961" hidden="1">
      <c r="E37961" s="96"/>
    </row>
    <row r="37962" hidden="1">
      <c r="E37962" s="96"/>
    </row>
    <row r="37963" hidden="1">
      <c r="E37963" s="96"/>
    </row>
    <row r="37964" hidden="1">
      <c r="E37964" s="96"/>
    </row>
    <row r="37965" hidden="1">
      <c r="E37965" s="96"/>
    </row>
    <row r="37966" hidden="1">
      <c r="E37966" s="96"/>
    </row>
    <row r="37967" hidden="1">
      <c r="E37967" s="96"/>
    </row>
    <row r="37968" hidden="1">
      <c r="E37968" s="96"/>
    </row>
    <row r="37969" hidden="1">
      <c r="E37969" s="96"/>
    </row>
    <row r="37970" hidden="1">
      <c r="E37970" s="96"/>
    </row>
    <row r="37971" hidden="1">
      <c r="E37971" s="96"/>
    </row>
    <row r="37972" hidden="1">
      <c r="E37972" s="96"/>
    </row>
    <row r="37973" hidden="1">
      <c r="E37973" s="96"/>
    </row>
    <row r="37974" hidden="1">
      <c r="E37974" s="96"/>
    </row>
    <row r="37975" hidden="1">
      <c r="E37975" s="96"/>
    </row>
    <row r="37976" hidden="1">
      <c r="E37976" s="96"/>
    </row>
    <row r="37977" hidden="1">
      <c r="E37977" s="96"/>
    </row>
    <row r="37978" hidden="1">
      <c r="E37978" s="96"/>
    </row>
    <row r="37979" hidden="1">
      <c r="E37979" s="96"/>
    </row>
    <row r="37980" hidden="1">
      <c r="E37980" s="96"/>
    </row>
    <row r="37981" hidden="1">
      <c r="E37981" s="96"/>
    </row>
    <row r="37982" hidden="1">
      <c r="E37982" s="96"/>
    </row>
    <row r="37983" hidden="1">
      <c r="E37983" s="96"/>
    </row>
    <row r="37984" hidden="1">
      <c r="E37984" s="96"/>
    </row>
    <row r="37985" hidden="1">
      <c r="E37985" s="96"/>
    </row>
    <row r="37986" hidden="1">
      <c r="E37986" s="96"/>
    </row>
    <row r="37987" hidden="1">
      <c r="E37987" s="96"/>
    </row>
    <row r="37988" hidden="1">
      <c r="E37988" s="96"/>
    </row>
    <row r="37989" hidden="1">
      <c r="E37989" s="96"/>
    </row>
    <row r="37990" hidden="1">
      <c r="E37990" s="96"/>
    </row>
    <row r="37991" hidden="1">
      <c r="E37991" s="96"/>
    </row>
    <row r="37992" hidden="1">
      <c r="E37992" s="96"/>
    </row>
    <row r="37993" hidden="1">
      <c r="E37993" s="96"/>
    </row>
    <row r="37994" hidden="1">
      <c r="E37994" s="96"/>
    </row>
    <row r="37995" hidden="1">
      <c r="E37995" s="96"/>
    </row>
    <row r="37996" hidden="1">
      <c r="E37996" s="96"/>
    </row>
    <row r="37997" hidden="1">
      <c r="E37997" s="96"/>
    </row>
    <row r="37998" hidden="1">
      <c r="E37998" s="96"/>
    </row>
    <row r="37999" hidden="1">
      <c r="E37999" s="96"/>
    </row>
    <row r="38000" hidden="1">
      <c r="E38000" s="96"/>
    </row>
    <row r="38001" hidden="1">
      <c r="E38001" s="96"/>
    </row>
    <row r="38002" hidden="1">
      <c r="E38002" s="96"/>
    </row>
    <row r="38003" hidden="1">
      <c r="E38003" s="96"/>
    </row>
    <row r="38004" hidden="1">
      <c r="E38004" s="96"/>
    </row>
    <row r="38005" hidden="1">
      <c r="E38005" s="96"/>
    </row>
    <row r="38006" hidden="1">
      <c r="E38006" s="96"/>
    </row>
    <row r="38007" hidden="1">
      <c r="E38007" s="96"/>
    </row>
    <row r="38008" hidden="1">
      <c r="E38008" s="96"/>
    </row>
    <row r="38009" hidden="1">
      <c r="E38009" s="96"/>
    </row>
    <row r="38010" hidden="1">
      <c r="E38010" s="96"/>
    </row>
    <row r="38011" hidden="1">
      <c r="E38011" s="96"/>
    </row>
    <row r="38012" hidden="1">
      <c r="E38012" s="96"/>
    </row>
    <row r="38013" hidden="1">
      <c r="E38013" s="96"/>
    </row>
    <row r="38014" hidden="1">
      <c r="E38014" s="96"/>
    </row>
    <row r="38015" hidden="1">
      <c r="E38015" s="96"/>
    </row>
    <row r="38016" hidden="1">
      <c r="E38016" s="96"/>
    </row>
    <row r="38017" hidden="1">
      <c r="E38017" s="96"/>
    </row>
    <row r="38018" hidden="1">
      <c r="E38018" s="96"/>
    </row>
    <row r="38019" hidden="1">
      <c r="E38019" s="96"/>
    </row>
    <row r="38020" hidden="1">
      <c r="E38020" s="96"/>
    </row>
    <row r="38021" hidden="1">
      <c r="E38021" s="96"/>
    </row>
    <row r="38022" hidden="1">
      <c r="E38022" s="96"/>
    </row>
    <row r="38023" hidden="1">
      <c r="E38023" s="96"/>
    </row>
    <row r="38024" hidden="1">
      <c r="E38024" s="96"/>
    </row>
    <row r="38025" hidden="1">
      <c r="E38025" s="96"/>
    </row>
    <row r="38026" hidden="1">
      <c r="E38026" s="96"/>
    </row>
    <row r="38027" hidden="1">
      <c r="E38027" s="96"/>
    </row>
    <row r="38028" hidden="1">
      <c r="E38028" s="96"/>
    </row>
    <row r="38029" hidden="1">
      <c r="E38029" s="96"/>
    </row>
    <row r="38030" hidden="1">
      <c r="E38030" s="96"/>
    </row>
    <row r="38031" hidden="1">
      <c r="E38031" s="96"/>
    </row>
    <row r="38032" hidden="1">
      <c r="E38032" s="96"/>
    </row>
    <row r="38033" hidden="1">
      <c r="E38033" s="96"/>
    </row>
    <row r="38034" hidden="1">
      <c r="E38034" s="96"/>
    </row>
    <row r="38035" hidden="1">
      <c r="E38035" s="96"/>
    </row>
    <row r="38036" hidden="1">
      <c r="E38036" s="96"/>
    </row>
    <row r="38037" hidden="1">
      <c r="E38037" s="96"/>
    </row>
    <row r="38038" hidden="1">
      <c r="E38038" s="96"/>
    </row>
    <row r="38039" hidden="1">
      <c r="E38039" s="96"/>
    </row>
    <row r="38040" hidden="1">
      <c r="E38040" s="96"/>
    </row>
    <row r="38041" hidden="1">
      <c r="E38041" s="96"/>
    </row>
    <row r="38042" hidden="1">
      <c r="E38042" s="96"/>
    </row>
    <row r="38043" hidden="1">
      <c r="E38043" s="96"/>
    </row>
    <row r="38044" hidden="1">
      <c r="E38044" s="96"/>
    </row>
    <row r="38045" hidden="1">
      <c r="E38045" s="96"/>
    </row>
    <row r="38046" hidden="1">
      <c r="E38046" s="96"/>
    </row>
    <row r="38047" hidden="1">
      <c r="E38047" s="96"/>
    </row>
    <row r="38048" hidden="1">
      <c r="E38048" s="96"/>
    </row>
    <row r="38049" hidden="1">
      <c r="E38049" s="96"/>
    </row>
    <row r="38050" hidden="1">
      <c r="E38050" s="96"/>
    </row>
    <row r="38051" hidden="1">
      <c r="E38051" s="96"/>
    </row>
    <row r="38052" hidden="1">
      <c r="E38052" s="96"/>
    </row>
    <row r="38053" hidden="1">
      <c r="E38053" s="96"/>
    </row>
    <row r="38054" hidden="1">
      <c r="E38054" s="96"/>
    </row>
    <row r="38055" hidden="1">
      <c r="E38055" s="96"/>
    </row>
    <row r="38056" hidden="1">
      <c r="E38056" s="96"/>
    </row>
    <row r="38057" hidden="1">
      <c r="E38057" s="96"/>
    </row>
    <row r="38058" hidden="1">
      <c r="E38058" s="96"/>
    </row>
    <row r="38059" hidden="1">
      <c r="E38059" s="96"/>
    </row>
    <row r="38060" hidden="1">
      <c r="E38060" s="96"/>
    </row>
    <row r="38061" hidden="1">
      <c r="E38061" s="96"/>
    </row>
    <row r="38062" hidden="1">
      <c r="E38062" s="96"/>
    </row>
    <row r="38063" hidden="1">
      <c r="E38063" s="96"/>
    </row>
    <row r="38064" hidden="1">
      <c r="E38064" s="96"/>
    </row>
    <row r="38065" hidden="1">
      <c r="E38065" s="96"/>
    </row>
    <row r="38066" hidden="1">
      <c r="E38066" s="96"/>
    </row>
    <row r="38067" hidden="1">
      <c r="E38067" s="96"/>
    </row>
    <row r="38068" hidden="1">
      <c r="E38068" s="96"/>
    </row>
    <row r="38069" hidden="1">
      <c r="E38069" s="96"/>
    </row>
    <row r="38070" hidden="1">
      <c r="E38070" s="96"/>
    </row>
    <row r="38071" hidden="1">
      <c r="E38071" s="96"/>
    </row>
    <row r="38072" hidden="1">
      <c r="E38072" s="96"/>
    </row>
    <row r="38073" hidden="1">
      <c r="E38073" s="96"/>
    </row>
    <row r="38074" hidden="1">
      <c r="E38074" s="96"/>
    </row>
    <row r="38075" hidden="1">
      <c r="E38075" s="96"/>
    </row>
    <row r="38076" hidden="1">
      <c r="E38076" s="96"/>
    </row>
    <row r="38077" hidden="1">
      <c r="E38077" s="96"/>
    </row>
    <row r="38078" hidden="1">
      <c r="E38078" s="96"/>
    </row>
    <row r="38079" hidden="1">
      <c r="E38079" s="96"/>
    </row>
    <row r="38080" hidden="1">
      <c r="E38080" s="96"/>
    </row>
    <row r="38081" hidden="1">
      <c r="E38081" s="96"/>
    </row>
    <row r="38082" hidden="1">
      <c r="E38082" s="96"/>
    </row>
    <row r="38083" hidden="1">
      <c r="E38083" s="96"/>
    </row>
    <row r="38084" hidden="1">
      <c r="E38084" s="96"/>
    </row>
    <row r="38085" hidden="1">
      <c r="E38085" s="96"/>
    </row>
    <row r="38086" hidden="1">
      <c r="E38086" s="96"/>
    </row>
    <row r="38087" hidden="1">
      <c r="E38087" s="96"/>
    </row>
    <row r="38088" hidden="1">
      <c r="E38088" s="96"/>
    </row>
    <row r="38089" hidden="1">
      <c r="E38089" s="96"/>
    </row>
    <row r="38090" hidden="1">
      <c r="E38090" s="96"/>
    </row>
    <row r="38091" hidden="1">
      <c r="E38091" s="96"/>
    </row>
    <row r="38092" hidden="1">
      <c r="E38092" s="96"/>
    </row>
    <row r="38093" hidden="1">
      <c r="E38093" s="96"/>
    </row>
    <row r="38094" hidden="1">
      <c r="E38094" s="96"/>
    </row>
    <row r="38095" hidden="1">
      <c r="E38095" s="96"/>
    </row>
    <row r="38096" hidden="1">
      <c r="E38096" s="96"/>
    </row>
    <row r="38097" hidden="1">
      <c r="E38097" s="96"/>
    </row>
    <row r="38098" hidden="1">
      <c r="E38098" s="96"/>
    </row>
    <row r="38099" hidden="1">
      <c r="E38099" s="96"/>
    </row>
    <row r="38100" hidden="1">
      <c r="E38100" s="96"/>
    </row>
    <row r="38101" hidden="1">
      <c r="E38101" s="96"/>
    </row>
    <row r="38102" hidden="1">
      <c r="E38102" s="96"/>
    </row>
    <row r="38103" hidden="1">
      <c r="E38103" s="96"/>
    </row>
    <row r="38104" hidden="1">
      <c r="E38104" s="96"/>
    </row>
    <row r="38105" hidden="1">
      <c r="E38105" s="96"/>
    </row>
    <row r="38106" hidden="1">
      <c r="E38106" s="96"/>
    </row>
    <row r="38107" hidden="1">
      <c r="E38107" s="96"/>
    </row>
    <row r="38108" hidden="1">
      <c r="E38108" s="96"/>
    </row>
    <row r="38109" hidden="1">
      <c r="E38109" s="96"/>
    </row>
    <row r="38110" hidden="1">
      <c r="E38110" s="96"/>
    </row>
    <row r="38111" hidden="1">
      <c r="E38111" s="96"/>
    </row>
    <row r="38112" hidden="1">
      <c r="E38112" s="96"/>
    </row>
    <row r="38113" hidden="1">
      <c r="E38113" s="96"/>
    </row>
    <row r="38114" hidden="1">
      <c r="E38114" s="96"/>
    </row>
    <row r="38115" hidden="1">
      <c r="E38115" s="96"/>
    </row>
    <row r="38116" hidden="1">
      <c r="E38116" s="96"/>
    </row>
    <row r="38117" hidden="1">
      <c r="E38117" s="96"/>
    </row>
    <row r="38118" hidden="1">
      <c r="E38118" s="96"/>
    </row>
    <row r="38119" hidden="1">
      <c r="E38119" s="96"/>
    </row>
    <row r="38120" hidden="1">
      <c r="E38120" s="96"/>
    </row>
    <row r="38121" hidden="1">
      <c r="E38121" s="96"/>
    </row>
    <row r="38122" hidden="1">
      <c r="E38122" s="96"/>
    </row>
    <row r="38123" hidden="1">
      <c r="E38123" s="96"/>
    </row>
    <row r="38124" hidden="1">
      <c r="E38124" s="96"/>
    </row>
    <row r="38125" hidden="1">
      <c r="E38125" s="96"/>
    </row>
    <row r="38126" hidden="1">
      <c r="E38126" s="96"/>
    </row>
    <row r="38127" hidden="1">
      <c r="E38127" s="96"/>
    </row>
    <row r="38128" hidden="1">
      <c r="E38128" s="96"/>
    </row>
    <row r="38129" hidden="1">
      <c r="E38129" s="96"/>
    </row>
    <row r="38130" hidden="1">
      <c r="E38130" s="96"/>
    </row>
    <row r="38131" hidden="1">
      <c r="E38131" s="96"/>
    </row>
    <row r="38132" hidden="1">
      <c r="E38132" s="96"/>
    </row>
    <row r="38133" hidden="1">
      <c r="E38133" s="96"/>
    </row>
    <row r="38134" hidden="1">
      <c r="E38134" s="96"/>
    </row>
    <row r="38135" hidden="1">
      <c r="E38135" s="96"/>
    </row>
    <row r="38136" hidden="1">
      <c r="E38136" s="96"/>
    </row>
    <row r="38137" hidden="1">
      <c r="E38137" s="96"/>
    </row>
    <row r="38138" hidden="1">
      <c r="E38138" s="96"/>
    </row>
    <row r="38139" hidden="1">
      <c r="E38139" s="96"/>
    </row>
    <row r="38140" hidden="1">
      <c r="E38140" s="96"/>
    </row>
    <row r="38141" hidden="1">
      <c r="E38141" s="96"/>
    </row>
    <row r="38142" hidden="1">
      <c r="E38142" s="96"/>
    </row>
    <row r="38143" hidden="1">
      <c r="E38143" s="96"/>
    </row>
    <row r="38144" hidden="1">
      <c r="E38144" s="96"/>
    </row>
    <row r="38145" hidden="1">
      <c r="E38145" s="96"/>
    </row>
    <row r="38146" hidden="1">
      <c r="E38146" s="96"/>
    </row>
    <row r="38147" hidden="1">
      <c r="E38147" s="96"/>
    </row>
    <row r="38148" hidden="1">
      <c r="E38148" s="96"/>
    </row>
    <row r="38149" hidden="1">
      <c r="E38149" s="96"/>
    </row>
    <row r="38150" hidden="1">
      <c r="E38150" s="96"/>
    </row>
    <row r="38151" hidden="1">
      <c r="E38151" s="96"/>
    </row>
    <row r="38152" hidden="1">
      <c r="E38152" s="96"/>
    </row>
    <row r="38153" hidden="1">
      <c r="E38153" s="96"/>
    </row>
    <row r="38154" hidden="1">
      <c r="E38154" s="96"/>
    </row>
    <row r="38155" hidden="1">
      <c r="E38155" s="96"/>
    </row>
    <row r="38156" hidden="1">
      <c r="E38156" s="96"/>
    </row>
    <row r="38157" hidden="1">
      <c r="E38157" s="96"/>
    </row>
    <row r="38158" hidden="1">
      <c r="E38158" s="96"/>
    </row>
    <row r="38159" hidden="1">
      <c r="E38159" s="96"/>
    </row>
    <row r="38160" hidden="1">
      <c r="E38160" s="96"/>
    </row>
    <row r="38161" hidden="1">
      <c r="E38161" s="96"/>
    </row>
    <row r="38162" hidden="1">
      <c r="E38162" s="96"/>
    </row>
    <row r="38163" hidden="1">
      <c r="E38163" s="96"/>
    </row>
    <row r="38164" hidden="1">
      <c r="E38164" s="96"/>
    </row>
    <row r="38165" hidden="1">
      <c r="E38165" s="96"/>
    </row>
    <row r="38166" hidden="1">
      <c r="E38166" s="96"/>
    </row>
    <row r="38167" hidden="1">
      <c r="E38167" s="96"/>
    </row>
    <row r="38168" hidden="1">
      <c r="E38168" s="96"/>
    </row>
    <row r="38169" hidden="1">
      <c r="E38169" s="96"/>
    </row>
    <row r="38170" hidden="1">
      <c r="E38170" s="96"/>
    </row>
    <row r="38171" hidden="1">
      <c r="E38171" s="96"/>
    </row>
    <row r="38172" hidden="1">
      <c r="E38172" s="96"/>
    </row>
    <row r="38173" hidden="1">
      <c r="E38173" s="96"/>
    </row>
    <row r="38174" hidden="1">
      <c r="E38174" s="96"/>
    </row>
    <row r="38175" hidden="1">
      <c r="E38175" s="96"/>
    </row>
    <row r="38176" hidden="1">
      <c r="E38176" s="96"/>
    </row>
    <row r="38177" hidden="1">
      <c r="E38177" s="96"/>
    </row>
    <row r="38178" hidden="1">
      <c r="E38178" s="96"/>
    </row>
    <row r="38179" hidden="1">
      <c r="E38179" s="96"/>
    </row>
    <row r="38180" hidden="1">
      <c r="E38180" s="96"/>
    </row>
    <row r="38181" hidden="1">
      <c r="E38181" s="96"/>
    </row>
    <row r="38182" hidden="1">
      <c r="E38182" s="96"/>
    </row>
    <row r="38183" hidden="1">
      <c r="E38183" s="96"/>
    </row>
    <row r="38184" hidden="1">
      <c r="E38184" s="96"/>
    </row>
    <row r="38185" hidden="1">
      <c r="E38185" s="96"/>
    </row>
    <row r="38186" hidden="1">
      <c r="E38186" s="96"/>
    </row>
    <row r="38187" hidden="1">
      <c r="E38187" s="96"/>
    </row>
    <row r="38188" hidden="1">
      <c r="E38188" s="96"/>
    </row>
    <row r="38189" hidden="1">
      <c r="E38189" s="96"/>
    </row>
    <row r="38190" hidden="1">
      <c r="E38190" s="96"/>
    </row>
    <row r="38191" hidden="1">
      <c r="E38191" s="96"/>
    </row>
    <row r="38192" hidden="1">
      <c r="E38192" s="96"/>
    </row>
    <row r="38193" hidden="1">
      <c r="E38193" s="96"/>
    </row>
    <row r="38194" hidden="1">
      <c r="E38194" s="96"/>
    </row>
    <row r="38195" hidden="1">
      <c r="E38195" s="96"/>
    </row>
    <row r="38196" hidden="1">
      <c r="E38196" s="96"/>
    </row>
    <row r="38197" hidden="1">
      <c r="E38197" s="96"/>
    </row>
    <row r="38198" hidden="1">
      <c r="E38198" s="96"/>
    </row>
    <row r="38199" hidden="1">
      <c r="E38199" s="96"/>
    </row>
    <row r="38200" hidden="1">
      <c r="E38200" s="96"/>
    </row>
    <row r="38201" hidden="1">
      <c r="E38201" s="96"/>
    </row>
    <row r="38202" hidden="1">
      <c r="E38202" s="96"/>
    </row>
    <row r="38203" hidden="1">
      <c r="E38203" s="96"/>
    </row>
    <row r="38204" hidden="1">
      <c r="E38204" s="96"/>
    </row>
    <row r="38205" hidden="1">
      <c r="E38205" s="96"/>
    </row>
    <row r="38206" hidden="1">
      <c r="E38206" s="96"/>
    </row>
    <row r="38207" hidden="1">
      <c r="E38207" s="96"/>
    </row>
    <row r="38208" hidden="1">
      <c r="E38208" s="96"/>
    </row>
    <row r="38209" hidden="1">
      <c r="E38209" s="96"/>
    </row>
    <row r="38210" hidden="1">
      <c r="E38210" s="96"/>
    </row>
    <row r="38211" hidden="1">
      <c r="E38211" s="96"/>
    </row>
    <row r="38212" hidden="1">
      <c r="E38212" s="96"/>
    </row>
    <row r="38213" hidden="1">
      <c r="E38213" s="96"/>
    </row>
    <row r="38214" hidden="1">
      <c r="E38214" s="96"/>
    </row>
    <row r="38215" hidden="1">
      <c r="E38215" s="96"/>
    </row>
    <row r="38216" hidden="1">
      <c r="E38216" s="96"/>
    </row>
    <row r="38217" hidden="1">
      <c r="E38217" s="96"/>
    </row>
    <row r="38218" hidden="1">
      <c r="E38218" s="96"/>
    </row>
    <row r="38219" hidden="1">
      <c r="E38219" s="96"/>
    </row>
    <row r="38220" hidden="1">
      <c r="E38220" s="96"/>
    </row>
    <row r="38221" hidden="1">
      <c r="E38221" s="96"/>
    </row>
    <row r="38222" hidden="1">
      <c r="E38222" s="96"/>
    </row>
    <row r="38223" hidden="1">
      <c r="E38223" s="96"/>
    </row>
    <row r="38224" hidden="1">
      <c r="E38224" s="96"/>
    </row>
    <row r="38225" hidden="1">
      <c r="E38225" s="96"/>
    </row>
    <row r="38226" hidden="1">
      <c r="E38226" s="96"/>
    </row>
    <row r="38227" hidden="1">
      <c r="E38227" s="96"/>
    </row>
    <row r="38228" hidden="1">
      <c r="E38228" s="96"/>
    </row>
    <row r="38229" hidden="1">
      <c r="E38229" s="96"/>
    </row>
    <row r="38230" hidden="1">
      <c r="E38230" s="96"/>
    </row>
    <row r="38231" hidden="1">
      <c r="E38231" s="96"/>
    </row>
    <row r="38232" hidden="1">
      <c r="E38232" s="96"/>
    </row>
    <row r="38233" hidden="1">
      <c r="E38233" s="96"/>
    </row>
    <row r="38234" hidden="1">
      <c r="E38234" s="96"/>
    </row>
    <row r="38235" hidden="1">
      <c r="E38235" s="96"/>
    </row>
    <row r="38236" hidden="1">
      <c r="E38236" s="96"/>
    </row>
    <row r="38237" hidden="1">
      <c r="E38237" s="96"/>
    </row>
    <row r="38238" hidden="1">
      <c r="E38238" s="96"/>
    </row>
    <row r="38239" hidden="1">
      <c r="E38239" s="96"/>
    </row>
    <row r="38240" hidden="1">
      <c r="E38240" s="96"/>
    </row>
    <row r="38241" hidden="1">
      <c r="E38241" s="96"/>
    </row>
    <row r="38242" hidden="1">
      <c r="E38242" s="96"/>
    </row>
    <row r="38243" hidden="1">
      <c r="E38243" s="96"/>
    </row>
    <row r="38244" hidden="1">
      <c r="E38244" s="96"/>
    </row>
    <row r="38245" hidden="1">
      <c r="E38245" s="96"/>
    </row>
    <row r="38246" hidden="1">
      <c r="E38246" s="96"/>
    </row>
    <row r="38247" hidden="1">
      <c r="E38247" s="96"/>
    </row>
    <row r="38248" hidden="1">
      <c r="E38248" s="96"/>
    </row>
    <row r="38249" hidden="1">
      <c r="E38249" s="96"/>
    </row>
    <row r="38250" hidden="1">
      <c r="E38250" s="96"/>
    </row>
    <row r="38251" hidden="1">
      <c r="E38251" s="96"/>
    </row>
    <row r="38252" hidden="1">
      <c r="E38252" s="96"/>
    </row>
    <row r="38253" hidden="1">
      <c r="E38253" s="96"/>
    </row>
    <row r="38254" hidden="1">
      <c r="E38254" s="96"/>
    </row>
    <row r="38255" hidden="1">
      <c r="E38255" s="96"/>
    </row>
    <row r="38256" hidden="1">
      <c r="E38256" s="96"/>
    </row>
    <row r="38257" hidden="1">
      <c r="E38257" s="96"/>
    </row>
    <row r="38258" hidden="1">
      <c r="E38258" s="96"/>
    </row>
    <row r="38259" hidden="1">
      <c r="E38259" s="96"/>
    </row>
    <row r="38260" hidden="1">
      <c r="E38260" s="96"/>
    </row>
    <row r="38261" hidden="1">
      <c r="E38261" s="96"/>
    </row>
    <row r="38262" hidden="1">
      <c r="E38262" s="96"/>
    </row>
    <row r="38263" hidden="1">
      <c r="E38263" s="96"/>
    </row>
    <row r="38264" hidden="1">
      <c r="E38264" s="96"/>
    </row>
    <row r="38265" hidden="1">
      <c r="E38265" s="96"/>
    </row>
    <row r="38266" hidden="1">
      <c r="E38266" s="96"/>
    </row>
    <row r="38267" hidden="1">
      <c r="E38267" s="96"/>
    </row>
    <row r="38268" hidden="1">
      <c r="E38268" s="96"/>
    </row>
    <row r="38269" hidden="1">
      <c r="E38269" s="96"/>
    </row>
    <row r="38270" hidden="1">
      <c r="E38270" s="96"/>
    </row>
    <row r="38271" hidden="1">
      <c r="E38271" s="96"/>
    </row>
    <row r="38272" hidden="1">
      <c r="E38272" s="96"/>
    </row>
    <row r="38273" hidden="1">
      <c r="E38273" s="96"/>
    </row>
    <row r="38274" hidden="1">
      <c r="E38274" s="96"/>
    </row>
    <row r="38275" hidden="1">
      <c r="E38275" s="96"/>
    </row>
    <row r="38276" hidden="1">
      <c r="E38276" s="96"/>
    </row>
    <row r="38277" hidden="1">
      <c r="E38277" s="96"/>
    </row>
    <row r="38278" hidden="1">
      <c r="E38278" s="96"/>
    </row>
    <row r="38279" hidden="1">
      <c r="E38279" s="96"/>
    </row>
    <row r="38280" hidden="1">
      <c r="E38280" s="96"/>
    </row>
    <row r="38281" hidden="1">
      <c r="E38281" s="96"/>
    </row>
    <row r="38282" hidden="1">
      <c r="E38282" s="96"/>
    </row>
    <row r="38283" hidden="1">
      <c r="E38283" s="96"/>
    </row>
    <row r="38284" hidden="1">
      <c r="E38284" s="96"/>
    </row>
    <row r="38285" hidden="1">
      <c r="E38285" s="96"/>
    </row>
    <row r="38286" hidden="1">
      <c r="E38286" s="96"/>
    </row>
    <row r="38287" hidden="1">
      <c r="E38287" s="96"/>
    </row>
    <row r="38288" hidden="1">
      <c r="E38288" s="96"/>
    </row>
    <row r="38289" hidden="1">
      <c r="E38289" s="96"/>
    </row>
    <row r="38290" hidden="1">
      <c r="E38290" s="96"/>
    </row>
    <row r="38291" hidden="1">
      <c r="E38291" s="96"/>
    </row>
    <row r="38292" hidden="1">
      <c r="E38292" s="96"/>
    </row>
    <row r="38293" hidden="1">
      <c r="E38293" s="96"/>
    </row>
    <row r="38294" hidden="1">
      <c r="E38294" s="96"/>
    </row>
    <row r="38295" hidden="1">
      <c r="E38295" s="96"/>
    </row>
    <row r="38296" hidden="1">
      <c r="E38296" s="96"/>
    </row>
    <row r="38297" hidden="1">
      <c r="E38297" s="96"/>
    </row>
    <row r="38298" hidden="1">
      <c r="E38298" s="96"/>
    </row>
    <row r="38299" hidden="1">
      <c r="E38299" s="96"/>
    </row>
    <row r="38300" hidden="1">
      <c r="E38300" s="96"/>
    </row>
    <row r="38301" hidden="1">
      <c r="E38301" s="96"/>
    </row>
    <row r="38302" hidden="1">
      <c r="E38302" s="96"/>
    </row>
    <row r="38303" hidden="1">
      <c r="E38303" s="96"/>
    </row>
    <row r="38304" hidden="1">
      <c r="E38304" s="96"/>
    </row>
    <row r="38305" hidden="1">
      <c r="E38305" s="96"/>
    </row>
    <row r="38306" hidden="1">
      <c r="E38306" s="96"/>
    </row>
    <row r="38307" hidden="1">
      <c r="E38307" s="96"/>
    </row>
    <row r="38308" hidden="1">
      <c r="E38308" s="96"/>
    </row>
    <row r="38309" hidden="1">
      <c r="E38309" s="96"/>
    </row>
    <row r="38310" hidden="1">
      <c r="E38310" s="96"/>
    </row>
    <row r="38311" hidden="1">
      <c r="E38311" s="96"/>
    </row>
    <row r="38312" hidden="1">
      <c r="E38312" s="96"/>
    </row>
    <row r="38313" hidden="1">
      <c r="E38313" s="96"/>
    </row>
    <row r="38314" hidden="1">
      <c r="E38314" s="96"/>
    </row>
    <row r="38315" hidden="1">
      <c r="E38315" s="96"/>
    </row>
    <row r="38316" hidden="1">
      <c r="E38316" s="96"/>
    </row>
    <row r="38317" hidden="1">
      <c r="E38317" s="96"/>
    </row>
    <row r="38318" hidden="1">
      <c r="E38318" s="96"/>
    </row>
    <row r="38319" hidden="1">
      <c r="E38319" s="96"/>
    </row>
    <row r="38320" hidden="1">
      <c r="E38320" s="96"/>
    </row>
    <row r="38321" hidden="1">
      <c r="E38321" s="96"/>
    </row>
    <row r="38322" hidden="1">
      <c r="E38322" s="96"/>
    </row>
    <row r="38323" hidden="1">
      <c r="E38323" s="96"/>
    </row>
    <row r="38324" hidden="1">
      <c r="E38324" s="96"/>
    </row>
    <row r="38325" hidden="1">
      <c r="E38325" s="96"/>
    </row>
    <row r="38326" hidden="1">
      <c r="E38326" s="96"/>
    </row>
    <row r="38327" hidden="1">
      <c r="E38327" s="96"/>
    </row>
    <row r="38328" hidden="1">
      <c r="E38328" s="96"/>
    </row>
    <row r="38329" hidden="1">
      <c r="E38329" s="96"/>
    </row>
    <row r="38330" hidden="1">
      <c r="E38330" s="96"/>
    </row>
    <row r="38331" hidden="1">
      <c r="E38331" s="96"/>
    </row>
    <row r="38332" hidden="1">
      <c r="E38332" s="96"/>
    </row>
    <row r="38333" hidden="1">
      <c r="E38333" s="96"/>
    </row>
    <row r="38334" hidden="1">
      <c r="E38334" s="96"/>
    </row>
    <row r="38335" hidden="1">
      <c r="E38335" s="96"/>
    </row>
    <row r="38336" hidden="1">
      <c r="E38336" s="96"/>
    </row>
    <row r="38337" hidden="1">
      <c r="E38337" s="96"/>
    </row>
    <row r="38338" hidden="1">
      <c r="E38338" s="96"/>
    </row>
    <row r="38339" hidden="1">
      <c r="E38339" s="96"/>
    </row>
    <row r="38340" hidden="1">
      <c r="E38340" s="96"/>
    </row>
    <row r="38341" hidden="1">
      <c r="E38341" s="96"/>
    </row>
    <row r="38342" hidden="1">
      <c r="E38342" s="96"/>
    </row>
    <row r="38343" hidden="1">
      <c r="E38343" s="96"/>
    </row>
    <row r="38344" hidden="1">
      <c r="E38344" s="96"/>
    </row>
    <row r="38345" hidden="1">
      <c r="E38345" s="96"/>
    </row>
    <row r="38346" hidden="1">
      <c r="E38346" s="96"/>
    </row>
    <row r="38347" hidden="1">
      <c r="E38347" s="96"/>
    </row>
    <row r="38348" hidden="1">
      <c r="E38348" s="96"/>
    </row>
    <row r="38349" hidden="1">
      <c r="E38349" s="96"/>
    </row>
    <row r="38350" hidden="1">
      <c r="E38350" s="96"/>
    </row>
    <row r="38351" hidden="1">
      <c r="E38351" s="96"/>
    </row>
    <row r="38352" hidden="1">
      <c r="E38352" s="96"/>
    </row>
    <row r="38353" hidden="1">
      <c r="E38353" s="96"/>
    </row>
    <row r="38354" hidden="1">
      <c r="E38354" s="96"/>
    </row>
    <row r="38355" hidden="1">
      <c r="E38355" s="96"/>
    </row>
    <row r="38356" hidden="1">
      <c r="E38356" s="96"/>
    </row>
    <row r="38357" hidden="1">
      <c r="E38357" s="96"/>
    </row>
    <row r="38358" hidden="1">
      <c r="E38358" s="96"/>
    </row>
    <row r="38359" hidden="1">
      <c r="E38359" s="96"/>
    </row>
    <row r="38360" hidden="1">
      <c r="E38360" s="96"/>
    </row>
    <row r="38361" hidden="1">
      <c r="E38361" s="96"/>
    </row>
    <row r="38362" hidden="1">
      <c r="E38362" s="96"/>
    </row>
    <row r="38363" hidden="1">
      <c r="E38363" s="96"/>
    </row>
    <row r="38364" hidden="1">
      <c r="E38364" s="96"/>
    </row>
    <row r="38365" hidden="1">
      <c r="E38365" s="96"/>
    </row>
    <row r="38366" hidden="1">
      <c r="E38366" s="96"/>
    </row>
    <row r="38367" hidden="1">
      <c r="E38367" s="96"/>
    </row>
    <row r="38368" hidden="1">
      <c r="E38368" s="96"/>
    </row>
    <row r="38369" hidden="1">
      <c r="E38369" s="96"/>
    </row>
    <row r="38370" hidden="1">
      <c r="E38370" s="96"/>
    </row>
    <row r="38371" hidden="1">
      <c r="E38371" s="96"/>
    </row>
    <row r="38372" hidden="1">
      <c r="E38372" s="96"/>
    </row>
    <row r="38373" hidden="1">
      <c r="E38373" s="96"/>
    </row>
    <row r="38374" hidden="1">
      <c r="E38374" s="96"/>
    </row>
    <row r="38375" hidden="1">
      <c r="E38375" s="96"/>
    </row>
    <row r="38376" hidden="1">
      <c r="E38376" s="96"/>
    </row>
    <row r="38377" hidden="1">
      <c r="E38377" s="96"/>
    </row>
    <row r="38378" hidden="1">
      <c r="E38378" s="96"/>
    </row>
    <row r="38379" hidden="1">
      <c r="E38379" s="96"/>
    </row>
    <row r="38380" hidden="1">
      <c r="E38380" s="96"/>
    </row>
    <row r="38381" hidden="1">
      <c r="E38381" s="96"/>
    </row>
    <row r="38382" hidden="1">
      <c r="E38382" s="96"/>
    </row>
    <row r="38383" hidden="1">
      <c r="E38383" s="96"/>
    </row>
    <row r="38384" hidden="1">
      <c r="E38384" s="96"/>
    </row>
    <row r="38385" hidden="1">
      <c r="E38385" s="96"/>
    </row>
    <row r="38386" hidden="1">
      <c r="E38386" s="96"/>
    </row>
    <row r="38387" hidden="1">
      <c r="E38387" s="96"/>
    </row>
    <row r="38388" hidden="1">
      <c r="E38388" s="96"/>
    </row>
    <row r="38389" hidden="1">
      <c r="E38389" s="96"/>
    </row>
    <row r="38390" hidden="1">
      <c r="E38390" s="96"/>
    </row>
    <row r="38391" hidden="1">
      <c r="E38391" s="96"/>
    </row>
    <row r="38392" hidden="1">
      <c r="E38392" s="96"/>
    </row>
    <row r="38393" hidden="1">
      <c r="E38393" s="96"/>
    </row>
    <row r="38394" hidden="1">
      <c r="E38394" s="96"/>
    </row>
    <row r="38395" hidden="1">
      <c r="E38395" s="96"/>
    </row>
    <row r="38396" hidden="1">
      <c r="E38396" s="96"/>
    </row>
    <row r="38397" hidden="1">
      <c r="E38397" s="96"/>
    </row>
    <row r="38398" hidden="1">
      <c r="E38398" s="96"/>
    </row>
    <row r="38399" hidden="1">
      <c r="E38399" s="96"/>
    </row>
    <row r="38400" hidden="1">
      <c r="E38400" s="96"/>
    </row>
    <row r="38401" hidden="1">
      <c r="E38401" s="96"/>
    </row>
    <row r="38402" hidden="1">
      <c r="E38402" s="96"/>
    </row>
    <row r="38403" hidden="1">
      <c r="E38403" s="96"/>
    </row>
    <row r="38404" hidden="1">
      <c r="E38404" s="96"/>
    </row>
    <row r="38405" hidden="1">
      <c r="E38405" s="96"/>
    </row>
    <row r="38406" hidden="1">
      <c r="E38406" s="96"/>
    </row>
    <row r="38407" hidden="1">
      <c r="E38407" s="96"/>
    </row>
    <row r="38408" hidden="1">
      <c r="E38408" s="96"/>
    </row>
    <row r="38409" hidden="1">
      <c r="E38409" s="96"/>
    </row>
    <row r="38410" hidden="1">
      <c r="E38410" s="96"/>
    </row>
    <row r="38411" hidden="1">
      <c r="E38411" s="96"/>
    </row>
    <row r="38412" hidden="1">
      <c r="E38412" s="96"/>
    </row>
    <row r="38413" hidden="1">
      <c r="E38413" s="96"/>
    </row>
    <row r="38414" hidden="1">
      <c r="E38414" s="96"/>
    </row>
    <row r="38415" hidden="1">
      <c r="E38415" s="96"/>
    </row>
    <row r="38416" hidden="1">
      <c r="E38416" s="96"/>
    </row>
    <row r="38417" hidden="1">
      <c r="E38417" s="96"/>
    </row>
    <row r="38418" hidden="1">
      <c r="E38418" s="96"/>
    </row>
    <row r="38419" hidden="1">
      <c r="E38419" s="96"/>
    </row>
    <row r="38420" hidden="1">
      <c r="E38420" s="96"/>
    </row>
    <row r="38421" hidden="1">
      <c r="E38421" s="96"/>
    </row>
    <row r="38422" hidden="1">
      <c r="E38422" s="96"/>
    </row>
    <row r="38423" hidden="1">
      <c r="E38423" s="96"/>
    </row>
    <row r="38424" hidden="1">
      <c r="E38424" s="96"/>
    </row>
    <row r="38425" hidden="1">
      <c r="E38425" s="96"/>
    </row>
    <row r="38426" hidden="1">
      <c r="E38426" s="96"/>
    </row>
    <row r="38427" hidden="1">
      <c r="E38427" s="96"/>
    </row>
    <row r="38428" hidden="1">
      <c r="E38428" s="96"/>
    </row>
    <row r="38429" hidden="1">
      <c r="E38429" s="96"/>
    </row>
    <row r="38430" hidden="1">
      <c r="E38430" s="96"/>
    </row>
    <row r="38431" hidden="1">
      <c r="E38431" s="96"/>
    </row>
    <row r="38432" hidden="1">
      <c r="E38432" s="96"/>
    </row>
    <row r="38433" hidden="1">
      <c r="E38433" s="96"/>
    </row>
    <row r="38434" hidden="1">
      <c r="E38434" s="96"/>
    </row>
    <row r="38435" hidden="1">
      <c r="E38435" s="96"/>
    </row>
    <row r="38436" hidden="1">
      <c r="E38436" s="96"/>
    </row>
    <row r="38437" hidden="1">
      <c r="E38437" s="96"/>
    </row>
    <row r="38438" hidden="1">
      <c r="E38438" s="96"/>
    </row>
    <row r="38439" hidden="1">
      <c r="E38439" s="96"/>
    </row>
    <row r="38440" hidden="1">
      <c r="E38440" s="96"/>
    </row>
    <row r="38441" hidden="1">
      <c r="E38441" s="96"/>
    </row>
    <row r="38442" hidden="1">
      <c r="E38442" s="96"/>
    </row>
    <row r="38443" hidden="1">
      <c r="E38443" s="96"/>
    </row>
    <row r="38444" hidden="1">
      <c r="E38444" s="96"/>
    </row>
    <row r="38445" hidden="1">
      <c r="E38445" s="96"/>
    </row>
    <row r="38446" hidden="1">
      <c r="E38446" s="96"/>
    </row>
    <row r="38447" hidden="1">
      <c r="E38447" s="96"/>
    </row>
    <row r="38448" hidden="1">
      <c r="E38448" s="96"/>
    </row>
    <row r="38449" hidden="1">
      <c r="E38449" s="96"/>
    </row>
    <row r="38450" hidden="1">
      <c r="E38450" s="96"/>
    </row>
    <row r="38451" hidden="1">
      <c r="E38451" s="96"/>
    </row>
    <row r="38452" hidden="1">
      <c r="E38452" s="96"/>
    </row>
    <row r="38453" hidden="1">
      <c r="E38453" s="96"/>
    </row>
    <row r="38454" hidden="1">
      <c r="E38454" s="96"/>
    </row>
    <row r="38455" hidden="1">
      <c r="E38455" s="96"/>
    </row>
    <row r="38456" hidden="1">
      <c r="E38456" s="96"/>
    </row>
    <row r="38457" hidden="1">
      <c r="E38457" s="96"/>
    </row>
    <row r="38458" hidden="1">
      <c r="E38458" s="96"/>
    </row>
    <row r="38459" hidden="1">
      <c r="E38459" s="96"/>
    </row>
    <row r="38460" hidden="1">
      <c r="E38460" s="96"/>
    </row>
    <row r="38461" hidden="1">
      <c r="E38461" s="96"/>
    </row>
    <row r="38462" hidden="1">
      <c r="E38462" s="96"/>
    </row>
    <row r="38463" hidden="1">
      <c r="E38463" s="96"/>
    </row>
    <row r="38464" hidden="1">
      <c r="E38464" s="96"/>
    </row>
    <row r="38465" hidden="1">
      <c r="E38465" s="96"/>
    </row>
    <row r="38466" hidden="1">
      <c r="E38466" s="96"/>
    </row>
    <row r="38467" hidden="1">
      <c r="E38467" s="96"/>
    </row>
    <row r="38468" hidden="1">
      <c r="E38468" s="96"/>
    </row>
    <row r="38469" hidden="1">
      <c r="E38469" s="96"/>
    </row>
    <row r="38470" hidden="1">
      <c r="E38470" s="96"/>
    </row>
    <row r="38471" hidden="1">
      <c r="E38471" s="96"/>
    </row>
    <row r="38472" hidden="1">
      <c r="E38472" s="96"/>
    </row>
    <row r="38473" hidden="1">
      <c r="E38473" s="96"/>
    </row>
    <row r="38474" hidden="1">
      <c r="E38474" s="96"/>
    </row>
    <row r="38475" hidden="1">
      <c r="E38475" s="96"/>
    </row>
    <row r="38476" hidden="1">
      <c r="E38476" s="96"/>
    </row>
    <row r="38477" hidden="1">
      <c r="E38477" s="96"/>
    </row>
    <row r="38478" hidden="1">
      <c r="E38478" s="96"/>
    </row>
    <row r="38479" hidden="1">
      <c r="E38479" s="96"/>
    </row>
    <row r="38480" hidden="1">
      <c r="E38480" s="96"/>
    </row>
    <row r="38481" hidden="1">
      <c r="E38481" s="96"/>
    </row>
    <row r="38482" hidden="1">
      <c r="E38482" s="96"/>
    </row>
    <row r="38483" hidden="1">
      <c r="E38483" s="96"/>
    </row>
    <row r="38484" hidden="1">
      <c r="E38484" s="96"/>
    </row>
    <row r="38485" hidden="1">
      <c r="E38485" s="96"/>
    </row>
    <row r="38486" hidden="1">
      <c r="E38486" s="96"/>
    </row>
    <row r="38487" hidden="1">
      <c r="E38487" s="96"/>
    </row>
    <row r="38488" hidden="1">
      <c r="E38488" s="96"/>
    </row>
    <row r="38489" hidden="1">
      <c r="E38489" s="96"/>
    </row>
    <row r="38490" hidden="1">
      <c r="E38490" s="96"/>
    </row>
    <row r="38491" hidden="1">
      <c r="E38491" s="96"/>
    </row>
    <row r="38492" hidden="1">
      <c r="E38492" s="96"/>
    </row>
    <row r="38493" hidden="1">
      <c r="E38493" s="96"/>
    </row>
    <row r="38494" hidden="1">
      <c r="E38494" s="96"/>
    </row>
    <row r="38495" hidden="1">
      <c r="E38495" s="96"/>
    </row>
    <row r="38496" hidden="1">
      <c r="E38496" s="96"/>
    </row>
    <row r="38497" hidden="1">
      <c r="E38497" s="96"/>
    </row>
    <row r="38498" hidden="1">
      <c r="E38498" s="96"/>
    </row>
    <row r="38499" hidden="1">
      <c r="E38499" s="96"/>
    </row>
    <row r="38500" hidden="1">
      <c r="E38500" s="96"/>
    </row>
    <row r="38501" hidden="1">
      <c r="E38501" s="96"/>
    </row>
    <row r="38502" hidden="1">
      <c r="E38502" s="96"/>
    </row>
    <row r="38503" hidden="1">
      <c r="E38503" s="96"/>
    </row>
    <row r="38504" hidden="1">
      <c r="E38504" s="96"/>
    </row>
    <row r="38505" hidden="1">
      <c r="E38505" s="96"/>
    </row>
    <row r="38506" hidden="1">
      <c r="E38506" s="96"/>
    </row>
    <row r="38507" hidden="1">
      <c r="E38507" s="96"/>
    </row>
    <row r="38508" hidden="1">
      <c r="E38508" s="96"/>
    </row>
    <row r="38509" hidden="1">
      <c r="E38509" s="96"/>
    </row>
    <row r="38510" hidden="1">
      <c r="E38510" s="96"/>
    </row>
    <row r="38511" hidden="1">
      <c r="E38511" s="96"/>
    </row>
    <row r="38512" hidden="1">
      <c r="E38512" s="96"/>
    </row>
    <row r="38513" hidden="1">
      <c r="E38513" s="96"/>
    </row>
    <row r="38514" hidden="1">
      <c r="E38514" s="96"/>
    </row>
    <row r="38515" hidden="1">
      <c r="E38515" s="96"/>
    </row>
    <row r="38516" hidden="1">
      <c r="E38516" s="96"/>
    </row>
    <row r="38517" hidden="1">
      <c r="E38517" s="96"/>
    </row>
    <row r="38518" hidden="1">
      <c r="E38518" s="96"/>
    </row>
    <row r="38519" hidden="1">
      <c r="E38519" s="96"/>
    </row>
    <row r="38520" hidden="1">
      <c r="E38520" s="96"/>
    </row>
    <row r="38521" hidden="1">
      <c r="E38521" s="96"/>
    </row>
    <row r="38522" hidden="1">
      <c r="E38522" s="96"/>
    </row>
    <row r="38523" hidden="1">
      <c r="E38523" s="96"/>
    </row>
    <row r="38524" hidden="1">
      <c r="E38524" s="96"/>
    </row>
    <row r="38525" hidden="1">
      <c r="E38525" s="96"/>
    </row>
    <row r="38526" hidden="1">
      <c r="E38526" s="96"/>
    </row>
    <row r="38527" hidden="1">
      <c r="E38527" s="96"/>
    </row>
    <row r="38528" hidden="1">
      <c r="E38528" s="96"/>
    </row>
    <row r="38529" hidden="1">
      <c r="E38529" s="96"/>
    </row>
    <row r="38530" hidden="1">
      <c r="E38530" s="96"/>
    </row>
    <row r="38531" hidden="1">
      <c r="E38531" s="96"/>
    </row>
    <row r="38532" hidden="1">
      <c r="E38532" s="96"/>
    </row>
    <row r="38533" hidden="1">
      <c r="E38533" s="96"/>
    </row>
    <row r="38534" hidden="1">
      <c r="E38534" s="96"/>
    </row>
    <row r="38535" hidden="1">
      <c r="E38535" s="96"/>
    </row>
    <row r="38536" hidden="1">
      <c r="E38536" s="96"/>
    </row>
    <row r="38537" hidden="1">
      <c r="E38537" s="96"/>
    </row>
    <row r="38538" hidden="1">
      <c r="E38538" s="96"/>
    </row>
    <row r="38539" hidden="1">
      <c r="E38539" s="96"/>
    </row>
    <row r="38540" hidden="1">
      <c r="E38540" s="96"/>
    </row>
    <row r="38541" hidden="1">
      <c r="E38541" s="96"/>
    </row>
    <row r="38542" hidden="1">
      <c r="E38542" s="96"/>
    </row>
    <row r="38543" hidden="1">
      <c r="E38543" s="96"/>
    </row>
    <row r="38544" hidden="1">
      <c r="E38544" s="96"/>
    </row>
    <row r="38545" hidden="1">
      <c r="E38545" s="96"/>
    </row>
    <row r="38546" hidden="1">
      <c r="E38546" s="96"/>
    </row>
    <row r="38547" hidden="1">
      <c r="E38547" s="96"/>
    </row>
    <row r="38548" hidden="1">
      <c r="E38548" s="96"/>
    </row>
    <row r="38549" hidden="1">
      <c r="E38549" s="96"/>
    </row>
    <row r="38550" hidden="1">
      <c r="E38550" s="96"/>
    </row>
    <row r="38551" hidden="1">
      <c r="E38551" s="96"/>
    </row>
    <row r="38552" hidden="1">
      <c r="E38552" s="96"/>
    </row>
    <row r="38553" hidden="1">
      <c r="E38553" s="96"/>
    </row>
    <row r="38554" hidden="1">
      <c r="E38554" s="96"/>
    </row>
    <row r="38555" hidden="1">
      <c r="E38555" s="96"/>
    </row>
    <row r="38556" hidden="1">
      <c r="E38556" s="96"/>
    </row>
    <row r="38557" hidden="1">
      <c r="E38557" s="96"/>
    </row>
    <row r="38558" hidden="1">
      <c r="E38558" s="96"/>
    </row>
    <row r="38559" hidden="1">
      <c r="E38559" s="96"/>
    </row>
    <row r="38560" hidden="1">
      <c r="E38560" s="96"/>
    </row>
    <row r="38561" hidden="1">
      <c r="E38561" s="96"/>
    </row>
    <row r="38562" hidden="1">
      <c r="E38562" s="96"/>
    </row>
    <row r="38563" hidden="1">
      <c r="E38563" s="96"/>
    </row>
    <row r="38564" hidden="1">
      <c r="E38564" s="96"/>
    </row>
    <row r="38565" hidden="1">
      <c r="E38565" s="96"/>
    </row>
    <row r="38566" hidden="1">
      <c r="E38566" s="96"/>
    </row>
    <row r="38567" hidden="1">
      <c r="E38567" s="96"/>
    </row>
    <row r="38568" hidden="1">
      <c r="E38568" s="96"/>
    </row>
    <row r="38569" hidden="1">
      <c r="E38569" s="96"/>
    </row>
    <row r="38570" hidden="1">
      <c r="E38570" s="96"/>
    </row>
    <row r="38571" hidden="1">
      <c r="E38571" s="96"/>
    </row>
    <row r="38572" hidden="1">
      <c r="E38572" s="96"/>
    </row>
    <row r="38573" hidden="1">
      <c r="E38573" s="96"/>
    </row>
    <row r="38574" hidden="1">
      <c r="E38574" s="96"/>
    </row>
    <row r="38575" hidden="1">
      <c r="E38575" s="96"/>
    </row>
    <row r="38576" hidden="1">
      <c r="E38576" s="96"/>
    </row>
    <row r="38577" hidden="1">
      <c r="E38577" s="96"/>
    </row>
    <row r="38578" hidden="1">
      <c r="E38578" s="96"/>
    </row>
    <row r="38579" hidden="1">
      <c r="E38579" s="96"/>
    </row>
    <row r="38580" hidden="1">
      <c r="E38580" s="96"/>
    </row>
    <row r="38581" hidden="1">
      <c r="E38581" s="96"/>
    </row>
    <row r="38582" hidden="1">
      <c r="E38582" s="96"/>
    </row>
    <row r="38583" hidden="1">
      <c r="E38583" s="96"/>
    </row>
    <row r="38584" hidden="1">
      <c r="E38584" s="96"/>
    </row>
    <row r="38585" hidden="1">
      <c r="E38585" s="96"/>
    </row>
    <row r="38586" hidden="1">
      <c r="E38586" s="96"/>
    </row>
    <row r="38587" hidden="1">
      <c r="E38587" s="96"/>
    </row>
    <row r="38588" hidden="1">
      <c r="E38588" s="96"/>
    </row>
    <row r="38589" hidden="1">
      <c r="E38589" s="96"/>
    </row>
    <row r="38590" hidden="1">
      <c r="E38590" s="96"/>
    </row>
    <row r="38591" hidden="1">
      <c r="E38591" s="96"/>
    </row>
    <row r="38592" hidden="1">
      <c r="E38592" s="96"/>
    </row>
    <row r="38593" hidden="1">
      <c r="E38593" s="96"/>
    </row>
    <row r="38594" hidden="1">
      <c r="E38594" s="96"/>
    </row>
    <row r="38595" hidden="1">
      <c r="E38595" s="96"/>
    </row>
    <row r="38596" hidden="1">
      <c r="E38596" s="96"/>
    </row>
    <row r="38597" hidden="1">
      <c r="E38597" s="96"/>
    </row>
    <row r="38598" hidden="1">
      <c r="E38598" s="96"/>
    </row>
    <row r="38599" hidden="1">
      <c r="E38599" s="96"/>
    </row>
    <row r="38600" hidden="1">
      <c r="E38600" s="96"/>
    </row>
    <row r="38601" hidden="1">
      <c r="E38601" s="96"/>
    </row>
    <row r="38602" hidden="1">
      <c r="E38602" s="96"/>
    </row>
    <row r="38603" hidden="1">
      <c r="E38603" s="96"/>
    </row>
    <row r="38604" hidden="1">
      <c r="E38604" s="96"/>
    </row>
    <row r="38605" hidden="1">
      <c r="E38605" s="96"/>
    </row>
    <row r="38606" hidden="1">
      <c r="E38606" s="96"/>
    </row>
    <row r="38607" hidden="1">
      <c r="E38607" s="96"/>
    </row>
    <row r="38608" hidden="1">
      <c r="E38608" s="96"/>
    </row>
    <row r="38609" hidden="1">
      <c r="E38609" s="96"/>
    </row>
    <row r="38610" hidden="1">
      <c r="E38610" s="96"/>
    </row>
    <row r="38611" hidden="1">
      <c r="E38611" s="96"/>
    </row>
    <row r="38612" hidden="1">
      <c r="E38612" s="96"/>
    </row>
    <row r="38613" hidden="1">
      <c r="E38613" s="96"/>
    </row>
    <row r="38614" hidden="1">
      <c r="E38614" s="96"/>
    </row>
    <row r="38615" hidden="1">
      <c r="E38615" s="96"/>
    </row>
    <row r="38616" hidden="1">
      <c r="E38616" s="96"/>
    </row>
    <row r="38617" hidden="1">
      <c r="E38617" s="96"/>
    </row>
    <row r="38618" hidden="1">
      <c r="E38618" s="96"/>
    </row>
    <row r="38619" hidden="1">
      <c r="E38619" s="96"/>
    </row>
    <row r="38620" hidden="1">
      <c r="E38620" s="96"/>
    </row>
    <row r="38621" hidden="1">
      <c r="E38621" s="96"/>
    </row>
    <row r="38622" hidden="1">
      <c r="E38622" s="96"/>
    </row>
    <row r="38623" hidden="1">
      <c r="E38623" s="96"/>
    </row>
    <row r="38624" hidden="1">
      <c r="E38624" s="96"/>
    </row>
    <row r="38625" hidden="1">
      <c r="E38625" s="96"/>
    </row>
    <row r="38626" hidden="1">
      <c r="E38626" s="96"/>
    </row>
    <row r="38627" hidden="1">
      <c r="E38627" s="96"/>
    </row>
    <row r="38628" hidden="1">
      <c r="E38628" s="96"/>
    </row>
    <row r="38629" hidden="1">
      <c r="E38629" s="96"/>
    </row>
    <row r="38630" hidden="1">
      <c r="E38630" s="96"/>
    </row>
    <row r="38631" hidden="1">
      <c r="E38631" s="96"/>
    </row>
    <row r="38632" hidden="1">
      <c r="E38632" s="96"/>
    </row>
    <row r="38633" hidden="1">
      <c r="E38633" s="96"/>
    </row>
    <row r="38634" hidden="1">
      <c r="E38634" s="96"/>
    </row>
    <row r="38635" hidden="1">
      <c r="E38635" s="96"/>
    </row>
    <row r="38636" hidden="1">
      <c r="E38636" s="96"/>
    </row>
    <row r="38637" hidden="1">
      <c r="E38637" s="96"/>
    </row>
    <row r="38638" hidden="1">
      <c r="E38638" s="96"/>
    </row>
    <row r="38639" hidden="1">
      <c r="E38639" s="96"/>
    </row>
    <row r="38640" hidden="1">
      <c r="E38640" s="96"/>
    </row>
    <row r="38641" hidden="1">
      <c r="E38641" s="96"/>
    </row>
    <row r="38642" hidden="1">
      <c r="E38642" s="96"/>
    </row>
    <row r="38643" hidden="1">
      <c r="E38643" s="96"/>
    </row>
    <row r="38644" hidden="1">
      <c r="E38644" s="96"/>
    </row>
    <row r="38645" hidden="1">
      <c r="E38645" s="96"/>
    </row>
    <row r="38646" hidden="1">
      <c r="E38646" s="96"/>
    </row>
    <row r="38647" hidden="1">
      <c r="E38647" s="96"/>
    </row>
    <row r="38648" hidden="1">
      <c r="E38648" s="96"/>
    </row>
    <row r="38649" hidden="1">
      <c r="E38649" s="96"/>
    </row>
    <row r="38650" hidden="1">
      <c r="E38650" s="96"/>
    </row>
    <row r="38651" hidden="1">
      <c r="E38651" s="96"/>
    </row>
    <row r="38652" hidden="1">
      <c r="E38652" s="96"/>
    </row>
    <row r="38653" hidden="1">
      <c r="E38653" s="96"/>
    </row>
    <row r="38654" hidden="1">
      <c r="E38654" s="96"/>
    </row>
    <row r="38655" hidden="1">
      <c r="E38655" s="96"/>
    </row>
    <row r="38656" hidden="1">
      <c r="E38656" s="96"/>
    </row>
    <row r="38657" hidden="1">
      <c r="E38657" s="96"/>
    </row>
    <row r="38658" hidden="1">
      <c r="E38658" s="96"/>
    </row>
    <row r="38659" hidden="1">
      <c r="E38659" s="96"/>
    </row>
    <row r="38660" hidden="1">
      <c r="E38660" s="96"/>
    </row>
    <row r="38661" hidden="1">
      <c r="E38661" s="96"/>
    </row>
    <row r="38662" hidden="1">
      <c r="E38662" s="96"/>
    </row>
    <row r="38663" hidden="1">
      <c r="E38663" s="96"/>
    </row>
    <row r="38664" hidden="1">
      <c r="E38664" s="96"/>
    </row>
    <row r="38665" hidden="1">
      <c r="E38665" s="96"/>
    </row>
    <row r="38666" hidden="1">
      <c r="E38666" s="96"/>
    </row>
    <row r="38667" hidden="1">
      <c r="E38667" s="96"/>
    </row>
    <row r="38668" hidden="1">
      <c r="E38668" s="96"/>
    </row>
    <row r="38669" hidden="1">
      <c r="E38669" s="96"/>
    </row>
    <row r="38670" hidden="1">
      <c r="E38670" s="96"/>
    </row>
    <row r="38671" hidden="1">
      <c r="E38671" s="96"/>
    </row>
    <row r="38672" hidden="1">
      <c r="E38672" s="96"/>
    </row>
    <row r="38673" hidden="1">
      <c r="E38673" s="96"/>
    </row>
    <row r="38674" hidden="1">
      <c r="E38674" s="96"/>
    </row>
    <row r="38675" hidden="1">
      <c r="E38675" s="96"/>
    </row>
    <row r="38676" hidden="1">
      <c r="E38676" s="96"/>
    </row>
    <row r="38677" hidden="1">
      <c r="E38677" s="96"/>
    </row>
    <row r="38678" hidden="1">
      <c r="E38678" s="96"/>
    </row>
    <row r="38679" hidden="1">
      <c r="E38679" s="96"/>
    </row>
    <row r="38680" hidden="1">
      <c r="E38680" s="96"/>
    </row>
    <row r="38681" hidden="1">
      <c r="E38681" s="96"/>
    </row>
    <row r="38682" hidden="1">
      <c r="E38682" s="96"/>
    </row>
    <row r="38683" hidden="1">
      <c r="E38683" s="96"/>
    </row>
    <row r="38684" hidden="1">
      <c r="E38684" s="96"/>
    </row>
    <row r="38685" hidden="1">
      <c r="E38685" s="96"/>
    </row>
    <row r="38686" hidden="1">
      <c r="E38686" s="96"/>
    </row>
    <row r="38687" hidden="1">
      <c r="E38687" s="96"/>
    </row>
    <row r="38688" hidden="1">
      <c r="E38688" s="96"/>
    </row>
    <row r="38689" hidden="1">
      <c r="E38689" s="96"/>
    </row>
    <row r="38690" hidden="1">
      <c r="E38690" s="96"/>
    </row>
    <row r="38691" hidden="1">
      <c r="E38691" s="96"/>
    </row>
    <row r="38692" hidden="1">
      <c r="E38692" s="96"/>
    </row>
    <row r="38693" hidden="1">
      <c r="E38693" s="96"/>
    </row>
    <row r="38694" hidden="1">
      <c r="E38694" s="96"/>
    </row>
    <row r="38695" hidden="1">
      <c r="E38695" s="96"/>
    </row>
    <row r="38696" hidden="1">
      <c r="E38696" s="96"/>
    </row>
    <row r="38697" hidden="1">
      <c r="E38697" s="96"/>
    </row>
    <row r="38698" hidden="1">
      <c r="E38698" s="96"/>
    </row>
    <row r="38699" hidden="1">
      <c r="E38699" s="96"/>
    </row>
    <row r="38700" hidden="1">
      <c r="E38700" s="96"/>
    </row>
    <row r="38701" hidden="1">
      <c r="E38701" s="96"/>
    </row>
    <row r="38702" hidden="1">
      <c r="E38702" s="96"/>
    </row>
    <row r="38703" hidden="1">
      <c r="E38703" s="96"/>
    </row>
    <row r="38704" hidden="1">
      <c r="E38704" s="96"/>
    </row>
    <row r="38705" hidden="1">
      <c r="E38705" s="96"/>
    </row>
    <row r="38706" hidden="1">
      <c r="E38706" s="96"/>
    </row>
    <row r="38707" hidden="1">
      <c r="E38707" s="96"/>
    </row>
    <row r="38708" hidden="1">
      <c r="E38708" s="96"/>
    </row>
    <row r="38709" hidden="1">
      <c r="E38709" s="96"/>
    </row>
    <row r="38710" hidden="1">
      <c r="E38710" s="96"/>
    </row>
    <row r="38711" hidden="1">
      <c r="E38711" s="96"/>
    </row>
    <row r="38712" hidden="1">
      <c r="E38712" s="96"/>
    </row>
    <row r="38713" hidden="1">
      <c r="E38713" s="96"/>
    </row>
    <row r="38714" hidden="1">
      <c r="E38714" s="96"/>
    </row>
    <row r="38715" hidden="1">
      <c r="E38715" s="96"/>
    </row>
    <row r="38716" hidden="1">
      <c r="E38716" s="96"/>
    </row>
    <row r="38717" hidden="1">
      <c r="E38717" s="96"/>
    </row>
    <row r="38718" hidden="1">
      <c r="E38718" s="96"/>
    </row>
    <row r="38719" hidden="1">
      <c r="E38719" s="96"/>
    </row>
    <row r="38720" hidden="1">
      <c r="E38720" s="96"/>
    </row>
    <row r="38721" hidden="1">
      <c r="E38721" s="96"/>
    </row>
    <row r="38722" hidden="1">
      <c r="E38722" s="96"/>
    </row>
    <row r="38723" hidden="1">
      <c r="E38723" s="96"/>
    </row>
    <row r="38724" hidden="1">
      <c r="E38724" s="96"/>
    </row>
    <row r="38725" hidden="1">
      <c r="E38725" s="96"/>
    </row>
    <row r="38726" hidden="1">
      <c r="E38726" s="96"/>
    </row>
    <row r="38727" hidden="1">
      <c r="E38727" s="96"/>
    </row>
    <row r="38728" hidden="1">
      <c r="E38728" s="96"/>
    </row>
    <row r="38729" hidden="1">
      <c r="E38729" s="96"/>
    </row>
    <row r="38730" hidden="1">
      <c r="E38730" s="96"/>
    </row>
    <row r="38731" hidden="1">
      <c r="E38731" s="96"/>
    </row>
    <row r="38732" hidden="1">
      <c r="E38732" s="96"/>
    </row>
    <row r="38733" hidden="1">
      <c r="E38733" s="96"/>
    </row>
    <row r="38734" hidden="1">
      <c r="E38734" s="96"/>
    </row>
    <row r="38735" hidden="1">
      <c r="E38735" s="96"/>
    </row>
    <row r="38736" hidden="1">
      <c r="E38736" s="96"/>
    </row>
    <row r="38737" hidden="1">
      <c r="E38737" s="96"/>
    </row>
    <row r="38738" hidden="1">
      <c r="E38738" s="96"/>
    </row>
    <row r="38739" hidden="1">
      <c r="E38739" s="96"/>
    </row>
    <row r="38740" hidden="1">
      <c r="E38740" s="96"/>
    </row>
    <row r="38741" hidden="1">
      <c r="E38741" s="96"/>
    </row>
    <row r="38742" hidden="1">
      <c r="E38742" s="96"/>
    </row>
    <row r="38743" hidden="1">
      <c r="E38743" s="96"/>
    </row>
    <row r="38744" hidden="1">
      <c r="E38744" s="96"/>
    </row>
    <row r="38745" hidden="1">
      <c r="E38745" s="96"/>
    </row>
    <row r="38746" hidden="1">
      <c r="E38746" s="96"/>
    </row>
    <row r="38747" hidden="1">
      <c r="E38747" s="96"/>
    </row>
    <row r="38748" hidden="1">
      <c r="E38748" s="96"/>
    </row>
    <row r="38749" hidden="1">
      <c r="E38749" s="96"/>
    </row>
    <row r="38750" hidden="1">
      <c r="E38750" s="96"/>
    </row>
    <row r="38751" hidden="1">
      <c r="E38751" s="96"/>
    </row>
    <row r="38752" hidden="1">
      <c r="E38752" s="96"/>
    </row>
    <row r="38753" hidden="1">
      <c r="E38753" s="96"/>
    </row>
    <row r="38754" hidden="1">
      <c r="E38754" s="96"/>
    </row>
    <row r="38755" hidden="1">
      <c r="E38755" s="96"/>
    </row>
    <row r="38756" hidden="1">
      <c r="E38756" s="96"/>
    </row>
    <row r="38757" hidden="1">
      <c r="E38757" s="96"/>
    </row>
    <row r="38758" hidden="1">
      <c r="E38758" s="96"/>
    </row>
    <row r="38759" hidden="1">
      <c r="E38759" s="96"/>
    </row>
    <row r="38760" hidden="1">
      <c r="E38760" s="96"/>
    </row>
    <row r="38761" hidden="1">
      <c r="E38761" s="96"/>
    </row>
    <row r="38762" hidden="1">
      <c r="E38762" s="96"/>
    </row>
    <row r="38763" hidden="1">
      <c r="E38763" s="96"/>
    </row>
    <row r="38764" hidden="1">
      <c r="E38764" s="96"/>
    </row>
    <row r="38765" hidden="1">
      <c r="E38765" s="96"/>
    </row>
    <row r="38766" hidden="1">
      <c r="E38766" s="96"/>
    </row>
    <row r="38767" hidden="1">
      <c r="E38767" s="96"/>
    </row>
    <row r="38768" hidden="1">
      <c r="E38768" s="96"/>
    </row>
    <row r="38769" hidden="1">
      <c r="E38769" s="96"/>
    </row>
    <row r="38770" hidden="1">
      <c r="E38770" s="96"/>
    </row>
    <row r="38771" hidden="1">
      <c r="E38771" s="96"/>
    </row>
    <row r="38772" hidden="1">
      <c r="E38772" s="96"/>
    </row>
    <row r="38773" hidden="1">
      <c r="E38773" s="96"/>
    </row>
    <row r="38774" hidden="1">
      <c r="E38774" s="96"/>
    </row>
    <row r="38775" hidden="1">
      <c r="E38775" s="96"/>
    </row>
    <row r="38776" hidden="1">
      <c r="E38776" s="96"/>
    </row>
    <row r="38777" hidden="1">
      <c r="E38777" s="96"/>
    </row>
    <row r="38778" hidden="1">
      <c r="E38778" s="96"/>
    </row>
    <row r="38779" hidden="1">
      <c r="E38779" s="96"/>
    </row>
    <row r="38780" hidden="1">
      <c r="E38780" s="96"/>
    </row>
    <row r="38781" hidden="1">
      <c r="E38781" s="96"/>
    </row>
    <row r="38782" hidden="1">
      <c r="E38782" s="96"/>
    </row>
    <row r="38783" hidden="1">
      <c r="E38783" s="96"/>
    </row>
    <row r="38784" hidden="1">
      <c r="E38784" s="96"/>
    </row>
    <row r="38785" hidden="1">
      <c r="E38785" s="96"/>
    </row>
    <row r="38786" hidden="1">
      <c r="E38786" s="96"/>
    </row>
    <row r="38787" hidden="1">
      <c r="E38787" s="96"/>
    </row>
    <row r="38788" hidden="1">
      <c r="E38788" s="96"/>
    </row>
    <row r="38789" hidden="1">
      <c r="E38789" s="96"/>
    </row>
    <row r="38790" hidden="1">
      <c r="E38790" s="96"/>
    </row>
    <row r="38791" hidden="1">
      <c r="E38791" s="96"/>
    </row>
    <row r="38792" hidden="1">
      <c r="E38792" s="96"/>
    </row>
    <row r="38793" hidden="1">
      <c r="E38793" s="96"/>
    </row>
    <row r="38794" hidden="1">
      <c r="E38794" s="96"/>
    </row>
    <row r="38795" hidden="1">
      <c r="E38795" s="96"/>
    </row>
    <row r="38796" hidden="1">
      <c r="E38796" s="96"/>
    </row>
    <row r="38797" hidden="1">
      <c r="E38797" s="96"/>
    </row>
    <row r="38798" hidden="1">
      <c r="E38798" s="96"/>
    </row>
    <row r="38799" hidden="1">
      <c r="E38799" s="96"/>
    </row>
    <row r="38800" hidden="1">
      <c r="E38800" s="96"/>
    </row>
    <row r="38801" hidden="1">
      <c r="E38801" s="96"/>
    </row>
    <row r="38802" hidden="1">
      <c r="E38802" s="96"/>
    </row>
    <row r="38803" hidden="1">
      <c r="E38803" s="96"/>
    </row>
    <row r="38804" hidden="1">
      <c r="E38804" s="96"/>
    </row>
    <row r="38805" hidden="1">
      <c r="E38805" s="96"/>
    </row>
    <row r="38806" hidden="1">
      <c r="E38806" s="96"/>
    </row>
    <row r="38807" hidden="1">
      <c r="E38807" s="96"/>
    </row>
    <row r="38808" hidden="1">
      <c r="E38808" s="96"/>
    </row>
    <row r="38809" hidden="1">
      <c r="E38809" s="96"/>
    </row>
    <row r="38810" hidden="1">
      <c r="E38810" s="96"/>
    </row>
    <row r="38811" hidden="1">
      <c r="E38811" s="96"/>
    </row>
    <row r="38812" hidden="1">
      <c r="E38812" s="96"/>
    </row>
    <row r="38813" hidden="1">
      <c r="E38813" s="96"/>
    </row>
    <row r="38814" hidden="1">
      <c r="E38814" s="96"/>
    </row>
    <row r="38815" hidden="1">
      <c r="E38815" s="96"/>
    </row>
    <row r="38816" hidden="1">
      <c r="E38816" s="96"/>
    </row>
    <row r="38817" hidden="1">
      <c r="E38817" s="96"/>
    </row>
    <row r="38818" hidden="1">
      <c r="E38818" s="96"/>
    </row>
    <row r="38819" hidden="1">
      <c r="E38819" s="96"/>
    </row>
    <row r="38820" hidden="1">
      <c r="E38820" s="96"/>
    </row>
    <row r="38821" hidden="1">
      <c r="E38821" s="96"/>
    </row>
    <row r="38822" hidden="1">
      <c r="E38822" s="96"/>
    </row>
    <row r="38823" hidden="1">
      <c r="E38823" s="96"/>
    </row>
    <row r="38824" hidden="1">
      <c r="E38824" s="96"/>
    </row>
    <row r="38825" hidden="1">
      <c r="E38825" s="96"/>
    </row>
    <row r="38826" hidden="1">
      <c r="E38826" s="96"/>
    </row>
    <row r="38827" hidden="1">
      <c r="E38827" s="96"/>
    </row>
    <row r="38828" hidden="1">
      <c r="E38828" s="96"/>
    </row>
    <row r="38829" hidden="1">
      <c r="E38829" s="96"/>
    </row>
    <row r="38830" hidden="1">
      <c r="E38830" s="96"/>
    </row>
    <row r="38831" hidden="1">
      <c r="E38831" s="96"/>
    </row>
    <row r="38832" hidden="1">
      <c r="E38832" s="96"/>
    </row>
    <row r="38833" hidden="1">
      <c r="E38833" s="96"/>
    </row>
    <row r="38834" hidden="1">
      <c r="E38834" s="96"/>
    </row>
    <row r="38835" hidden="1">
      <c r="E38835" s="96"/>
    </row>
    <row r="38836" hidden="1">
      <c r="E38836" s="96"/>
    </row>
    <row r="38837" hidden="1">
      <c r="E38837" s="96"/>
    </row>
    <row r="38838" hidden="1">
      <c r="E38838" s="96"/>
    </row>
    <row r="38839" hidden="1">
      <c r="E38839" s="96"/>
    </row>
    <row r="38840" hidden="1">
      <c r="E38840" s="96"/>
    </row>
    <row r="38841" hidden="1">
      <c r="E38841" s="96"/>
    </row>
    <row r="38842" hidden="1">
      <c r="E38842" s="96"/>
    </row>
    <row r="38843" hidden="1">
      <c r="E38843" s="96"/>
    </row>
    <row r="38844" hidden="1">
      <c r="E38844" s="96"/>
    </row>
    <row r="38845" hidden="1">
      <c r="E38845" s="96"/>
    </row>
    <row r="38846" hidden="1">
      <c r="E38846" s="96"/>
    </row>
    <row r="38847" hidden="1">
      <c r="E38847" s="96"/>
    </row>
    <row r="38848" hidden="1">
      <c r="E38848" s="96"/>
    </row>
    <row r="38849" hidden="1">
      <c r="E38849" s="96"/>
    </row>
    <row r="38850" hidden="1">
      <c r="E38850" s="96"/>
    </row>
    <row r="38851" hidden="1">
      <c r="E38851" s="96"/>
    </row>
    <row r="38852" hidden="1">
      <c r="E38852" s="96"/>
    </row>
    <row r="38853" hidden="1">
      <c r="E38853" s="96"/>
    </row>
    <row r="38854" hidden="1">
      <c r="E38854" s="96"/>
    </row>
    <row r="38855" hidden="1">
      <c r="E38855" s="96"/>
    </row>
    <row r="38856" hidden="1">
      <c r="E38856" s="96"/>
    </row>
    <row r="38857" hidden="1">
      <c r="E38857" s="96"/>
    </row>
    <row r="38858" hidden="1">
      <c r="E38858" s="96"/>
    </row>
    <row r="38859" hidden="1">
      <c r="E38859" s="96"/>
    </row>
    <row r="38860" hidden="1">
      <c r="E38860" s="96"/>
    </row>
    <row r="38861" hidden="1">
      <c r="E38861" s="96"/>
    </row>
    <row r="38862" hidden="1">
      <c r="E38862" s="96"/>
    </row>
    <row r="38863" hidden="1">
      <c r="E38863" s="96"/>
    </row>
    <row r="38864" hidden="1">
      <c r="E38864" s="96"/>
    </row>
    <row r="38865" hidden="1">
      <c r="E38865" s="96"/>
    </row>
    <row r="38866" hidden="1">
      <c r="E38866" s="96"/>
    </row>
    <row r="38867" hidden="1">
      <c r="E38867" s="96"/>
    </row>
    <row r="38868" hidden="1">
      <c r="E38868" s="96"/>
    </row>
    <row r="38869" hidden="1">
      <c r="E38869" s="96"/>
    </row>
    <row r="38870" hidden="1">
      <c r="E38870" s="96"/>
    </row>
    <row r="38871" hidden="1">
      <c r="E38871" s="96"/>
    </row>
    <row r="38872" hidden="1">
      <c r="E38872" s="96"/>
    </row>
    <row r="38873" hidden="1">
      <c r="E38873" s="96"/>
    </row>
    <row r="38874" hidden="1">
      <c r="E38874" s="96"/>
    </row>
    <row r="38875" hidden="1">
      <c r="E38875" s="96"/>
    </row>
    <row r="38876" hidden="1">
      <c r="E38876" s="96"/>
    </row>
    <row r="38877" hidden="1">
      <c r="E38877" s="96"/>
    </row>
    <row r="38878" hidden="1">
      <c r="E38878" s="96"/>
    </row>
    <row r="38879" hidden="1">
      <c r="E38879" s="96"/>
    </row>
    <row r="38880" hidden="1">
      <c r="E38880" s="96"/>
    </row>
    <row r="38881" hidden="1">
      <c r="E38881" s="96"/>
    </row>
    <row r="38882" hidden="1">
      <c r="E38882" s="96"/>
    </row>
    <row r="38883" hidden="1">
      <c r="E38883" s="96"/>
    </row>
    <row r="38884" hidden="1">
      <c r="E38884" s="96"/>
    </row>
    <row r="38885" hidden="1">
      <c r="E38885" s="96"/>
    </row>
    <row r="38886" hidden="1">
      <c r="E38886" s="96"/>
    </row>
    <row r="38887" hidden="1">
      <c r="E38887" s="96"/>
    </row>
    <row r="38888" hidden="1">
      <c r="E38888" s="96"/>
    </row>
    <row r="38889" hidden="1">
      <c r="E38889" s="96"/>
    </row>
    <row r="38890" hidden="1">
      <c r="E38890" s="96"/>
    </row>
    <row r="38891" hidden="1">
      <c r="E38891" s="96"/>
    </row>
    <row r="38892" hidden="1">
      <c r="E38892" s="96"/>
    </row>
    <row r="38893" hidden="1">
      <c r="E38893" s="96"/>
    </row>
    <row r="38894" hidden="1">
      <c r="E38894" s="96"/>
    </row>
    <row r="38895" hidden="1">
      <c r="E38895" s="96"/>
    </row>
    <row r="38896" hidden="1">
      <c r="E38896" s="96"/>
    </row>
    <row r="38897" hidden="1">
      <c r="E38897" s="96"/>
    </row>
    <row r="38898" hidden="1">
      <c r="E38898" s="96"/>
    </row>
    <row r="38899" hidden="1">
      <c r="E38899" s="96"/>
    </row>
    <row r="38900" hidden="1">
      <c r="E38900" s="96"/>
    </row>
    <row r="38901" hidden="1">
      <c r="E38901" s="96"/>
    </row>
    <row r="38902" hidden="1">
      <c r="E38902" s="96"/>
    </row>
    <row r="38903" hidden="1">
      <c r="E38903" s="96"/>
    </row>
    <row r="38904" hidden="1">
      <c r="E38904" s="96"/>
    </row>
    <row r="38905" hidden="1">
      <c r="E38905" s="96"/>
    </row>
    <row r="38906" hidden="1">
      <c r="E38906" s="96"/>
    </row>
    <row r="38907" hidden="1">
      <c r="E38907" s="96"/>
    </row>
    <row r="38908" hidden="1">
      <c r="E38908" s="96"/>
    </row>
    <row r="38909" hidden="1">
      <c r="E38909" s="96"/>
    </row>
    <row r="38910" hidden="1">
      <c r="E38910" s="96"/>
    </row>
    <row r="38911" hidden="1">
      <c r="E38911" s="96"/>
    </row>
    <row r="38912" hidden="1">
      <c r="E38912" s="96"/>
    </row>
    <row r="38913" hidden="1">
      <c r="E38913" s="96"/>
    </row>
    <row r="38914" hidden="1">
      <c r="E38914" s="96"/>
    </row>
    <row r="38915" hidden="1">
      <c r="E38915" s="96"/>
    </row>
    <row r="38916" hidden="1">
      <c r="E38916" s="96"/>
    </row>
    <row r="38917" hidden="1">
      <c r="E38917" s="96"/>
    </row>
    <row r="38918" hidden="1">
      <c r="E38918" s="96"/>
    </row>
    <row r="38919" hidden="1">
      <c r="E38919" s="96"/>
    </row>
    <row r="38920" hidden="1">
      <c r="E38920" s="96"/>
    </row>
    <row r="38921" hidden="1">
      <c r="E38921" s="96"/>
    </row>
    <row r="38922" hidden="1">
      <c r="E38922" s="96"/>
    </row>
    <row r="38923" hidden="1">
      <c r="E38923" s="96"/>
    </row>
    <row r="38924" hidden="1">
      <c r="E38924" s="96"/>
    </row>
    <row r="38925" hidden="1">
      <c r="E38925" s="96"/>
    </row>
    <row r="38926" hidden="1">
      <c r="E38926" s="96"/>
    </row>
    <row r="38927" hidden="1">
      <c r="E38927" s="96"/>
    </row>
    <row r="38928" hidden="1">
      <c r="E38928" s="96"/>
    </row>
    <row r="38929" hidden="1">
      <c r="E38929" s="96"/>
    </row>
    <row r="38930" hidden="1">
      <c r="E38930" s="96"/>
    </row>
    <row r="38931" hidden="1">
      <c r="E38931" s="96"/>
    </row>
    <row r="38932" hidden="1">
      <c r="E38932" s="96"/>
    </row>
    <row r="38933" hidden="1">
      <c r="E38933" s="96"/>
    </row>
    <row r="38934" hidden="1">
      <c r="E38934" s="96"/>
    </row>
    <row r="38935" hidden="1">
      <c r="E38935" s="96"/>
    </row>
    <row r="38936" hidden="1">
      <c r="E38936" s="96"/>
    </row>
    <row r="38937" hidden="1">
      <c r="E38937" s="96"/>
    </row>
    <row r="38938" hidden="1">
      <c r="E38938" s="96"/>
    </row>
    <row r="38939" hidden="1">
      <c r="E38939" s="96"/>
    </row>
    <row r="38940" hidden="1">
      <c r="E38940" s="96"/>
    </row>
    <row r="38941" hidden="1">
      <c r="E38941" s="96"/>
    </row>
    <row r="38942" hidden="1">
      <c r="E38942" s="96"/>
    </row>
    <row r="38943" hidden="1">
      <c r="E38943" s="96"/>
    </row>
    <row r="38944" hidden="1">
      <c r="E38944" s="96"/>
    </row>
    <row r="38945" hidden="1">
      <c r="E38945" s="96"/>
    </row>
    <row r="38946" hidden="1">
      <c r="E38946" s="96"/>
    </row>
    <row r="38947" hidden="1">
      <c r="E38947" s="96"/>
    </row>
    <row r="38948" hidden="1">
      <c r="E38948" s="96"/>
    </row>
    <row r="38949" hidden="1">
      <c r="E38949" s="96"/>
    </row>
    <row r="38950" hidden="1">
      <c r="E38950" s="96"/>
    </row>
    <row r="38951" hidden="1">
      <c r="E38951" s="96"/>
    </row>
    <row r="38952" hidden="1">
      <c r="E38952" s="96"/>
    </row>
    <row r="38953" hidden="1">
      <c r="E38953" s="96"/>
    </row>
    <row r="38954" hidden="1">
      <c r="E38954" s="96"/>
    </row>
    <row r="38955" hidden="1">
      <c r="E38955" s="96"/>
    </row>
    <row r="38956" hidden="1">
      <c r="E38956" s="96"/>
    </row>
    <row r="38957" hidden="1">
      <c r="E38957" s="96"/>
    </row>
    <row r="38958" hidden="1">
      <c r="E38958" s="96"/>
    </row>
    <row r="38959" hidden="1">
      <c r="E38959" s="96"/>
    </row>
    <row r="38960" hidden="1">
      <c r="E38960" s="96"/>
    </row>
    <row r="38961" hidden="1">
      <c r="E38961" s="96"/>
    </row>
    <row r="38962" hidden="1">
      <c r="E38962" s="96"/>
    </row>
    <row r="38963" hidden="1">
      <c r="E38963" s="96"/>
    </row>
    <row r="38964" hidden="1">
      <c r="E38964" s="96"/>
    </row>
    <row r="38965" hidden="1">
      <c r="E38965" s="96"/>
    </row>
    <row r="38966" hidden="1">
      <c r="E38966" s="96"/>
    </row>
    <row r="38967" hidden="1">
      <c r="E38967" s="96"/>
    </row>
    <row r="38968" hidden="1">
      <c r="E38968" s="96"/>
    </row>
    <row r="38969" hidden="1">
      <c r="E38969" s="96"/>
    </row>
    <row r="38970" hidden="1">
      <c r="E38970" s="96"/>
    </row>
    <row r="38971" hidden="1">
      <c r="E38971" s="96"/>
    </row>
    <row r="38972" hidden="1">
      <c r="E38972" s="96"/>
    </row>
    <row r="38973" hidden="1">
      <c r="E38973" s="96"/>
    </row>
    <row r="38974" hidden="1">
      <c r="E38974" s="96"/>
    </row>
    <row r="38975" hidden="1">
      <c r="E38975" s="96"/>
    </row>
    <row r="38976" hidden="1">
      <c r="E38976" s="96"/>
    </row>
    <row r="38977" hidden="1">
      <c r="E38977" s="96"/>
    </row>
    <row r="38978" hidden="1">
      <c r="E38978" s="96"/>
    </row>
    <row r="38979" hidden="1">
      <c r="E38979" s="96"/>
    </row>
    <row r="38980" hidden="1">
      <c r="E38980" s="96"/>
    </row>
    <row r="38981" hidden="1">
      <c r="E38981" s="96"/>
    </row>
    <row r="38982" hidden="1">
      <c r="E38982" s="96"/>
    </row>
    <row r="38983" hidden="1">
      <c r="E38983" s="96"/>
    </row>
    <row r="38984" hidden="1">
      <c r="E38984" s="96"/>
    </row>
    <row r="38985" hidden="1">
      <c r="E38985" s="96"/>
    </row>
    <row r="38986" hidden="1">
      <c r="E38986" s="96"/>
    </row>
    <row r="38987" hidden="1">
      <c r="E38987" s="96"/>
    </row>
    <row r="38988" hidden="1">
      <c r="E38988" s="96"/>
    </row>
    <row r="38989" hidden="1">
      <c r="E38989" s="96"/>
    </row>
    <row r="38990" hidden="1">
      <c r="E38990" s="96"/>
    </row>
    <row r="38991" hidden="1">
      <c r="E38991" s="96"/>
    </row>
    <row r="38992" hidden="1">
      <c r="E38992" s="96"/>
    </row>
    <row r="38993" hidden="1">
      <c r="E38993" s="96"/>
    </row>
    <row r="38994" hidden="1">
      <c r="E38994" s="96"/>
    </row>
    <row r="38995" hidden="1">
      <c r="E38995" s="96"/>
    </row>
    <row r="38996" hidden="1">
      <c r="E38996" s="96"/>
    </row>
    <row r="38997" hidden="1">
      <c r="E38997" s="96"/>
    </row>
    <row r="38998" hidden="1">
      <c r="E38998" s="96"/>
    </row>
    <row r="38999" hidden="1">
      <c r="E38999" s="96"/>
    </row>
    <row r="39000" hidden="1">
      <c r="E39000" s="96"/>
    </row>
    <row r="39001" hidden="1">
      <c r="E39001" s="96"/>
    </row>
    <row r="39002" hidden="1">
      <c r="E39002" s="96"/>
    </row>
    <row r="39003" hidden="1">
      <c r="E39003" s="96"/>
    </row>
    <row r="39004" hidden="1">
      <c r="E39004" s="96"/>
    </row>
    <row r="39005" hidden="1">
      <c r="E39005" s="96"/>
    </row>
    <row r="39006" hidden="1">
      <c r="E39006" s="96"/>
    </row>
    <row r="39007" hidden="1">
      <c r="E39007" s="96"/>
    </row>
    <row r="39008" hidden="1">
      <c r="E39008" s="96"/>
    </row>
    <row r="39009" hidden="1">
      <c r="E39009" s="96"/>
    </row>
    <row r="39010" hidden="1">
      <c r="E39010" s="96"/>
    </row>
    <row r="39011" hidden="1">
      <c r="E39011" s="96"/>
    </row>
    <row r="39012" hidden="1">
      <c r="E39012" s="96"/>
    </row>
    <row r="39013" hidden="1">
      <c r="E39013" s="96"/>
    </row>
    <row r="39014" hidden="1">
      <c r="E39014" s="96"/>
    </row>
    <row r="39015" hidden="1">
      <c r="E39015" s="96"/>
    </row>
    <row r="39016" hidden="1">
      <c r="E39016" s="96"/>
    </row>
    <row r="39017" hidden="1">
      <c r="E39017" s="96"/>
    </row>
    <row r="39018" hidden="1">
      <c r="E39018" s="96"/>
    </row>
    <row r="39019" hidden="1">
      <c r="E39019" s="96"/>
    </row>
    <row r="39020" hidden="1">
      <c r="E39020" s="96"/>
    </row>
    <row r="39021" hidden="1">
      <c r="E39021" s="96"/>
    </row>
    <row r="39022" hidden="1">
      <c r="E39022" s="96"/>
    </row>
    <row r="39023" hidden="1">
      <c r="E39023" s="96"/>
    </row>
    <row r="39024" hidden="1">
      <c r="E39024" s="96"/>
    </row>
    <row r="39025" hidden="1">
      <c r="E39025" s="96"/>
    </row>
    <row r="39026" hidden="1">
      <c r="E39026" s="96"/>
    </row>
    <row r="39027" hidden="1">
      <c r="E39027" s="96"/>
    </row>
    <row r="39028" hidden="1">
      <c r="E39028" s="96"/>
    </row>
    <row r="39029" hidden="1">
      <c r="E39029" s="96"/>
    </row>
    <row r="39030" hidden="1">
      <c r="E39030" s="96"/>
    </row>
    <row r="39031" hidden="1">
      <c r="E39031" s="96"/>
    </row>
    <row r="39032" hidden="1">
      <c r="E39032" s="96"/>
    </row>
    <row r="39033" hidden="1">
      <c r="E39033" s="96"/>
    </row>
    <row r="39034" hidden="1">
      <c r="E39034" s="96"/>
    </row>
    <row r="39035" hidden="1">
      <c r="E39035" s="96"/>
    </row>
    <row r="39036" hidden="1">
      <c r="E39036" s="96"/>
    </row>
    <row r="39037" hidden="1">
      <c r="E39037" s="96"/>
    </row>
    <row r="39038" hidden="1">
      <c r="E39038" s="96"/>
    </row>
    <row r="39039" hidden="1">
      <c r="E39039" s="96"/>
    </row>
    <row r="39040" hidden="1">
      <c r="E39040" s="96"/>
    </row>
    <row r="39041" hidden="1">
      <c r="E39041" s="96"/>
    </row>
    <row r="39042" hidden="1">
      <c r="E39042" s="96"/>
    </row>
    <row r="39043" hidden="1">
      <c r="E39043" s="96"/>
    </row>
    <row r="39044" hidden="1">
      <c r="E39044" s="96"/>
    </row>
    <row r="39045" hidden="1">
      <c r="E39045" s="96"/>
    </row>
    <row r="39046" hidden="1">
      <c r="E39046" s="96"/>
    </row>
    <row r="39047" hidden="1">
      <c r="E39047" s="96"/>
    </row>
    <row r="39048" hidden="1">
      <c r="E39048" s="96"/>
    </row>
    <row r="39049" hidden="1">
      <c r="E39049" s="96"/>
    </row>
    <row r="39050" hidden="1">
      <c r="E39050" s="96"/>
    </row>
    <row r="39051" hidden="1">
      <c r="E39051" s="96"/>
    </row>
    <row r="39052" hidden="1">
      <c r="E39052" s="96"/>
    </row>
    <row r="39053" hidden="1">
      <c r="E39053" s="96"/>
    </row>
    <row r="39054" hidden="1">
      <c r="E39054" s="96"/>
    </row>
    <row r="39055" hidden="1">
      <c r="E39055" s="96"/>
    </row>
    <row r="39056" hidden="1">
      <c r="E39056" s="96"/>
    </row>
    <row r="39057" hidden="1">
      <c r="E39057" s="96"/>
    </row>
    <row r="39058" hidden="1">
      <c r="E39058" s="96"/>
    </row>
    <row r="39059" hidden="1">
      <c r="E39059" s="96"/>
    </row>
    <row r="39060" hidden="1">
      <c r="E39060" s="96"/>
    </row>
    <row r="39061" hidden="1">
      <c r="E39061" s="96"/>
    </row>
    <row r="39062" hidden="1">
      <c r="E39062" s="96"/>
    </row>
    <row r="39063" hidden="1">
      <c r="E39063" s="96"/>
    </row>
    <row r="39064" hidden="1">
      <c r="E39064" s="96"/>
    </row>
    <row r="39065" hidden="1">
      <c r="E39065" s="96"/>
    </row>
    <row r="39066" hidden="1">
      <c r="E39066" s="96"/>
    </row>
    <row r="39067" hidden="1">
      <c r="E39067" s="96"/>
    </row>
    <row r="39068" hidden="1">
      <c r="E39068" s="96"/>
    </row>
    <row r="39069" hidden="1">
      <c r="E39069" s="96"/>
    </row>
    <row r="39070" hidden="1">
      <c r="E39070" s="96"/>
    </row>
    <row r="39071" hidden="1">
      <c r="E39071" s="96"/>
    </row>
    <row r="39072" hidden="1">
      <c r="E39072" s="96"/>
    </row>
    <row r="39073" hidden="1">
      <c r="E39073" s="96"/>
    </row>
    <row r="39074" hidden="1">
      <c r="E39074" s="96"/>
    </row>
    <row r="39075" hidden="1">
      <c r="E39075" s="96"/>
    </row>
    <row r="39076" hidden="1">
      <c r="E39076" s="96"/>
    </row>
    <row r="39077" hidden="1">
      <c r="E39077" s="96"/>
    </row>
    <row r="39078" hidden="1">
      <c r="E39078" s="96"/>
    </row>
    <row r="39079" hidden="1">
      <c r="E39079" s="96"/>
    </row>
    <row r="39080" hidden="1">
      <c r="E39080" s="96"/>
    </row>
    <row r="39081" hidden="1">
      <c r="E39081" s="96"/>
    </row>
    <row r="39082" hidden="1">
      <c r="E39082" s="96"/>
    </row>
    <row r="39083" hidden="1">
      <c r="E39083" s="96"/>
    </row>
    <row r="39084" hidden="1">
      <c r="E39084" s="96"/>
    </row>
    <row r="39085" hidden="1">
      <c r="E39085" s="96"/>
    </row>
    <row r="39086" hidden="1">
      <c r="E39086" s="96"/>
    </row>
    <row r="39087" hidden="1">
      <c r="E39087" s="96"/>
    </row>
    <row r="39088" hidden="1">
      <c r="E39088" s="96"/>
    </row>
    <row r="39089" hidden="1">
      <c r="E39089" s="96"/>
    </row>
    <row r="39090" hidden="1">
      <c r="E39090" s="96"/>
    </row>
    <row r="39091" hidden="1">
      <c r="E39091" s="96"/>
    </row>
    <row r="39092" hidden="1">
      <c r="E39092" s="96"/>
    </row>
    <row r="39093" hidden="1">
      <c r="E39093" s="96"/>
    </row>
    <row r="39094" hidden="1">
      <c r="E39094" s="96"/>
    </row>
    <row r="39095" hidden="1">
      <c r="E39095" s="96"/>
    </row>
    <row r="39096" hidden="1">
      <c r="E39096" s="96"/>
    </row>
    <row r="39097" hidden="1">
      <c r="E39097" s="96"/>
    </row>
    <row r="39098" hidden="1">
      <c r="E39098" s="96"/>
    </row>
    <row r="39099" hidden="1">
      <c r="E39099" s="96"/>
    </row>
    <row r="39100" hidden="1">
      <c r="E39100" s="96"/>
    </row>
    <row r="39101" hidden="1">
      <c r="E39101" s="96"/>
    </row>
    <row r="39102" hidden="1">
      <c r="E39102" s="96"/>
    </row>
    <row r="39103" hidden="1">
      <c r="E39103" s="96"/>
    </row>
    <row r="39104" hidden="1">
      <c r="E39104" s="96"/>
    </row>
    <row r="39105" hidden="1">
      <c r="E39105" s="96"/>
    </row>
    <row r="39106" hidden="1">
      <c r="E39106" s="96"/>
    </row>
    <row r="39107" hidden="1">
      <c r="E39107" s="96"/>
    </row>
    <row r="39108" hidden="1">
      <c r="E39108" s="96"/>
    </row>
    <row r="39109" hidden="1">
      <c r="E39109" s="96"/>
    </row>
    <row r="39110" hidden="1">
      <c r="E39110" s="96"/>
    </row>
    <row r="39111" hidden="1">
      <c r="E39111" s="96"/>
    </row>
    <row r="39112" hidden="1">
      <c r="E39112" s="96"/>
    </row>
    <row r="39113" hidden="1">
      <c r="E39113" s="96"/>
    </row>
    <row r="39114" hidden="1">
      <c r="E39114" s="96"/>
    </row>
    <row r="39115" hidden="1">
      <c r="E39115" s="96"/>
    </row>
    <row r="39116" hidden="1">
      <c r="E39116" s="96"/>
    </row>
    <row r="39117" hidden="1">
      <c r="E39117" s="96"/>
    </row>
    <row r="39118" hidden="1">
      <c r="E39118" s="96"/>
    </row>
    <row r="39119" hidden="1">
      <c r="E39119" s="96"/>
    </row>
    <row r="39120" hidden="1">
      <c r="E39120" s="96"/>
    </row>
    <row r="39121" hidden="1">
      <c r="E39121" s="96"/>
    </row>
    <row r="39122" hidden="1">
      <c r="E39122" s="96"/>
    </row>
    <row r="39123" hidden="1">
      <c r="E39123" s="96"/>
    </row>
    <row r="39124" hidden="1">
      <c r="E39124" s="96"/>
    </row>
    <row r="39125" hidden="1">
      <c r="E39125" s="96"/>
    </row>
    <row r="39126" hidden="1">
      <c r="E39126" s="96"/>
    </row>
    <row r="39127" hidden="1">
      <c r="E39127" s="96"/>
    </row>
    <row r="39128" hidden="1">
      <c r="E39128" s="96"/>
    </row>
    <row r="39129" hidden="1">
      <c r="E39129" s="96"/>
    </row>
    <row r="39130" hidden="1">
      <c r="E39130" s="96"/>
    </row>
    <row r="39131" hidden="1">
      <c r="E39131" s="96"/>
    </row>
    <row r="39132" hidden="1">
      <c r="E39132" s="96"/>
    </row>
    <row r="39133" hidden="1">
      <c r="E39133" s="96"/>
    </row>
    <row r="39134" hidden="1">
      <c r="E39134" s="96"/>
    </row>
    <row r="39135" hidden="1">
      <c r="E39135" s="96"/>
    </row>
    <row r="39136" hidden="1">
      <c r="E39136" s="96"/>
    </row>
    <row r="39137" hidden="1">
      <c r="E39137" s="96"/>
    </row>
    <row r="39138" hidden="1">
      <c r="E39138" s="96"/>
    </row>
    <row r="39139" hidden="1">
      <c r="E39139" s="96"/>
    </row>
    <row r="39140" hidden="1">
      <c r="E39140" s="96"/>
    </row>
    <row r="39141" hidden="1">
      <c r="E39141" s="96"/>
    </row>
    <row r="39142" hidden="1">
      <c r="E39142" s="96"/>
    </row>
    <row r="39143" hidden="1">
      <c r="E39143" s="96"/>
    </row>
    <row r="39144" hidden="1">
      <c r="E39144" s="96"/>
    </row>
    <row r="39145" hidden="1">
      <c r="E39145" s="96"/>
    </row>
    <row r="39146" hidden="1">
      <c r="E39146" s="96"/>
    </row>
    <row r="39147" hidden="1">
      <c r="E39147" s="96"/>
    </row>
    <row r="39148" hidden="1">
      <c r="E39148" s="96"/>
    </row>
    <row r="39149" hidden="1">
      <c r="E39149" s="96"/>
    </row>
    <row r="39150" hidden="1">
      <c r="E39150" s="96"/>
    </row>
    <row r="39151" hidden="1">
      <c r="E39151" s="96"/>
    </row>
    <row r="39152" hidden="1">
      <c r="E39152" s="96"/>
    </row>
    <row r="39153" hidden="1">
      <c r="E39153" s="96"/>
    </row>
    <row r="39154" hidden="1">
      <c r="E39154" s="96"/>
    </row>
    <row r="39155" hidden="1">
      <c r="E39155" s="96"/>
    </row>
    <row r="39156" hidden="1">
      <c r="E39156" s="96"/>
    </row>
    <row r="39157" hidden="1">
      <c r="E39157" s="96"/>
    </row>
    <row r="39158" hidden="1">
      <c r="E39158" s="96"/>
    </row>
    <row r="39159" hidden="1">
      <c r="E39159" s="96"/>
    </row>
    <row r="39160" hidden="1">
      <c r="E39160" s="96"/>
    </row>
    <row r="39161" hidden="1">
      <c r="E39161" s="96"/>
    </row>
    <row r="39162" hidden="1">
      <c r="E39162" s="96"/>
    </row>
    <row r="39163" hidden="1">
      <c r="E39163" s="96"/>
    </row>
    <row r="39164" hidden="1">
      <c r="E39164" s="96"/>
    </row>
    <row r="39165" hidden="1">
      <c r="E39165" s="96"/>
    </row>
    <row r="39166" hidden="1">
      <c r="E39166" s="96"/>
    </row>
    <row r="39167" hidden="1">
      <c r="E39167" s="96"/>
    </row>
    <row r="39168" hidden="1">
      <c r="E39168" s="96"/>
    </row>
    <row r="39169" hidden="1">
      <c r="E39169" s="96"/>
    </row>
    <row r="39170" hidden="1">
      <c r="E39170" s="96"/>
    </row>
    <row r="39171" hidden="1">
      <c r="E39171" s="96"/>
    </row>
    <row r="39172" hidden="1">
      <c r="E39172" s="96"/>
    </row>
    <row r="39173" hidden="1">
      <c r="E39173" s="96"/>
    </row>
    <row r="39174" hidden="1">
      <c r="E39174" s="96"/>
    </row>
    <row r="39175" hidden="1">
      <c r="E39175" s="96"/>
    </row>
    <row r="39176" hidden="1">
      <c r="E39176" s="96"/>
    </row>
    <row r="39177" hidden="1">
      <c r="E39177" s="96"/>
    </row>
    <row r="39178" hidden="1">
      <c r="E39178" s="96"/>
    </row>
    <row r="39179" hidden="1">
      <c r="E39179" s="96"/>
    </row>
    <row r="39180" hidden="1">
      <c r="E39180" s="96"/>
    </row>
    <row r="39181" hidden="1">
      <c r="E39181" s="96"/>
    </row>
    <row r="39182" hidden="1">
      <c r="E39182" s="96"/>
    </row>
    <row r="39183" hidden="1">
      <c r="E39183" s="96"/>
    </row>
    <row r="39184" hidden="1">
      <c r="E39184" s="96"/>
    </row>
    <row r="39185" hidden="1">
      <c r="E39185" s="96"/>
    </row>
    <row r="39186" hidden="1">
      <c r="E39186" s="96"/>
    </row>
    <row r="39187" hidden="1">
      <c r="E39187" s="96"/>
    </row>
    <row r="39188" hidden="1">
      <c r="E39188" s="96"/>
    </row>
    <row r="39189" hidden="1">
      <c r="E39189" s="96"/>
    </row>
    <row r="39190" hidden="1">
      <c r="E39190" s="96"/>
    </row>
    <row r="39191" hidden="1">
      <c r="E39191" s="96"/>
    </row>
    <row r="39192" hidden="1">
      <c r="E39192" s="96"/>
    </row>
    <row r="39193" hidden="1">
      <c r="E39193" s="96"/>
    </row>
    <row r="39194" hidden="1">
      <c r="E39194" s="96"/>
    </row>
    <row r="39195" hidden="1">
      <c r="E39195" s="96"/>
    </row>
    <row r="39196" hidden="1">
      <c r="E39196" s="96"/>
    </row>
    <row r="39197" hidden="1">
      <c r="E39197" s="96"/>
    </row>
    <row r="39198" hidden="1">
      <c r="E39198" s="96"/>
    </row>
    <row r="39199" hidden="1">
      <c r="E39199" s="96"/>
    </row>
    <row r="39200" hidden="1">
      <c r="E39200" s="96"/>
    </row>
    <row r="39201" hidden="1">
      <c r="E39201" s="96"/>
    </row>
    <row r="39202" hidden="1">
      <c r="E39202" s="96"/>
    </row>
    <row r="39203" hidden="1">
      <c r="E39203" s="96"/>
    </row>
    <row r="39204" hidden="1">
      <c r="E39204" s="96"/>
    </row>
    <row r="39205" hidden="1">
      <c r="E39205" s="96"/>
    </row>
    <row r="39206" hidden="1">
      <c r="E39206" s="96"/>
    </row>
    <row r="39207" hidden="1">
      <c r="E39207" s="96"/>
    </row>
    <row r="39208" hidden="1">
      <c r="E39208" s="96"/>
    </row>
    <row r="39209" hidden="1">
      <c r="E39209" s="96"/>
    </row>
    <row r="39210" hidden="1">
      <c r="E39210" s="96"/>
    </row>
    <row r="39211" hidden="1">
      <c r="E39211" s="96"/>
    </row>
    <row r="39212" hidden="1">
      <c r="E39212" s="96"/>
    </row>
    <row r="39213" hidden="1">
      <c r="E39213" s="96"/>
    </row>
    <row r="39214" hidden="1">
      <c r="E39214" s="96"/>
    </row>
    <row r="39215" hidden="1">
      <c r="E39215" s="96"/>
    </row>
    <row r="39216" hidden="1">
      <c r="E39216" s="96"/>
    </row>
    <row r="39217" hidden="1">
      <c r="E39217" s="96"/>
    </row>
    <row r="39218" hidden="1">
      <c r="E39218" s="96"/>
    </row>
    <row r="39219" hidden="1">
      <c r="E39219" s="96"/>
    </row>
    <row r="39220" hidden="1">
      <c r="E39220" s="96"/>
    </row>
    <row r="39221" hidden="1">
      <c r="E39221" s="96"/>
    </row>
    <row r="39222" hidden="1">
      <c r="E39222" s="96"/>
    </row>
    <row r="39223" hidden="1">
      <c r="E39223" s="96"/>
    </row>
    <row r="39224" hidden="1">
      <c r="E39224" s="96"/>
    </row>
    <row r="39225" hidden="1">
      <c r="E39225" s="96"/>
    </row>
    <row r="39226" hidden="1">
      <c r="E39226" s="96"/>
    </row>
    <row r="39227" hidden="1">
      <c r="E39227" s="96"/>
    </row>
    <row r="39228" hidden="1">
      <c r="E39228" s="96"/>
    </row>
    <row r="39229" hidden="1">
      <c r="E39229" s="96"/>
    </row>
    <row r="39230" hidden="1">
      <c r="E39230" s="96"/>
    </row>
    <row r="39231" hidden="1">
      <c r="E39231" s="96"/>
    </row>
    <row r="39232" hidden="1">
      <c r="E39232" s="96"/>
    </row>
    <row r="39233" hidden="1">
      <c r="E39233" s="96"/>
    </row>
    <row r="39234" hidden="1">
      <c r="E39234" s="96"/>
    </row>
    <row r="39235" hidden="1">
      <c r="E39235" s="96"/>
    </row>
    <row r="39236" hidden="1">
      <c r="E39236" s="96"/>
    </row>
    <row r="39237" hidden="1">
      <c r="E39237" s="96"/>
    </row>
    <row r="39238" hidden="1">
      <c r="E39238" s="96"/>
    </row>
    <row r="39239" hidden="1">
      <c r="E39239" s="96"/>
    </row>
    <row r="39240" hidden="1">
      <c r="E39240" s="96"/>
    </row>
    <row r="39241" hidden="1">
      <c r="E39241" s="96"/>
    </row>
    <row r="39242" hidden="1">
      <c r="E39242" s="96"/>
    </row>
    <row r="39243" hidden="1">
      <c r="E39243" s="96"/>
    </row>
    <row r="39244" hidden="1">
      <c r="E39244" s="96"/>
    </row>
    <row r="39245" hidden="1">
      <c r="E39245" s="96"/>
    </row>
    <row r="39246" hidden="1">
      <c r="E39246" s="96"/>
    </row>
    <row r="39247" hidden="1">
      <c r="E39247" s="96"/>
    </row>
    <row r="39248" hidden="1">
      <c r="E39248" s="96"/>
    </row>
    <row r="39249" hidden="1">
      <c r="E39249" s="96"/>
    </row>
    <row r="39250" hidden="1">
      <c r="E39250" s="96"/>
    </row>
    <row r="39251" hidden="1">
      <c r="E39251" s="96"/>
    </row>
    <row r="39252" hidden="1">
      <c r="E39252" s="96"/>
    </row>
    <row r="39253" hidden="1">
      <c r="E39253" s="96"/>
    </row>
    <row r="39254" hidden="1">
      <c r="E39254" s="96"/>
    </row>
    <row r="39255" hidden="1">
      <c r="E39255" s="96"/>
    </row>
    <row r="39256" hidden="1">
      <c r="E39256" s="96"/>
    </row>
    <row r="39257" hidden="1">
      <c r="E39257" s="96"/>
    </row>
    <row r="39258" hidden="1">
      <c r="E39258" s="96"/>
    </row>
    <row r="39259" hidden="1">
      <c r="E39259" s="96"/>
    </row>
    <row r="39260" hidden="1">
      <c r="E39260" s="96"/>
    </row>
    <row r="39261" hidden="1">
      <c r="E39261" s="96"/>
    </row>
    <row r="39262" hidden="1">
      <c r="E39262" s="96"/>
    </row>
    <row r="39263" hidden="1">
      <c r="E39263" s="96"/>
    </row>
    <row r="39264" hidden="1">
      <c r="E39264" s="96"/>
    </row>
    <row r="39265" hidden="1">
      <c r="E39265" s="96"/>
    </row>
    <row r="39266" hidden="1">
      <c r="E39266" s="96"/>
    </row>
    <row r="39267" hidden="1">
      <c r="E39267" s="96"/>
    </row>
    <row r="39268" hidden="1">
      <c r="E39268" s="96"/>
    </row>
    <row r="39269" hidden="1">
      <c r="E39269" s="96"/>
    </row>
    <row r="39270" hidden="1">
      <c r="E39270" s="96"/>
    </row>
    <row r="39271" hidden="1">
      <c r="E39271" s="96"/>
    </row>
    <row r="39272" hidden="1">
      <c r="E39272" s="96"/>
    </row>
    <row r="39273" hidden="1">
      <c r="E39273" s="96"/>
    </row>
    <row r="39274" hidden="1">
      <c r="E39274" s="96"/>
    </row>
    <row r="39275" hidden="1">
      <c r="E39275" s="96"/>
    </row>
    <row r="39276" hidden="1">
      <c r="E39276" s="96"/>
    </row>
    <row r="39277" hidden="1">
      <c r="E39277" s="96"/>
    </row>
    <row r="39278" hidden="1">
      <c r="E39278" s="96"/>
    </row>
    <row r="39279" hidden="1">
      <c r="E39279" s="96"/>
    </row>
    <row r="39280" hidden="1">
      <c r="E39280" s="96"/>
    </row>
    <row r="39281" hidden="1">
      <c r="E39281" s="96"/>
    </row>
    <row r="39282" hidden="1">
      <c r="E39282" s="96"/>
    </row>
    <row r="39283" hidden="1">
      <c r="E39283" s="96"/>
    </row>
    <row r="39284" hidden="1">
      <c r="E39284" s="96"/>
    </row>
    <row r="39285" hidden="1">
      <c r="E39285" s="96"/>
    </row>
    <row r="39286" hidden="1">
      <c r="E39286" s="96"/>
    </row>
    <row r="39287" hidden="1">
      <c r="E39287" s="96"/>
    </row>
    <row r="39288" hidden="1">
      <c r="E39288" s="96"/>
    </row>
    <row r="39289" hidden="1">
      <c r="E39289" s="96"/>
    </row>
    <row r="39290" hidden="1">
      <c r="E39290" s="96"/>
    </row>
    <row r="39291" hidden="1">
      <c r="E39291" s="96"/>
    </row>
    <row r="39292" hidden="1">
      <c r="E39292" s="96"/>
    </row>
    <row r="39293" hidden="1">
      <c r="E39293" s="96"/>
    </row>
    <row r="39294" hidden="1">
      <c r="E39294" s="96"/>
    </row>
    <row r="39295" hidden="1">
      <c r="E39295" s="96"/>
    </row>
    <row r="39296" hidden="1">
      <c r="E39296" s="96"/>
    </row>
    <row r="39297" hidden="1">
      <c r="E39297" s="96"/>
    </row>
    <row r="39298" hidden="1">
      <c r="E39298" s="96"/>
    </row>
    <row r="39299" hidden="1">
      <c r="E39299" s="96"/>
    </row>
    <row r="39300" hidden="1">
      <c r="E39300" s="96"/>
    </row>
    <row r="39301" hidden="1">
      <c r="E39301" s="96"/>
    </row>
    <row r="39302" hidden="1">
      <c r="E39302" s="96"/>
    </row>
    <row r="39303" hidden="1">
      <c r="E39303" s="96"/>
    </row>
    <row r="39304" hidden="1">
      <c r="E39304" s="96"/>
    </row>
    <row r="39305" hidden="1">
      <c r="E39305" s="96"/>
    </row>
    <row r="39306" hidden="1">
      <c r="E39306" s="96"/>
    </row>
    <row r="39307" hidden="1">
      <c r="E39307" s="96"/>
    </row>
    <row r="39308" hidden="1">
      <c r="E39308" s="96"/>
    </row>
    <row r="39309" hidden="1">
      <c r="E39309" s="96"/>
    </row>
    <row r="39310" hidden="1">
      <c r="E39310" s="96"/>
    </row>
    <row r="39311" hidden="1">
      <c r="E39311" s="96"/>
    </row>
    <row r="39312" hidden="1">
      <c r="E39312" s="96"/>
    </row>
    <row r="39313" hidden="1">
      <c r="E39313" s="96"/>
    </row>
    <row r="39314" hidden="1">
      <c r="E39314" s="96"/>
    </row>
    <row r="39315" hidden="1">
      <c r="E39315" s="96"/>
    </row>
    <row r="39316" hidden="1">
      <c r="E39316" s="96"/>
    </row>
    <row r="39317" hidden="1">
      <c r="E39317" s="96"/>
    </row>
    <row r="39318" hidden="1">
      <c r="E39318" s="96"/>
    </row>
    <row r="39319" hidden="1">
      <c r="E39319" s="96"/>
    </row>
    <row r="39320" hidden="1">
      <c r="E39320" s="96"/>
    </row>
    <row r="39321" hidden="1">
      <c r="E39321" s="96"/>
    </row>
    <row r="39322" hidden="1">
      <c r="E39322" s="96"/>
    </row>
    <row r="39323" hidden="1">
      <c r="E39323" s="96"/>
    </row>
    <row r="39324" hidden="1">
      <c r="E39324" s="96"/>
    </row>
    <row r="39325" hidden="1">
      <c r="E39325" s="96"/>
    </row>
    <row r="39326" hidden="1">
      <c r="E39326" s="96"/>
    </row>
    <row r="39327" hidden="1">
      <c r="E39327" s="96"/>
    </row>
    <row r="39328" hidden="1">
      <c r="E39328" s="96"/>
    </row>
    <row r="39329" hidden="1">
      <c r="E39329" s="96"/>
    </row>
    <row r="39330" hidden="1">
      <c r="E39330" s="96"/>
    </row>
    <row r="39331" hidden="1">
      <c r="E39331" s="96"/>
    </row>
    <row r="39332" hidden="1">
      <c r="E39332" s="96"/>
    </row>
    <row r="39333" hidden="1">
      <c r="E39333" s="96"/>
    </row>
    <row r="39334" hidden="1">
      <c r="E39334" s="96"/>
    </row>
    <row r="39335" hidden="1">
      <c r="E39335" s="96"/>
    </row>
    <row r="39336" hidden="1">
      <c r="E39336" s="96"/>
    </row>
    <row r="39337" hidden="1">
      <c r="E39337" s="96"/>
    </row>
    <row r="39338" hidden="1">
      <c r="E39338" s="96"/>
    </row>
    <row r="39339" hidden="1">
      <c r="E39339" s="96"/>
    </row>
    <row r="39340" hidden="1">
      <c r="E39340" s="96"/>
    </row>
    <row r="39341" hidden="1">
      <c r="E39341" s="96"/>
    </row>
    <row r="39342" hidden="1">
      <c r="E39342" s="96"/>
    </row>
    <row r="39343" hidden="1">
      <c r="E39343" s="96"/>
    </row>
    <row r="39344" hidden="1">
      <c r="E39344" s="96"/>
    </row>
    <row r="39345" hidden="1">
      <c r="E39345" s="96"/>
    </row>
    <row r="39346" hidden="1">
      <c r="E39346" s="96"/>
    </row>
    <row r="39347" hidden="1">
      <c r="E39347" s="96"/>
    </row>
    <row r="39348" hidden="1">
      <c r="E39348" s="96"/>
    </row>
    <row r="39349" hidden="1">
      <c r="E39349" s="96"/>
    </row>
    <row r="39350" hidden="1">
      <c r="E39350" s="96"/>
    </row>
    <row r="39351" hidden="1">
      <c r="E39351" s="96"/>
    </row>
    <row r="39352" hidden="1">
      <c r="E39352" s="96"/>
    </row>
    <row r="39353" hidden="1">
      <c r="E39353" s="96"/>
    </row>
    <row r="39354" hidden="1">
      <c r="E39354" s="96"/>
    </row>
    <row r="39355" hidden="1">
      <c r="E39355" s="96"/>
    </row>
    <row r="39356" hidden="1">
      <c r="E39356" s="96"/>
    </row>
    <row r="39357" hidden="1">
      <c r="E39357" s="96"/>
    </row>
    <row r="39358" hidden="1">
      <c r="E39358" s="96"/>
    </row>
    <row r="39359" hidden="1">
      <c r="E39359" s="96"/>
    </row>
    <row r="39360" hidden="1">
      <c r="E39360" s="96"/>
    </row>
    <row r="39361" hidden="1">
      <c r="E39361" s="96"/>
    </row>
    <row r="39362" hidden="1">
      <c r="E39362" s="96"/>
    </row>
    <row r="39363" hidden="1">
      <c r="E39363" s="96"/>
    </row>
    <row r="39364" hidden="1">
      <c r="E39364" s="96"/>
    </row>
    <row r="39365" hidden="1">
      <c r="E39365" s="96"/>
    </row>
    <row r="39366" hidden="1">
      <c r="E39366" s="96"/>
    </row>
    <row r="39367" hidden="1">
      <c r="E39367" s="96"/>
    </row>
    <row r="39368" hidden="1">
      <c r="E39368" s="96"/>
    </row>
    <row r="39369" hidden="1">
      <c r="E39369" s="96"/>
    </row>
    <row r="39370" hidden="1">
      <c r="E39370" s="96"/>
    </row>
    <row r="39371" hidden="1">
      <c r="E39371" s="96"/>
    </row>
    <row r="39372" hidden="1">
      <c r="E39372" s="96"/>
    </row>
    <row r="39373" hidden="1">
      <c r="E39373" s="96"/>
    </row>
    <row r="39374" hidden="1">
      <c r="E39374" s="96"/>
    </row>
    <row r="39375" hidden="1">
      <c r="E39375" s="96"/>
    </row>
    <row r="39376" hidden="1">
      <c r="E39376" s="96"/>
    </row>
    <row r="39377" hidden="1">
      <c r="E39377" s="96"/>
    </row>
    <row r="39378" hidden="1">
      <c r="E39378" s="96"/>
    </row>
    <row r="39379" hidden="1">
      <c r="E39379" s="96"/>
    </row>
    <row r="39380" hidden="1">
      <c r="E39380" s="96"/>
    </row>
    <row r="39381" hidden="1">
      <c r="E39381" s="96"/>
    </row>
    <row r="39382" hidden="1">
      <c r="E39382" s="96"/>
    </row>
    <row r="39383" hidden="1">
      <c r="E39383" s="96"/>
    </row>
    <row r="39384" hidden="1">
      <c r="E39384" s="96"/>
    </row>
    <row r="39385" hidden="1">
      <c r="E39385" s="96"/>
    </row>
    <row r="39386" hidden="1">
      <c r="E39386" s="96"/>
    </row>
    <row r="39387" hidden="1">
      <c r="E39387" s="96"/>
    </row>
    <row r="39388" hidden="1">
      <c r="E39388" s="96"/>
    </row>
    <row r="39389" hidden="1">
      <c r="E39389" s="96"/>
    </row>
    <row r="39390" hidden="1">
      <c r="E39390" s="96"/>
    </row>
    <row r="39391" hidden="1">
      <c r="E39391" s="96"/>
    </row>
    <row r="39392" hidden="1">
      <c r="E39392" s="96"/>
    </row>
    <row r="39393" hidden="1">
      <c r="E39393" s="96"/>
    </row>
    <row r="39394" hidden="1">
      <c r="E39394" s="96"/>
    </row>
    <row r="39395" hidden="1">
      <c r="E39395" s="96"/>
    </row>
    <row r="39396" hidden="1">
      <c r="E39396" s="96"/>
    </row>
    <row r="39397" hidden="1">
      <c r="E39397" s="96"/>
    </row>
    <row r="39398" hidden="1">
      <c r="E39398" s="96"/>
    </row>
    <row r="39399" hidden="1">
      <c r="E39399" s="96"/>
    </row>
    <row r="39400" hidden="1">
      <c r="E39400" s="96"/>
    </row>
    <row r="39401" hidden="1">
      <c r="E39401" s="96"/>
    </row>
    <row r="39402" hidden="1">
      <c r="E39402" s="96"/>
    </row>
    <row r="39403" hidden="1">
      <c r="E39403" s="96"/>
    </row>
    <row r="39404" hidden="1">
      <c r="E39404" s="96"/>
    </row>
    <row r="39405" hidden="1">
      <c r="E39405" s="96"/>
    </row>
    <row r="39406" hidden="1">
      <c r="E39406" s="96"/>
    </row>
    <row r="39407" hidden="1">
      <c r="E39407" s="96"/>
    </row>
    <row r="39408" hidden="1">
      <c r="E39408" s="96"/>
    </row>
    <row r="39409" hidden="1">
      <c r="E39409" s="96"/>
    </row>
    <row r="39410" hidden="1">
      <c r="E39410" s="96"/>
    </row>
    <row r="39411" hidden="1">
      <c r="E39411" s="96"/>
    </row>
    <row r="39412" hidden="1">
      <c r="E39412" s="96"/>
    </row>
    <row r="39413" hidden="1">
      <c r="E39413" s="96"/>
    </row>
    <row r="39414" hidden="1">
      <c r="E39414" s="96"/>
    </row>
    <row r="39415" hidden="1">
      <c r="E39415" s="96"/>
    </row>
    <row r="39416" hidden="1">
      <c r="E39416" s="96"/>
    </row>
    <row r="39417" hidden="1">
      <c r="E39417" s="96"/>
    </row>
    <row r="39418" hidden="1">
      <c r="E39418" s="96"/>
    </row>
    <row r="39419" hidden="1">
      <c r="E39419" s="96"/>
    </row>
    <row r="39420" hidden="1">
      <c r="E39420" s="96"/>
    </row>
    <row r="39421" hidden="1">
      <c r="E39421" s="96"/>
    </row>
    <row r="39422" hidden="1">
      <c r="E39422" s="96"/>
    </row>
    <row r="39423" hidden="1">
      <c r="E39423" s="96"/>
    </row>
    <row r="39424" hidden="1">
      <c r="E39424" s="96"/>
    </row>
    <row r="39425" hidden="1">
      <c r="E39425" s="96"/>
    </row>
    <row r="39426" hidden="1">
      <c r="E39426" s="96"/>
    </row>
    <row r="39427" hidden="1">
      <c r="E39427" s="96"/>
    </row>
    <row r="39428" hidden="1">
      <c r="E39428" s="96"/>
    </row>
    <row r="39429" hidden="1">
      <c r="E39429" s="96"/>
    </row>
    <row r="39430" hidden="1">
      <c r="E39430" s="96"/>
    </row>
    <row r="39431" hidden="1">
      <c r="E39431" s="96"/>
    </row>
    <row r="39432" hidden="1">
      <c r="E39432" s="96"/>
    </row>
    <row r="39433" hidden="1">
      <c r="E39433" s="96"/>
    </row>
    <row r="39434" hidden="1">
      <c r="E39434" s="96"/>
    </row>
    <row r="39435" hidden="1">
      <c r="E39435" s="96"/>
    </row>
    <row r="39436" hidden="1">
      <c r="E39436" s="96"/>
    </row>
    <row r="39437" hidden="1">
      <c r="E39437" s="96"/>
    </row>
    <row r="39438" hidden="1">
      <c r="E39438" s="96"/>
    </row>
    <row r="39439" hidden="1">
      <c r="E39439" s="96"/>
    </row>
    <row r="39440" hidden="1">
      <c r="E39440" s="96"/>
    </row>
    <row r="39441" hidden="1">
      <c r="E39441" s="96"/>
    </row>
    <row r="39442" hidden="1">
      <c r="E39442" s="96"/>
    </row>
    <row r="39443" hidden="1">
      <c r="E39443" s="96"/>
    </row>
    <row r="39444" hidden="1">
      <c r="E39444" s="96"/>
    </row>
    <row r="39445" hidden="1">
      <c r="E39445" s="96"/>
    </row>
    <row r="39446" hidden="1">
      <c r="E39446" s="96"/>
    </row>
    <row r="39447" hidden="1">
      <c r="E39447" s="96"/>
    </row>
    <row r="39448" hidden="1">
      <c r="E39448" s="96"/>
    </row>
    <row r="39449" hidden="1">
      <c r="E39449" s="96"/>
    </row>
    <row r="39450" hidden="1">
      <c r="E39450" s="96"/>
    </row>
    <row r="39451" hidden="1">
      <c r="E39451" s="96"/>
    </row>
    <row r="39452" hidden="1">
      <c r="E39452" s="96"/>
    </row>
    <row r="39453" hidden="1">
      <c r="E39453" s="96"/>
    </row>
    <row r="39454" hidden="1">
      <c r="E39454" s="96"/>
    </row>
    <row r="39455" hidden="1">
      <c r="E39455" s="96"/>
    </row>
    <row r="39456" hidden="1">
      <c r="E39456" s="96"/>
    </row>
    <row r="39457" hidden="1">
      <c r="E39457" s="96"/>
    </row>
    <row r="39458" hidden="1">
      <c r="E39458" s="96"/>
    </row>
    <row r="39459" hidden="1">
      <c r="E39459" s="96"/>
    </row>
    <row r="39460" hidden="1">
      <c r="E39460" s="96"/>
    </row>
    <row r="39461" hidden="1">
      <c r="E39461" s="96"/>
    </row>
    <row r="39462" hidden="1">
      <c r="E39462" s="96"/>
    </row>
    <row r="39463" hidden="1">
      <c r="E39463" s="96"/>
    </row>
    <row r="39464" hidden="1">
      <c r="E39464" s="96"/>
    </row>
    <row r="39465" hidden="1">
      <c r="E39465" s="96"/>
    </row>
    <row r="39466" hidden="1">
      <c r="E39466" s="96"/>
    </row>
    <row r="39467" hidden="1">
      <c r="E39467" s="96"/>
    </row>
    <row r="39468" hidden="1">
      <c r="E39468" s="96"/>
    </row>
    <row r="39469" hidden="1">
      <c r="E39469" s="96"/>
    </row>
    <row r="39470" hidden="1">
      <c r="E39470" s="96"/>
    </row>
    <row r="39471" hidden="1">
      <c r="E39471" s="96"/>
    </row>
    <row r="39472" hidden="1">
      <c r="E39472" s="96"/>
    </row>
    <row r="39473" hidden="1">
      <c r="E39473" s="96"/>
    </row>
    <row r="39474" hidden="1">
      <c r="E39474" s="96"/>
    </row>
    <row r="39475" hidden="1">
      <c r="E39475" s="96"/>
    </row>
    <row r="39476" hidden="1">
      <c r="E39476" s="96"/>
    </row>
    <row r="39477" hidden="1">
      <c r="E39477" s="96"/>
    </row>
    <row r="39478" hidden="1">
      <c r="E39478" s="96"/>
    </row>
    <row r="39479" hidden="1">
      <c r="E39479" s="96"/>
    </row>
    <row r="39480" hidden="1">
      <c r="E39480" s="96"/>
    </row>
    <row r="39481" hidden="1">
      <c r="E39481" s="96"/>
    </row>
    <row r="39482" hidden="1">
      <c r="E39482" s="96"/>
    </row>
    <row r="39483" hidden="1">
      <c r="E39483" s="96"/>
    </row>
    <row r="39484" hidden="1">
      <c r="E39484" s="96"/>
    </row>
    <row r="39485" hidden="1">
      <c r="E39485" s="96"/>
    </row>
    <row r="39486" hidden="1">
      <c r="E39486" s="96"/>
    </row>
    <row r="39487" hidden="1">
      <c r="E39487" s="96"/>
    </row>
    <row r="39488" hidden="1">
      <c r="E39488" s="96"/>
    </row>
    <row r="39489" hidden="1">
      <c r="E39489" s="96"/>
    </row>
    <row r="39490" hidden="1">
      <c r="E39490" s="96"/>
    </row>
    <row r="39491" hidden="1">
      <c r="E39491" s="96"/>
    </row>
    <row r="39492" hidden="1">
      <c r="E39492" s="96"/>
    </row>
    <row r="39493" hidden="1">
      <c r="E39493" s="96"/>
    </row>
    <row r="39494" hidden="1">
      <c r="E39494" s="96"/>
    </row>
    <row r="39495" hidden="1">
      <c r="E39495" s="96"/>
    </row>
    <row r="39496" hidden="1">
      <c r="E39496" s="96"/>
    </row>
    <row r="39497" hidden="1">
      <c r="E39497" s="96"/>
    </row>
    <row r="39498" hidden="1">
      <c r="E39498" s="96"/>
    </row>
    <row r="39499" hidden="1">
      <c r="E39499" s="96"/>
    </row>
    <row r="39500" hidden="1">
      <c r="E39500" s="96"/>
    </row>
    <row r="39501" hidden="1">
      <c r="E39501" s="96"/>
    </row>
    <row r="39502" hidden="1">
      <c r="E39502" s="96"/>
    </row>
    <row r="39503" hidden="1">
      <c r="E39503" s="96"/>
    </row>
    <row r="39504" hidden="1">
      <c r="E39504" s="96"/>
    </row>
    <row r="39505" hidden="1">
      <c r="E39505" s="96"/>
    </row>
    <row r="39506" hidden="1">
      <c r="E39506" s="96"/>
    </row>
    <row r="39507" hidden="1">
      <c r="E39507" s="96"/>
    </row>
    <row r="39508" hidden="1">
      <c r="E39508" s="96"/>
    </row>
    <row r="39509" hidden="1">
      <c r="E39509" s="96"/>
    </row>
    <row r="39510" hidden="1">
      <c r="E39510" s="96"/>
    </row>
    <row r="39511" hidden="1">
      <c r="E39511" s="96"/>
    </row>
    <row r="39512" hidden="1">
      <c r="E39512" s="96"/>
    </row>
    <row r="39513" hidden="1">
      <c r="E39513" s="96"/>
    </row>
    <row r="39514" hidden="1">
      <c r="E39514" s="96"/>
    </row>
    <row r="39515" hidden="1">
      <c r="E39515" s="96"/>
    </row>
    <row r="39516" hidden="1">
      <c r="E39516" s="96"/>
    </row>
    <row r="39517" hidden="1">
      <c r="E39517" s="96"/>
    </row>
    <row r="39518" hidden="1">
      <c r="E39518" s="96"/>
    </row>
    <row r="39519" hidden="1">
      <c r="E39519" s="96"/>
    </row>
    <row r="39520" hidden="1">
      <c r="E39520" s="96"/>
    </row>
    <row r="39521" hidden="1">
      <c r="E39521" s="96"/>
    </row>
    <row r="39522" hidden="1">
      <c r="E39522" s="96"/>
    </row>
    <row r="39523" hidden="1">
      <c r="E39523" s="96"/>
    </row>
    <row r="39524" hidden="1">
      <c r="E39524" s="96"/>
    </row>
    <row r="39525" hidden="1">
      <c r="E39525" s="96"/>
    </row>
    <row r="39526" hidden="1">
      <c r="E39526" s="96"/>
    </row>
    <row r="39527" hidden="1">
      <c r="E39527" s="96"/>
    </row>
    <row r="39528" hidden="1">
      <c r="E39528" s="96"/>
    </row>
    <row r="39529" hidden="1">
      <c r="E39529" s="96"/>
    </row>
    <row r="39530" hidden="1">
      <c r="E39530" s="96"/>
    </row>
    <row r="39531" hidden="1">
      <c r="E39531" s="96"/>
    </row>
    <row r="39532" hidden="1">
      <c r="E39532" s="96"/>
    </row>
    <row r="39533" hidden="1">
      <c r="E39533" s="96"/>
    </row>
    <row r="39534" hidden="1">
      <c r="E39534" s="96"/>
    </row>
    <row r="39535" hidden="1">
      <c r="E39535" s="96"/>
    </row>
    <row r="39536" hidden="1">
      <c r="E39536" s="96"/>
    </row>
    <row r="39537" hidden="1">
      <c r="E39537" s="96"/>
    </row>
    <row r="39538" hidden="1">
      <c r="E39538" s="96"/>
    </row>
    <row r="39539" hidden="1">
      <c r="E39539" s="96"/>
    </row>
    <row r="39540" hidden="1">
      <c r="E39540" s="96"/>
    </row>
    <row r="39541" hidden="1">
      <c r="E39541" s="96"/>
    </row>
    <row r="39542" hidden="1">
      <c r="E39542" s="96"/>
    </row>
    <row r="39543" hidden="1">
      <c r="E39543" s="96"/>
    </row>
    <row r="39544" hidden="1">
      <c r="E39544" s="96"/>
    </row>
    <row r="39545" hidden="1">
      <c r="E39545" s="96"/>
    </row>
    <row r="39546" hidden="1">
      <c r="E39546" s="96"/>
    </row>
    <row r="39547" hidden="1">
      <c r="E39547" s="96"/>
    </row>
    <row r="39548" hidden="1">
      <c r="E39548" s="96"/>
    </row>
    <row r="39549" hidden="1">
      <c r="E39549" s="96"/>
    </row>
    <row r="39550" hidden="1">
      <c r="E39550" s="96"/>
    </row>
    <row r="39551" hidden="1">
      <c r="E39551" s="96"/>
    </row>
    <row r="39552" hidden="1">
      <c r="E39552" s="96"/>
    </row>
    <row r="39553" hidden="1">
      <c r="E39553" s="96"/>
    </row>
    <row r="39554" hidden="1">
      <c r="E39554" s="96"/>
    </row>
    <row r="39555" hidden="1">
      <c r="E39555" s="96"/>
    </row>
    <row r="39556" hidden="1">
      <c r="E39556" s="96"/>
    </row>
    <row r="39557" hidden="1">
      <c r="E39557" s="96"/>
    </row>
    <row r="39558" hidden="1">
      <c r="E39558" s="96"/>
    </row>
    <row r="39559" hidden="1">
      <c r="E39559" s="96"/>
    </row>
    <row r="39560" hidden="1">
      <c r="E39560" s="96"/>
    </row>
    <row r="39561" hidden="1">
      <c r="E39561" s="96"/>
    </row>
    <row r="39562" hidden="1">
      <c r="E39562" s="96"/>
    </row>
    <row r="39563" hidden="1">
      <c r="E39563" s="96"/>
    </row>
    <row r="39564" hidden="1">
      <c r="E39564" s="96"/>
    </row>
    <row r="39565" hidden="1">
      <c r="E39565" s="96"/>
    </row>
    <row r="39566" hidden="1">
      <c r="E39566" s="96"/>
    </row>
    <row r="39567" hidden="1">
      <c r="E39567" s="96"/>
    </row>
    <row r="39568" hidden="1">
      <c r="E39568" s="96"/>
    </row>
    <row r="39569" hidden="1">
      <c r="E39569" s="96"/>
    </row>
    <row r="39570" hidden="1">
      <c r="E39570" s="96"/>
    </row>
    <row r="39571" hidden="1">
      <c r="E39571" s="96"/>
    </row>
    <row r="39572" hidden="1">
      <c r="E39572" s="96"/>
    </row>
    <row r="39573" hidden="1">
      <c r="E39573" s="96"/>
    </row>
    <row r="39574" hidden="1">
      <c r="E39574" s="96"/>
    </row>
    <row r="39575" hidden="1">
      <c r="E39575" s="96"/>
    </row>
    <row r="39576" hidden="1">
      <c r="E39576" s="96"/>
    </row>
    <row r="39577" hidden="1">
      <c r="E39577" s="96"/>
    </row>
    <row r="39578" hidden="1">
      <c r="E39578" s="96"/>
    </row>
    <row r="39579" hidden="1">
      <c r="E39579" s="96"/>
    </row>
    <row r="39580" hidden="1">
      <c r="E39580" s="96"/>
    </row>
    <row r="39581" hidden="1">
      <c r="E39581" s="96"/>
    </row>
    <row r="39582" hidden="1">
      <c r="E39582" s="96"/>
    </row>
    <row r="39583" hidden="1">
      <c r="E39583" s="96"/>
    </row>
    <row r="39584" hidden="1">
      <c r="E39584" s="96"/>
    </row>
    <row r="39585" hidden="1">
      <c r="E39585" s="96"/>
    </row>
    <row r="39586" hidden="1">
      <c r="E39586" s="96"/>
    </row>
    <row r="39587" hidden="1">
      <c r="E39587" s="96"/>
    </row>
    <row r="39588" hidden="1">
      <c r="E39588" s="96"/>
    </row>
    <row r="39589" hidden="1">
      <c r="E39589" s="96"/>
    </row>
    <row r="39590" hidden="1">
      <c r="E39590" s="96"/>
    </row>
    <row r="39591" hidden="1">
      <c r="E39591" s="96"/>
    </row>
    <row r="39592" hidden="1">
      <c r="E39592" s="96"/>
    </row>
    <row r="39593" hidden="1">
      <c r="E39593" s="96"/>
    </row>
    <row r="39594" hidden="1">
      <c r="E39594" s="96"/>
    </row>
    <row r="39595" hidden="1">
      <c r="E39595" s="96"/>
    </row>
    <row r="39596" hidden="1">
      <c r="E39596" s="96"/>
    </row>
    <row r="39597" hidden="1">
      <c r="E39597" s="96"/>
    </row>
    <row r="39598" hidden="1">
      <c r="E39598" s="96"/>
    </row>
    <row r="39599" hidden="1">
      <c r="E39599" s="96"/>
    </row>
    <row r="39600" hidden="1">
      <c r="E39600" s="96"/>
    </row>
    <row r="39601" hidden="1">
      <c r="E39601" s="96"/>
    </row>
    <row r="39602" hidden="1">
      <c r="E39602" s="96"/>
    </row>
    <row r="39603" hidden="1">
      <c r="E39603" s="96"/>
    </row>
    <row r="39604" hidden="1">
      <c r="E39604" s="96"/>
    </row>
    <row r="39605" hidden="1">
      <c r="E39605" s="96"/>
    </row>
    <row r="39606" hidden="1">
      <c r="E39606" s="96"/>
    </row>
    <row r="39607" hidden="1">
      <c r="E39607" s="96"/>
    </row>
    <row r="39608" hidden="1">
      <c r="E39608" s="96"/>
    </row>
    <row r="39609" hidden="1">
      <c r="E39609" s="96"/>
    </row>
    <row r="39610" hidden="1">
      <c r="E39610" s="96"/>
    </row>
    <row r="39611" hidden="1">
      <c r="E39611" s="96"/>
    </row>
    <row r="39612" hidden="1">
      <c r="E39612" s="96"/>
    </row>
    <row r="39613" hidden="1">
      <c r="E39613" s="96"/>
    </row>
    <row r="39614" hidden="1">
      <c r="E39614" s="96"/>
    </row>
    <row r="39615" hidden="1">
      <c r="E39615" s="96"/>
    </row>
    <row r="39616" hidden="1">
      <c r="E39616" s="96"/>
    </row>
    <row r="39617" hidden="1">
      <c r="E39617" s="96"/>
    </row>
    <row r="39618" hidden="1">
      <c r="E39618" s="96"/>
    </row>
    <row r="39619" hidden="1">
      <c r="E39619" s="96"/>
    </row>
    <row r="39620" hidden="1">
      <c r="E39620" s="96"/>
    </row>
    <row r="39621" hidden="1">
      <c r="E39621" s="96"/>
    </row>
    <row r="39622" hidden="1">
      <c r="E39622" s="96"/>
    </row>
    <row r="39623" hidden="1">
      <c r="E39623" s="96"/>
    </row>
    <row r="39624" hidden="1">
      <c r="E39624" s="96"/>
    </row>
    <row r="39625" hidden="1">
      <c r="E39625" s="96"/>
    </row>
    <row r="39626" hidden="1">
      <c r="E39626" s="96"/>
    </row>
    <row r="39627" hidden="1">
      <c r="E39627" s="96"/>
    </row>
    <row r="39628" hidden="1">
      <c r="E39628" s="96"/>
    </row>
    <row r="39629" hidden="1">
      <c r="E39629" s="96"/>
    </row>
    <row r="39630" hidden="1">
      <c r="E39630" s="96"/>
    </row>
    <row r="39631" hidden="1">
      <c r="E39631" s="96"/>
    </row>
    <row r="39632" hidden="1">
      <c r="E39632" s="96"/>
    </row>
    <row r="39633" hidden="1">
      <c r="E39633" s="96"/>
    </row>
    <row r="39634" hidden="1">
      <c r="E39634" s="96"/>
    </row>
    <row r="39635" hidden="1">
      <c r="E39635" s="96"/>
    </row>
    <row r="39636" hidden="1">
      <c r="E39636" s="96"/>
    </row>
    <row r="39637" hidden="1">
      <c r="E39637" s="96"/>
    </row>
    <row r="39638" hidden="1">
      <c r="E39638" s="96"/>
    </row>
    <row r="39639" hidden="1">
      <c r="E39639" s="96"/>
    </row>
    <row r="39640" hidden="1">
      <c r="E39640" s="96"/>
    </row>
    <row r="39641" hidden="1">
      <c r="E39641" s="96"/>
    </row>
    <row r="39642" hidden="1">
      <c r="E39642" s="96"/>
    </row>
    <row r="39643" hidden="1">
      <c r="E39643" s="96"/>
    </row>
    <row r="39644" hidden="1">
      <c r="E39644" s="96"/>
    </row>
    <row r="39645" hidden="1">
      <c r="E39645" s="96"/>
    </row>
    <row r="39646" hidden="1">
      <c r="E39646" s="96"/>
    </row>
    <row r="39647" hidden="1">
      <c r="E39647" s="96"/>
    </row>
    <row r="39648" hidden="1">
      <c r="E39648" s="96"/>
    </row>
    <row r="39649" hidden="1">
      <c r="E39649" s="96"/>
    </row>
    <row r="39650" hidden="1">
      <c r="E39650" s="96"/>
    </row>
    <row r="39651" hidden="1">
      <c r="E39651" s="96"/>
    </row>
    <row r="39652" hidden="1">
      <c r="E39652" s="96"/>
    </row>
    <row r="39653" hidden="1">
      <c r="E39653" s="96"/>
    </row>
    <row r="39654" hidden="1">
      <c r="E39654" s="96"/>
    </row>
    <row r="39655" hidden="1">
      <c r="E39655" s="96"/>
    </row>
    <row r="39656" hidden="1">
      <c r="E39656" s="96"/>
    </row>
    <row r="39657" hidden="1">
      <c r="E39657" s="96"/>
    </row>
    <row r="39658" hidden="1">
      <c r="E39658" s="96"/>
    </row>
    <row r="39659" hidden="1">
      <c r="E39659" s="96"/>
    </row>
    <row r="39660" hidden="1">
      <c r="E39660" s="96"/>
    </row>
    <row r="39661" hidden="1">
      <c r="E39661" s="96"/>
    </row>
    <row r="39662" hidden="1">
      <c r="E39662" s="96"/>
    </row>
    <row r="39663" hidden="1">
      <c r="E39663" s="96"/>
    </row>
    <row r="39664" hidden="1">
      <c r="E39664" s="96"/>
    </row>
    <row r="39665" hidden="1">
      <c r="E39665" s="96"/>
    </row>
    <row r="39666" hidden="1">
      <c r="E39666" s="96"/>
    </row>
    <row r="39667" hidden="1">
      <c r="E39667" s="96"/>
    </row>
    <row r="39668" hidden="1">
      <c r="E39668" s="96"/>
    </row>
    <row r="39669" hidden="1">
      <c r="E39669" s="96"/>
    </row>
    <row r="39670" hidden="1">
      <c r="E39670" s="96"/>
    </row>
    <row r="39671" hidden="1">
      <c r="E39671" s="96"/>
    </row>
    <row r="39672" hidden="1">
      <c r="E39672" s="96"/>
    </row>
    <row r="39673" hidden="1">
      <c r="E39673" s="96"/>
    </row>
    <row r="39674" hidden="1">
      <c r="E39674" s="96"/>
    </row>
    <row r="39675" hidden="1">
      <c r="E39675" s="96"/>
    </row>
    <row r="39676" hidden="1">
      <c r="E39676" s="96"/>
    </row>
    <row r="39677" hidden="1">
      <c r="E39677" s="96"/>
    </row>
    <row r="39678" hidden="1">
      <c r="E39678" s="96"/>
    </row>
    <row r="39679" hidden="1">
      <c r="E39679" s="96"/>
    </row>
    <row r="39680" hidden="1">
      <c r="E39680" s="96"/>
    </row>
    <row r="39681" hidden="1">
      <c r="E39681" s="96"/>
    </row>
    <row r="39682" hidden="1">
      <c r="E39682" s="96"/>
    </row>
    <row r="39683" hidden="1">
      <c r="E39683" s="96"/>
    </row>
    <row r="39684" hidden="1">
      <c r="E39684" s="96"/>
    </row>
    <row r="39685" hidden="1">
      <c r="E39685" s="96"/>
    </row>
    <row r="39686" hidden="1">
      <c r="E39686" s="96"/>
    </row>
    <row r="39687" hidden="1">
      <c r="E39687" s="96"/>
    </row>
    <row r="39688" hidden="1">
      <c r="E39688" s="96"/>
    </row>
    <row r="39689" hidden="1">
      <c r="E39689" s="96"/>
    </row>
    <row r="39690" hidden="1">
      <c r="E39690" s="96"/>
    </row>
    <row r="39691" hidden="1">
      <c r="E39691" s="96"/>
    </row>
    <row r="39692" hidden="1">
      <c r="E39692" s="96"/>
    </row>
    <row r="39693" hidden="1">
      <c r="E39693" s="96"/>
    </row>
    <row r="39694" hidden="1">
      <c r="E39694" s="96"/>
    </row>
    <row r="39695" hidden="1">
      <c r="E39695" s="96"/>
    </row>
    <row r="39696" hidden="1">
      <c r="E39696" s="96"/>
    </row>
    <row r="39697" hidden="1">
      <c r="E39697" s="96"/>
    </row>
    <row r="39698" hidden="1">
      <c r="E39698" s="96"/>
    </row>
    <row r="39699" hidden="1">
      <c r="E39699" s="96"/>
    </row>
    <row r="39700" hidden="1">
      <c r="E39700" s="96"/>
    </row>
    <row r="39701" hidden="1">
      <c r="E39701" s="96"/>
    </row>
    <row r="39702" hidden="1">
      <c r="E39702" s="96"/>
    </row>
    <row r="39703" hidden="1">
      <c r="E39703" s="96"/>
    </row>
    <row r="39704" hidden="1">
      <c r="E39704" s="96"/>
    </row>
    <row r="39705" hidden="1">
      <c r="E39705" s="96"/>
    </row>
    <row r="39706" hidden="1">
      <c r="E39706" s="96"/>
    </row>
    <row r="39707" hidden="1">
      <c r="E39707" s="96"/>
    </row>
    <row r="39708" hidden="1">
      <c r="E39708" s="96"/>
    </row>
    <row r="39709" hidden="1">
      <c r="E39709" s="96"/>
    </row>
    <row r="39710" hidden="1">
      <c r="E39710" s="96"/>
    </row>
    <row r="39711" hidden="1">
      <c r="E39711" s="96"/>
    </row>
    <row r="39712" hidden="1">
      <c r="E39712" s="96"/>
    </row>
    <row r="39713" hidden="1">
      <c r="E39713" s="96"/>
    </row>
    <row r="39714" hidden="1">
      <c r="E39714" s="96"/>
    </row>
    <row r="39715" hidden="1">
      <c r="E39715" s="96"/>
    </row>
    <row r="39716" hidden="1">
      <c r="E39716" s="96"/>
    </row>
    <row r="39717" hidden="1">
      <c r="E39717" s="96"/>
    </row>
    <row r="39718" hidden="1">
      <c r="E39718" s="96"/>
    </row>
    <row r="39719" hidden="1">
      <c r="E39719" s="96"/>
    </row>
    <row r="39720" hidden="1">
      <c r="E39720" s="96"/>
    </row>
    <row r="39721" hidden="1">
      <c r="E39721" s="96"/>
    </row>
    <row r="39722" hidden="1">
      <c r="E39722" s="96"/>
    </row>
    <row r="39723" hidden="1">
      <c r="E39723" s="96"/>
    </row>
    <row r="39724" hidden="1">
      <c r="E39724" s="96"/>
    </row>
    <row r="39725" hidden="1">
      <c r="E39725" s="96"/>
    </row>
    <row r="39726" hidden="1">
      <c r="E39726" s="96"/>
    </row>
    <row r="39727" hidden="1">
      <c r="E39727" s="96"/>
    </row>
    <row r="39728" hidden="1">
      <c r="E39728" s="96"/>
    </row>
    <row r="39729" hidden="1">
      <c r="E39729" s="96"/>
    </row>
    <row r="39730" hidden="1">
      <c r="E39730" s="96"/>
    </row>
    <row r="39731" hidden="1">
      <c r="E39731" s="96"/>
    </row>
    <row r="39732" hidden="1">
      <c r="E39732" s="96"/>
    </row>
    <row r="39733" hidden="1">
      <c r="E39733" s="96"/>
    </row>
    <row r="39734" hidden="1">
      <c r="E39734" s="96"/>
    </row>
    <row r="39735" hidden="1">
      <c r="E39735" s="96"/>
    </row>
    <row r="39736" hidden="1">
      <c r="E39736" s="96"/>
    </row>
    <row r="39737" hidden="1">
      <c r="E39737" s="96"/>
    </row>
    <row r="39738" hidden="1">
      <c r="E39738" s="96"/>
    </row>
    <row r="39739" hidden="1">
      <c r="E39739" s="96"/>
    </row>
    <row r="39740" hidden="1">
      <c r="E39740" s="96"/>
    </row>
    <row r="39741" hidden="1">
      <c r="E39741" s="96"/>
    </row>
    <row r="39742" hidden="1">
      <c r="E39742" s="96"/>
    </row>
    <row r="39743" hidden="1">
      <c r="E39743" s="96"/>
    </row>
    <row r="39744" hidden="1">
      <c r="E39744" s="96"/>
    </row>
    <row r="39745" hidden="1">
      <c r="E39745" s="96"/>
    </row>
    <row r="39746" hidden="1">
      <c r="E39746" s="96"/>
    </row>
    <row r="39747" hidden="1">
      <c r="E39747" s="96"/>
    </row>
    <row r="39748" hidden="1">
      <c r="E39748" s="96"/>
    </row>
    <row r="39749" hidden="1">
      <c r="E39749" s="96"/>
    </row>
    <row r="39750" hidden="1">
      <c r="E39750" s="96"/>
    </row>
    <row r="39751" hidden="1">
      <c r="E39751" s="96"/>
    </row>
    <row r="39752" hidden="1">
      <c r="E39752" s="96"/>
    </row>
    <row r="39753" hidden="1">
      <c r="E39753" s="96"/>
    </row>
    <row r="39754" hidden="1">
      <c r="E39754" s="96"/>
    </row>
    <row r="39755" hidden="1">
      <c r="E39755" s="96"/>
    </row>
    <row r="39756" hidden="1">
      <c r="E39756" s="96"/>
    </row>
    <row r="39757" hidden="1">
      <c r="E39757" s="96"/>
    </row>
    <row r="39758" hidden="1">
      <c r="E39758" s="96"/>
    </row>
    <row r="39759" hidden="1">
      <c r="E39759" s="96"/>
    </row>
    <row r="39760" hidden="1">
      <c r="E39760" s="96"/>
    </row>
    <row r="39761" hidden="1">
      <c r="E39761" s="96"/>
    </row>
    <row r="39762" hidden="1">
      <c r="E39762" s="96"/>
    </row>
    <row r="39763" hidden="1">
      <c r="E39763" s="96"/>
    </row>
    <row r="39764" hidden="1">
      <c r="E39764" s="96"/>
    </row>
    <row r="39765" hidden="1">
      <c r="E39765" s="96"/>
    </row>
    <row r="39766" hidden="1">
      <c r="E39766" s="96"/>
    </row>
    <row r="39767" hidden="1">
      <c r="E39767" s="96"/>
    </row>
    <row r="39768" hidden="1">
      <c r="E39768" s="96"/>
    </row>
    <row r="39769" hidden="1">
      <c r="E39769" s="96"/>
    </row>
    <row r="39770" hidden="1">
      <c r="E39770" s="96"/>
    </row>
    <row r="39771" hidden="1">
      <c r="E39771" s="96"/>
    </row>
    <row r="39772" hidden="1">
      <c r="E39772" s="96"/>
    </row>
    <row r="39773" hidden="1">
      <c r="E39773" s="96"/>
    </row>
    <row r="39774" hidden="1">
      <c r="E39774" s="96"/>
    </row>
    <row r="39775" hidden="1">
      <c r="E39775" s="96"/>
    </row>
    <row r="39776" hidden="1">
      <c r="E39776" s="96"/>
    </row>
    <row r="39777" hidden="1">
      <c r="E39777" s="96"/>
    </row>
    <row r="39778" hidden="1">
      <c r="E39778" s="96"/>
    </row>
    <row r="39779" hidden="1">
      <c r="E39779" s="96"/>
    </row>
    <row r="39780" hidden="1">
      <c r="E39780" s="96"/>
    </row>
    <row r="39781" hidden="1">
      <c r="E39781" s="96"/>
    </row>
    <row r="39782" hidden="1">
      <c r="E39782" s="96"/>
    </row>
    <row r="39783" hidden="1">
      <c r="E39783" s="96"/>
    </row>
    <row r="39784" hidden="1">
      <c r="E39784" s="96"/>
    </row>
    <row r="39785" hidden="1">
      <c r="E39785" s="96"/>
    </row>
    <row r="39786" hidden="1">
      <c r="E39786" s="96"/>
    </row>
    <row r="39787" hidden="1">
      <c r="E39787" s="96"/>
    </row>
    <row r="39788" hidden="1">
      <c r="E39788" s="96"/>
    </row>
    <row r="39789" hidden="1">
      <c r="E39789" s="96"/>
    </row>
    <row r="39790" hidden="1">
      <c r="E39790" s="96"/>
    </row>
    <row r="39791" hidden="1">
      <c r="E39791" s="96"/>
    </row>
    <row r="39792" hidden="1">
      <c r="E39792" s="96"/>
    </row>
    <row r="39793" hidden="1">
      <c r="E39793" s="96"/>
    </row>
    <row r="39794" hidden="1">
      <c r="E39794" s="96"/>
    </row>
    <row r="39795" hidden="1">
      <c r="E39795" s="96"/>
    </row>
    <row r="39796" hidden="1">
      <c r="E39796" s="96"/>
    </row>
    <row r="39797" hidden="1">
      <c r="E39797" s="96"/>
    </row>
    <row r="39798" hidden="1">
      <c r="E39798" s="96"/>
    </row>
    <row r="39799" hidden="1">
      <c r="E39799" s="96"/>
    </row>
    <row r="39800" hidden="1">
      <c r="E39800" s="96"/>
    </row>
    <row r="39801" hidden="1">
      <c r="E39801" s="96"/>
    </row>
    <row r="39802" hidden="1">
      <c r="E39802" s="96"/>
    </row>
    <row r="39803" hidden="1">
      <c r="E39803" s="96"/>
    </row>
    <row r="39804" hidden="1">
      <c r="E39804" s="96"/>
    </row>
    <row r="39805" hidden="1">
      <c r="E39805" s="96"/>
    </row>
    <row r="39806" hidden="1">
      <c r="E39806" s="96"/>
    </row>
    <row r="39807" hidden="1">
      <c r="E39807" s="96"/>
    </row>
    <row r="39808" hidden="1">
      <c r="E39808" s="96"/>
    </row>
    <row r="39809" hidden="1">
      <c r="E39809" s="96"/>
    </row>
    <row r="39810" hidden="1">
      <c r="E39810" s="96"/>
    </row>
    <row r="39811" hidden="1">
      <c r="E39811" s="96"/>
    </row>
    <row r="39812" hidden="1">
      <c r="E39812" s="96"/>
    </row>
    <row r="39813" hidden="1">
      <c r="E39813" s="96"/>
    </row>
    <row r="39814" hidden="1">
      <c r="E39814" s="96"/>
    </row>
    <row r="39815" hidden="1">
      <c r="E39815" s="96"/>
    </row>
    <row r="39816" hidden="1">
      <c r="E39816" s="96"/>
    </row>
    <row r="39817" hidden="1">
      <c r="E39817" s="96"/>
    </row>
    <row r="39818" hidden="1">
      <c r="E39818" s="96"/>
    </row>
    <row r="39819" hidden="1">
      <c r="E39819" s="96"/>
    </row>
    <row r="39820" hidden="1">
      <c r="E39820" s="96"/>
    </row>
    <row r="39821" hidden="1">
      <c r="E39821" s="96"/>
    </row>
    <row r="39822" hidden="1">
      <c r="E39822" s="96"/>
    </row>
    <row r="39823" hidden="1">
      <c r="E39823" s="96"/>
    </row>
    <row r="39824" hidden="1">
      <c r="E39824" s="96"/>
    </row>
    <row r="39825" hidden="1">
      <c r="E39825" s="96"/>
    </row>
    <row r="39826" hidden="1">
      <c r="E39826" s="96"/>
    </row>
    <row r="39827" hidden="1">
      <c r="E39827" s="96"/>
    </row>
    <row r="39828" hidden="1">
      <c r="E39828" s="96"/>
    </row>
    <row r="39829" hidden="1">
      <c r="E39829" s="96"/>
    </row>
    <row r="39830" hidden="1">
      <c r="E39830" s="96"/>
    </row>
    <row r="39831" hidden="1">
      <c r="E39831" s="96"/>
    </row>
    <row r="39832" hidden="1">
      <c r="E39832" s="96"/>
    </row>
    <row r="39833" hidden="1">
      <c r="E39833" s="96"/>
    </row>
    <row r="39834" hidden="1">
      <c r="E39834" s="96"/>
    </row>
    <row r="39835" hidden="1">
      <c r="E39835" s="96"/>
    </row>
    <row r="39836" hidden="1">
      <c r="E39836" s="96"/>
    </row>
    <row r="39837" hidden="1">
      <c r="E39837" s="96"/>
    </row>
    <row r="39838" hidden="1">
      <c r="E39838" s="96"/>
    </row>
    <row r="39839" hidden="1">
      <c r="E39839" s="96"/>
    </row>
    <row r="39840" hidden="1">
      <c r="E39840" s="96"/>
    </row>
    <row r="39841" hidden="1">
      <c r="E39841" s="96"/>
    </row>
    <row r="39842" hidden="1">
      <c r="E39842" s="96"/>
    </row>
    <row r="39843" hidden="1">
      <c r="E39843" s="96"/>
    </row>
    <row r="39844" hidden="1">
      <c r="E39844" s="96"/>
    </row>
    <row r="39845" hidden="1">
      <c r="E39845" s="96"/>
    </row>
    <row r="39846" hidden="1">
      <c r="E39846" s="96"/>
    </row>
    <row r="39847" hidden="1">
      <c r="E39847" s="96"/>
    </row>
    <row r="39848" hidden="1">
      <c r="E39848" s="96"/>
    </row>
    <row r="39849" hidden="1">
      <c r="E39849" s="96"/>
    </row>
    <row r="39850" hidden="1">
      <c r="E39850" s="96"/>
    </row>
    <row r="39851" hidden="1">
      <c r="E39851" s="96"/>
    </row>
    <row r="39852" hidden="1">
      <c r="E39852" s="96"/>
    </row>
    <row r="39853" hidden="1">
      <c r="E39853" s="96"/>
    </row>
    <row r="39854" hidden="1">
      <c r="E39854" s="96"/>
    </row>
    <row r="39855" hidden="1">
      <c r="E39855" s="96"/>
    </row>
    <row r="39856" hidden="1">
      <c r="E39856" s="96"/>
    </row>
    <row r="39857" hidden="1">
      <c r="E39857" s="96"/>
    </row>
    <row r="39858" hidden="1">
      <c r="E39858" s="96"/>
    </row>
    <row r="39859" hidden="1">
      <c r="E39859" s="96"/>
    </row>
    <row r="39860" hidden="1">
      <c r="E39860" s="96"/>
    </row>
    <row r="39861" hidden="1">
      <c r="E39861" s="96"/>
    </row>
    <row r="39862" hidden="1">
      <c r="E39862" s="96"/>
    </row>
    <row r="39863" hidden="1">
      <c r="E39863" s="96"/>
    </row>
    <row r="39864" hidden="1">
      <c r="E39864" s="96"/>
    </row>
    <row r="39865" hidden="1">
      <c r="E39865" s="96"/>
    </row>
    <row r="39866" hidden="1">
      <c r="E39866" s="96"/>
    </row>
    <row r="39867" hidden="1">
      <c r="E39867" s="96"/>
    </row>
    <row r="39868" hidden="1">
      <c r="E39868" s="96"/>
    </row>
    <row r="39869" hidden="1">
      <c r="E39869" s="96"/>
    </row>
    <row r="39870" hidden="1">
      <c r="E39870" s="96"/>
    </row>
    <row r="39871" hidden="1">
      <c r="E39871" s="96"/>
    </row>
    <row r="39872" hidden="1">
      <c r="E39872" s="96"/>
    </row>
    <row r="39873" hidden="1">
      <c r="E39873" s="96"/>
    </row>
    <row r="39874" hidden="1">
      <c r="E39874" s="96"/>
    </row>
    <row r="39875" hidden="1">
      <c r="E39875" s="96"/>
    </row>
    <row r="39876" hidden="1">
      <c r="E39876" s="96"/>
    </row>
    <row r="39877" hidden="1">
      <c r="E39877" s="96"/>
    </row>
    <row r="39878" hidden="1">
      <c r="E39878" s="96"/>
    </row>
    <row r="39879" hidden="1">
      <c r="E39879" s="96"/>
    </row>
    <row r="39880" hidden="1">
      <c r="E39880" s="96"/>
    </row>
    <row r="39881" hidden="1">
      <c r="E39881" s="96"/>
    </row>
    <row r="39882" hidden="1">
      <c r="E39882" s="96"/>
    </row>
    <row r="39883" hidden="1">
      <c r="E39883" s="96"/>
    </row>
    <row r="39884" hidden="1">
      <c r="E39884" s="96"/>
    </row>
    <row r="39885" hidden="1">
      <c r="E39885" s="96"/>
    </row>
    <row r="39886" hidden="1">
      <c r="E39886" s="96"/>
    </row>
    <row r="39887" hidden="1">
      <c r="E39887" s="96"/>
    </row>
    <row r="39888" hidden="1">
      <c r="E39888" s="96"/>
    </row>
    <row r="39889" hidden="1">
      <c r="E39889" s="96"/>
    </row>
    <row r="39890" hidden="1">
      <c r="E39890" s="96"/>
    </row>
    <row r="39891" hidden="1">
      <c r="E39891" s="96"/>
    </row>
    <row r="39892" hidden="1">
      <c r="E39892" s="96"/>
    </row>
    <row r="39893" hidden="1">
      <c r="E39893" s="96"/>
    </row>
    <row r="39894" hidden="1">
      <c r="E39894" s="96"/>
    </row>
    <row r="39895" hidden="1">
      <c r="E39895" s="96"/>
    </row>
    <row r="39896" hidden="1">
      <c r="E39896" s="96"/>
    </row>
    <row r="39897" hidden="1">
      <c r="E39897" s="96"/>
    </row>
    <row r="39898" hidden="1">
      <c r="E39898" s="96"/>
    </row>
    <row r="39899" hidden="1">
      <c r="E39899" s="96"/>
    </row>
    <row r="39900" hidden="1">
      <c r="E39900" s="96"/>
    </row>
    <row r="39901" hidden="1">
      <c r="E39901" s="96"/>
    </row>
    <row r="39902" hidden="1">
      <c r="E39902" s="96"/>
    </row>
    <row r="39903" hidden="1">
      <c r="E39903" s="96"/>
    </row>
    <row r="39904" hidden="1">
      <c r="E39904" s="96"/>
    </row>
    <row r="39905" hidden="1">
      <c r="E39905" s="96"/>
    </row>
    <row r="39906" hidden="1">
      <c r="E39906" s="96"/>
    </row>
    <row r="39907" hidden="1">
      <c r="E39907" s="96"/>
    </row>
    <row r="39908" hidden="1">
      <c r="E39908" s="96"/>
    </row>
    <row r="39909" hidden="1">
      <c r="E39909" s="96"/>
    </row>
    <row r="39910" hidden="1">
      <c r="E39910" s="96"/>
    </row>
    <row r="39911" hidden="1">
      <c r="E39911" s="96"/>
    </row>
    <row r="39912" hidden="1">
      <c r="E39912" s="96"/>
    </row>
    <row r="39913" hidden="1">
      <c r="E39913" s="96"/>
    </row>
    <row r="39914" hidden="1">
      <c r="E39914" s="96"/>
    </row>
    <row r="39915" hidden="1">
      <c r="E39915" s="96"/>
    </row>
    <row r="39916" hidden="1">
      <c r="E39916" s="96"/>
    </row>
    <row r="39917" hidden="1">
      <c r="E39917" s="96"/>
    </row>
    <row r="39918" hidden="1">
      <c r="E39918" s="96"/>
    </row>
    <row r="39919" hidden="1">
      <c r="E39919" s="96"/>
    </row>
    <row r="39920" hidden="1">
      <c r="E39920" s="96"/>
    </row>
    <row r="39921" hidden="1">
      <c r="E39921" s="96"/>
    </row>
    <row r="39922" hidden="1">
      <c r="E39922" s="96"/>
    </row>
    <row r="39923" hidden="1">
      <c r="E39923" s="96"/>
    </row>
    <row r="39924" hidden="1">
      <c r="E39924" s="96"/>
    </row>
    <row r="39925" hidden="1">
      <c r="E39925" s="96"/>
    </row>
    <row r="39926" hidden="1">
      <c r="E39926" s="96"/>
    </row>
    <row r="39927" hidden="1">
      <c r="E39927" s="96"/>
    </row>
    <row r="39928" hidden="1">
      <c r="E39928" s="96"/>
    </row>
    <row r="39929" hidden="1">
      <c r="E39929" s="96"/>
    </row>
    <row r="39930" hidden="1">
      <c r="E39930" s="96"/>
    </row>
    <row r="39931" hidden="1">
      <c r="E39931" s="96"/>
    </row>
    <row r="39932" hidden="1">
      <c r="E39932" s="96"/>
    </row>
    <row r="39933" hidden="1">
      <c r="E39933" s="96"/>
    </row>
    <row r="39934" hidden="1">
      <c r="E39934" s="96"/>
    </row>
    <row r="39935" hidden="1">
      <c r="E39935" s="96"/>
    </row>
    <row r="39936" hidden="1">
      <c r="E39936" s="96"/>
    </row>
    <row r="39937" hidden="1">
      <c r="E39937" s="96"/>
    </row>
    <row r="39938" hidden="1">
      <c r="E39938" s="96"/>
    </row>
    <row r="39939" hidden="1">
      <c r="E39939" s="96"/>
    </row>
    <row r="39940" hidden="1">
      <c r="E39940" s="96"/>
    </row>
    <row r="39941" hidden="1">
      <c r="E39941" s="96"/>
    </row>
    <row r="39942" hidden="1">
      <c r="E39942" s="96"/>
    </row>
    <row r="39943" hidden="1">
      <c r="E39943" s="96"/>
    </row>
    <row r="39944" hidden="1">
      <c r="E39944" s="96"/>
    </row>
    <row r="39945" hidden="1">
      <c r="E39945" s="96"/>
    </row>
    <row r="39946" hidden="1">
      <c r="E39946" s="96"/>
    </row>
    <row r="39947" hidden="1">
      <c r="E39947" s="96"/>
    </row>
    <row r="39948" hidden="1">
      <c r="E39948" s="96"/>
    </row>
    <row r="39949" hidden="1">
      <c r="E39949" s="96"/>
    </row>
    <row r="39950" hidden="1">
      <c r="E39950" s="96"/>
    </row>
    <row r="39951" hidden="1">
      <c r="E39951" s="96"/>
    </row>
    <row r="39952" hidden="1">
      <c r="E39952" s="96"/>
    </row>
    <row r="39953" hidden="1">
      <c r="E39953" s="96"/>
    </row>
    <row r="39954" hidden="1">
      <c r="E39954" s="96"/>
    </row>
    <row r="39955" hidden="1">
      <c r="E39955" s="96"/>
    </row>
    <row r="39956" hidden="1">
      <c r="E39956" s="96"/>
    </row>
    <row r="39957" hidden="1">
      <c r="E39957" s="96"/>
    </row>
    <row r="39958" hidden="1">
      <c r="E39958" s="96"/>
    </row>
    <row r="39959" hidden="1">
      <c r="E39959" s="96"/>
    </row>
    <row r="39960" hidden="1">
      <c r="E39960" s="96"/>
    </row>
    <row r="39961" hidden="1">
      <c r="E39961" s="96"/>
    </row>
    <row r="39962" hidden="1">
      <c r="E39962" s="96"/>
    </row>
    <row r="39963" hidden="1">
      <c r="E39963" s="96"/>
    </row>
    <row r="39964" hidden="1">
      <c r="E39964" s="96"/>
    </row>
    <row r="39965" hidden="1">
      <c r="E39965" s="96"/>
    </row>
    <row r="39966" hidden="1">
      <c r="E39966" s="96"/>
    </row>
    <row r="39967" hidden="1">
      <c r="E39967" s="96"/>
    </row>
    <row r="39968" hidden="1">
      <c r="E39968" s="96"/>
    </row>
    <row r="39969" hidden="1">
      <c r="E39969" s="96"/>
    </row>
    <row r="39970" hidden="1">
      <c r="E39970" s="96"/>
    </row>
    <row r="39971" hidden="1">
      <c r="E39971" s="96"/>
    </row>
    <row r="39972" hidden="1">
      <c r="E39972" s="96"/>
    </row>
    <row r="39973" hidden="1">
      <c r="E39973" s="96"/>
    </row>
    <row r="39974" hidden="1">
      <c r="E39974" s="96"/>
    </row>
    <row r="39975" hidden="1">
      <c r="E39975" s="96"/>
    </row>
    <row r="39976" hidden="1">
      <c r="E39976" s="96"/>
    </row>
    <row r="39977" hidden="1">
      <c r="E39977" s="96"/>
    </row>
    <row r="39978" hidden="1">
      <c r="E39978" s="96"/>
    </row>
    <row r="39979" hidden="1">
      <c r="E39979" s="96"/>
    </row>
    <row r="39980" hidden="1">
      <c r="E39980" s="96"/>
    </row>
    <row r="39981" hidden="1">
      <c r="E39981" s="96"/>
    </row>
    <row r="39982" hidden="1">
      <c r="E39982" s="96"/>
    </row>
    <row r="39983" hidden="1">
      <c r="E39983" s="96"/>
    </row>
    <row r="39984" hidden="1">
      <c r="E39984" s="96"/>
    </row>
    <row r="39985" hidden="1">
      <c r="E39985" s="96"/>
    </row>
    <row r="39986" hidden="1">
      <c r="E39986" s="96"/>
    </row>
    <row r="39987" hidden="1">
      <c r="E39987" s="96"/>
    </row>
    <row r="39988" hidden="1">
      <c r="E39988" s="96"/>
    </row>
    <row r="39989" hidden="1">
      <c r="E39989" s="96"/>
    </row>
    <row r="39990" hidden="1">
      <c r="E39990" s="96"/>
    </row>
    <row r="39991" hidden="1">
      <c r="E39991" s="96"/>
    </row>
    <row r="39992" hidden="1">
      <c r="E39992" s="96"/>
    </row>
    <row r="39993" hidden="1">
      <c r="E39993" s="96"/>
    </row>
    <row r="39994" hidden="1">
      <c r="E39994" s="96"/>
    </row>
    <row r="39995" hidden="1">
      <c r="E39995" s="96"/>
    </row>
    <row r="39996" hidden="1">
      <c r="E39996" s="96"/>
    </row>
    <row r="39997" hidden="1">
      <c r="E39997" s="96"/>
    </row>
    <row r="39998" hidden="1">
      <c r="E39998" s="96"/>
    </row>
    <row r="39999" hidden="1">
      <c r="E39999" s="96"/>
    </row>
    <row r="40000" hidden="1">
      <c r="E40000" s="96"/>
    </row>
    <row r="40001" hidden="1">
      <c r="E40001" s="96"/>
    </row>
    <row r="40002" hidden="1">
      <c r="E40002" s="96"/>
    </row>
    <row r="40003" hidden="1">
      <c r="E40003" s="96"/>
    </row>
    <row r="40004" hidden="1">
      <c r="E40004" s="96"/>
    </row>
    <row r="40005" hidden="1">
      <c r="E40005" s="96"/>
    </row>
    <row r="40006" hidden="1">
      <c r="E40006" s="96"/>
    </row>
    <row r="40007" hidden="1">
      <c r="E40007" s="96"/>
    </row>
    <row r="40008" hidden="1">
      <c r="E40008" s="96"/>
    </row>
    <row r="40009" hidden="1">
      <c r="E40009" s="96"/>
    </row>
    <row r="40010" hidden="1">
      <c r="E40010" s="96"/>
    </row>
    <row r="40011" hidden="1">
      <c r="E40011" s="96"/>
    </row>
    <row r="40012" hidden="1">
      <c r="E40012" s="96"/>
    </row>
    <row r="40013" hidden="1">
      <c r="E40013" s="96"/>
    </row>
    <row r="40014" hidden="1">
      <c r="E40014" s="96"/>
    </row>
    <row r="40015" hidden="1">
      <c r="E40015" s="96"/>
    </row>
    <row r="40016" hidden="1">
      <c r="E40016" s="96"/>
    </row>
    <row r="40017" hidden="1">
      <c r="E40017" s="96"/>
    </row>
    <row r="40018" hidden="1">
      <c r="E40018" s="96"/>
    </row>
    <row r="40019" hidden="1">
      <c r="E40019" s="96"/>
    </row>
    <row r="40020" hidden="1">
      <c r="E40020" s="96"/>
    </row>
    <row r="40021" hidden="1">
      <c r="E40021" s="96"/>
    </row>
    <row r="40022" hidden="1">
      <c r="E40022" s="96"/>
    </row>
    <row r="40023" hidden="1">
      <c r="E40023" s="96"/>
    </row>
    <row r="40024" hidden="1">
      <c r="E40024" s="96"/>
    </row>
    <row r="40025" hidden="1">
      <c r="E40025" s="96"/>
    </row>
    <row r="40026" hidden="1">
      <c r="E40026" s="96"/>
    </row>
    <row r="40027" hidden="1">
      <c r="E40027" s="96"/>
    </row>
    <row r="40028" hidden="1">
      <c r="E40028" s="96"/>
    </row>
    <row r="40029" hidden="1">
      <c r="E40029" s="96"/>
    </row>
    <row r="40030" hidden="1">
      <c r="E40030" s="96"/>
    </row>
    <row r="40031" hidden="1">
      <c r="E40031" s="96"/>
    </row>
    <row r="40032" hidden="1">
      <c r="E40032" s="96"/>
    </row>
    <row r="40033" hidden="1">
      <c r="E40033" s="96"/>
    </row>
    <row r="40034" hidden="1">
      <c r="E40034" s="96"/>
    </row>
    <row r="40035" hidden="1">
      <c r="E40035" s="96"/>
    </row>
    <row r="40036" hidden="1">
      <c r="E40036" s="96"/>
    </row>
    <row r="40037" hidden="1">
      <c r="E40037" s="96"/>
    </row>
    <row r="40038" hidden="1">
      <c r="E40038" s="96"/>
    </row>
    <row r="40039" hidden="1">
      <c r="E40039" s="96"/>
    </row>
    <row r="40040" hidden="1">
      <c r="E40040" s="96"/>
    </row>
    <row r="40041" hidden="1">
      <c r="E40041" s="96"/>
    </row>
    <row r="40042" hidden="1">
      <c r="E40042" s="96"/>
    </row>
    <row r="40043" hidden="1">
      <c r="E40043" s="96"/>
    </row>
    <row r="40044" hidden="1">
      <c r="E40044" s="96"/>
    </row>
    <row r="40045" hidden="1">
      <c r="E40045" s="96"/>
    </row>
    <row r="40046" hidden="1">
      <c r="E40046" s="96"/>
    </row>
    <row r="40047" hidden="1">
      <c r="E40047" s="96"/>
    </row>
    <row r="40048" hidden="1">
      <c r="E40048" s="96"/>
    </row>
    <row r="40049" hidden="1">
      <c r="E40049" s="96"/>
    </row>
    <row r="40050" hidden="1">
      <c r="E40050" s="96"/>
    </row>
    <row r="40051" hidden="1">
      <c r="E40051" s="96"/>
    </row>
    <row r="40052" hidden="1">
      <c r="E40052" s="96"/>
    </row>
    <row r="40053" hidden="1">
      <c r="E40053" s="96"/>
    </row>
    <row r="40054" hidden="1">
      <c r="E40054" s="96"/>
    </row>
    <row r="40055" hidden="1">
      <c r="E40055" s="96"/>
    </row>
    <row r="40056" hidden="1">
      <c r="E40056" s="96"/>
    </row>
    <row r="40057" hidden="1">
      <c r="E40057" s="96"/>
    </row>
    <row r="40058" hidden="1">
      <c r="E40058" s="96"/>
    </row>
    <row r="40059" hidden="1">
      <c r="E40059" s="96"/>
    </row>
    <row r="40060" hidden="1">
      <c r="E40060" s="96"/>
    </row>
    <row r="40061" hidden="1">
      <c r="E40061" s="96"/>
    </row>
    <row r="40062" hidden="1">
      <c r="E40062" s="96"/>
    </row>
    <row r="40063" hidden="1">
      <c r="E40063" s="96"/>
    </row>
    <row r="40064" hidden="1">
      <c r="E40064" s="96"/>
    </row>
    <row r="40065" hidden="1">
      <c r="E40065" s="96"/>
    </row>
    <row r="40066" hidden="1">
      <c r="E40066" s="96"/>
    </row>
    <row r="40067" hidden="1">
      <c r="E40067" s="96"/>
    </row>
    <row r="40068" hidden="1">
      <c r="E40068" s="96"/>
    </row>
    <row r="40069" hidden="1">
      <c r="E40069" s="96"/>
    </row>
    <row r="40070" hidden="1">
      <c r="E40070" s="96"/>
    </row>
    <row r="40071" hidden="1">
      <c r="E40071" s="96"/>
    </row>
    <row r="40072" hidden="1">
      <c r="E40072" s="96"/>
    </row>
    <row r="40073" hidden="1">
      <c r="E40073" s="96"/>
    </row>
    <row r="40074" hidden="1">
      <c r="E40074" s="96"/>
    </row>
    <row r="40075" hidden="1">
      <c r="E40075" s="96"/>
    </row>
    <row r="40076" hidden="1">
      <c r="E40076" s="96"/>
    </row>
    <row r="40077" hidden="1">
      <c r="E40077" s="96"/>
    </row>
    <row r="40078" hidden="1">
      <c r="E40078" s="96"/>
    </row>
    <row r="40079" hidden="1">
      <c r="E40079" s="96"/>
    </row>
    <row r="40080" hidden="1">
      <c r="E40080" s="96"/>
    </row>
    <row r="40081" hidden="1">
      <c r="E40081" s="96"/>
    </row>
    <row r="40082" hidden="1">
      <c r="E40082" s="96"/>
    </row>
    <row r="40083" hidden="1">
      <c r="E40083" s="96"/>
    </row>
    <row r="40084" hidden="1">
      <c r="E40084" s="96"/>
    </row>
    <row r="40085" hidden="1">
      <c r="E40085" s="96"/>
    </row>
    <row r="40086" hidden="1">
      <c r="E40086" s="96"/>
    </row>
    <row r="40087" hidden="1">
      <c r="E40087" s="96"/>
    </row>
    <row r="40088" hidden="1">
      <c r="E40088" s="96"/>
    </row>
    <row r="40089" hidden="1">
      <c r="E40089" s="96"/>
    </row>
    <row r="40090" hidden="1">
      <c r="E40090" s="96"/>
    </row>
    <row r="40091" hidden="1">
      <c r="E40091" s="96"/>
    </row>
    <row r="40092" hidden="1">
      <c r="E40092" s="96"/>
    </row>
    <row r="40093" hidden="1">
      <c r="E40093" s="96"/>
    </row>
    <row r="40094" hidden="1">
      <c r="E40094" s="96"/>
    </row>
    <row r="40095" hidden="1">
      <c r="E40095" s="96"/>
    </row>
    <row r="40096" hidden="1">
      <c r="E40096" s="96"/>
    </row>
    <row r="40097" hidden="1">
      <c r="E40097" s="96"/>
    </row>
    <row r="40098" hidden="1">
      <c r="E40098" s="96"/>
    </row>
    <row r="40099" hidden="1">
      <c r="E40099" s="96"/>
    </row>
    <row r="40100" hidden="1">
      <c r="E40100" s="96"/>
    </row>
    <row r="40101" hidden="1">
      <c r="E40101" s="96"/>
    </row>
    <row r="40102" hidden="1">
      <c r="E40102" s="96"/>
    </row>
    <row r="40103" hidden="1">
      <c r="E40103" s="96"/>
    </row>
    <row r="40104" hidden="1">
      <c r="E40104" s="96"/>
    </row>
    <row r="40105" hidden="1">
      <c r="E40105" s="96"/>
    </row>
    <row r="40106" hidden="1">
      <c r="E40106" s="96"/>
    </row>
    <row r="40107" hidden="1">
      <c r="E40107" s="96"/>
    </row>
    <row r="40108" hidden="1">
      <c r="E40108" s="96"/>
    </row>
    <row r="40109" hidden="1">
      <c r="E40109" s="96"/>
    </row>
    <row r="40110" hidden="1">
      <c r="E40110" s="96"/>
    </row>
    <row r="40111" hidden="1">
      <c r="E40111" s="96"/>
    </row>
    <row r="40112" hidden="1">
      <c r="E40112" s="96"/>
    </row>
    <row r="40113" hidden="1">
      <c r="E40113" s="96"/>
    </row>
    <row r="40114" hidden="1">
      <c r="E40114" s="96"/>
    </row>
    <row r="40115" hidden="1">
      <c r="E40115" s="96"/>
    </row>
    <row r="40116" hidden="1">
      <c r="E40116" s="96"/>
    </row>
    <row r="40117" hidden="1">
      <c r="E40117" s="96"/>
    </row>
    <row r="40118" hidden="1">
      <c r="E40118" s="96"/>
    </row>
    <row r="40119" hidden="1">
      <c r="E40119" s="96"/>
    </row>
    <row r="40120" hidden="1">
      <c r="E40120" s="96"/>
    </row>
    <row r="40121" hidden="1">
      <c r="E40121" s="96"/>
    </row>
    <row r="40122" hidden="1">
      <c r="E40122" s="96"/>
    </row>
    <row r="40123" hidden="1">
      <c r="E40123" s="96"/>
    </row>
    <row r="40124" hidden="1">
      <c r="E40124" s="96"/>
    </row>
    <row r="40125" hidden="1">
      <c r="E40125" s="96"/>
    </row>
    <row r="40126" hidden="1">
      <c r="E40126" s="96"/>
    </row>
    <row r="40127" hidden="1">
      <c r="E40127" s="96"/>
    </row>
    <row r="40128" hidden="1">
      <c r="E40128" s="96"/>
    </row>
    <row r="40129" hidden="1">
      <c r="E40129" s="96"/>
    </row>
    <row r="40130" hidden="1">
      <c r="E40130" s="96"/>
    </row>
    <row r="40131" hidden="1">
      <c r="E40131" s="96"/>
    </row>
    <row r="40132" hidden="1">
      <c r="E40132" s="96"/>
    </row>
    <row r="40133" hidden="1">
      <c r="E40133" s="96"/>
    </row>
    <row r="40134" hidden="1">
      <c r="E40134" s="96"/>
    </row>
    <row r="40135" hidden="1">
      <c r="E40135" s="96"/>
    </row>
    <row r="40136" hidden="1">
      <c r="E40136" s="96"/>
    </row>
    <row r="40137" hidden="1">
      <c r="E40137" s="96"/>
    </row>
    <row r="40138" hidden="1">
      <c r="E40138" s="96"/>
    </row>
    <row r="40139" hidden="1">
      <c r="E40139" s="96"/>
    </row>
    <row r="40140" hidden="1">
      <c r="E40140" s="96"/>
    </row>
    <row r="40141" hidden="1">
      <c r="E40141" s="96"/>
    </row>
    <row r="40142" hidden="1">
      <c r="E40142" s="96"/>
    </row>
    <row r="40143" hidden="1">
      <c r="E40143" s="96"/>
    </row>
    <row r="40144" hidden="1">
      <c r="E40144" s="96"/>
    </row>
    <row r="40145" hidden="1">
      <c r="E40145" s="96"/>
    </row>
    <row r="40146" hidden="1">
      <c r="E40146" s="96"/>
    </row>
    <row r="40147" hidden="1">
      <c r="E40147" s="96"/>
    </row>
    <row r="40148" hidden="1">
      <c r="E40148" s="96"/>
    </row>
    <row r="40149" hidden="1">
      <c r="E40149" s="96"/>
    </row>
    <row r="40150" hidden="1">
      <c r="E40150" s="96"/>
    </row>
    <row r="40151" hidden="1">
      <c r="E40151" s="96"/>
    </row>
    <row r="40152" hidden="1">
      <c r="E40152" s="96"/>
    </row>
    <row r="40153" hidden="1">
      <c r="E40153" s="96"/>
    </row>
    <row r="40154" hidden="1">
      <c r="E40154" s="96"/>
    </row>
    <row r="40155" hidden="1">
      <c r="E40155" s="96"/>
    </row>
    <row r="40156" hidden="1">
      <c r="E40156" s="96"/>
    </row>
    <row r="40157" hidden="1">
      <c r="E40157" s="96"/>
    </row>
    <row r="40158" hidden="1">
      <c r="E40158" s="96"/>
    </row>
    <row r="40159" hidden="1">
      <c r="E40159" s="96"/>
    </row>
    <row r="40160" hidden="1">
      <c r="E40160" s="96"/>
    </row>
    <row r="40161" hidden="1">
      <c r="E40161" s="96"/>
    </row>
    <row r="40162" hidden="1">
      <c r="E40162" s="96"/>
    </row>
    <row r="40163" hidden="1">
      <c r="E40163" s="96"/>
    </row>
    <row r="40164" hidden="1">
      <c r="E40164" s="96"/>
    </row>
    <row r="40165" hidden="1">
      <c r="E40165" s="96"/>
    </row>
    <row r="40166" hidden="1">
      <c r="E40166" s="96"/>
    </row>
    <row r="40167" hidden="1">
      <c r="E40167" s="96"/>
    </row>
    <row r="40168" hidden="1">
      <c r="E40168" s="96"/>
    </row>
    <row r="40169" hidden="1">
      <c r="E40169" s="96"/>
    </row>
    <row r="40170" hidden="1">
      <c r="E40170" s="96"/>
    </row>
    <row r="40171" hidden="1">
      <c r="E40171" s="96"/>
    </row>
    <row r="40172" hidden="1">
      <c r="E40172" s="96"/>
    </row>
    <row r="40173" hidden="1">
      <c r="E40173" s="96"/>
    </row>
    <row r="40174" hidden="1">
      <c r="E40174" s="96"/>
    </row>
    <row r="40175" hidden="1">
      <c r="E40175" s="96"/>
    </row>
    <row r="40176" hidden="1">
      <c r="E40176" s="96"/>
    </row>
    <row r="40177" hidden="1">
      <c r="E40177" s="96"/>
    </row>
    <row r="40178" hidden="1">
      <c r="E40178" s="96"/>
    </row>
    <row r="40179" hidden="1">
      <c r="E40179" s="96"/>
    </row>
    <row r="40180" hidden="1">
      <c r="E40180" s="96"/>
    </row>
    <row r="40181" hidden="1">
      <c r="E40181" s="96"/>
    </row>
    <row r="40182" hidden="1">
      <c r="E40182" s="96"/>
    </row>
    <row r="40183" hidden="1">
      <c r="E40183" s="96"/>
    </row>
    <row r="40184" hidden="1">
      <c r="E40184" s="96"/>
    </row>
    <row r="40185" hidden="1">
      <c r="E40185" s="96"/>
    </row>
    <row r="40186" hidden="1">
      <c r="E40186" s="96"/>
    </row>
    <row r="40187" hidden="1">
      <c r="E40187" s="96"/>
    </row>
    <row r="40188" hidden="1">
      <c r="E40188" s="96"/>
    </row>
    <row r="40189" hidden="1">
      <c r="E40189" s="96"/>
    </row>
    <row r="40190" hidden="1">
      <c r="E40190" s="96"/>
    </row>
    <row r="40191" hidden="1">
      <c r="E40191" s="96"/>
    </row>
    <row r="40192" hidden="1">
      <c r="E40192" s="96"/>
    </row>
    <row r="40193" hidden="1">
      <c r="E40193" s="96"/>
    </row>
    <row r="40194" hidden="1">
      <c r="E40194" s="96"/>
    </row>
    <row r="40195" hidden="1">
      <c r="E40195" s="96"/>
    </row>
    <row r="40196" hidden="1">
      <c r="E40196" s="96"/>
    </row>
    <row r="40197" hidden="1">
      <c r="E40197" s="96"/>
    </row>
    <row r="40198" hidden="1">
      <c r="E40198" s="96"/>
    </row>
    <row r="40199" hidden="1">
      <c r="E40199" s="96"/>
    </row>
    <row r="40200" hidden="1">
      <c r="E40200" s="96"/>
    </row>
    <row r="40201" hidden="1">
      <c r="E40201" s="96"/>
    </row>
    <row r="40202" hidden="1">
      <c r="E40202" s="96"/>
    </row>
    <row r="40203" hidden="1">
      <c r="E40203" s="96"/>
    </row>
    <row r="40204" hidden="1">
      <c r="E40204" s="96"/>
    </row>
    <row r="40205" hidden="1">
      <c r="E40205" s="96"/>
    </row>
    <row r="40206" hidden="1">
      <c r="E40206" s="96"/>
    </row>
    <row r="40207" hidden="1">
      <c r="E40207" s="96"/>
    </row>
    <row r="40208" hidden="1">
      <c r="E40208" s="96"/>
    </row>
    <row r="40209" hidden="1">
      <c r="E40209" s="96"/>
    </row>
    <row r="40210" hidden="1">
      <c r="E40210" s="96"/>
    </row>
    <row r="40211" hidden="1">
      <c r="E40211" s="96"/>
    </row>
    <row r="40212" hidden="1">
      <c r="E40212" s="96"/>
    </row>
    <row r="40213" hidden="1">
      <c r="E40213" s="96"/>
    </row>
    <row r="40214" hidden="1">
      <c r="E40214" s="96"/>
    </row>
    <row r="40215" hidden="1">
      <c r="E40215" s="96"/>
    </row>
    <row r="40216" hidden="1">
      <c r="E40216" s="96"/>
    </row>
    <row r="40217" hidden="1">
      <c r="E40217" s="96"/>
    </row>
    <row r="40218" hidden="1">
      <c r="E40218" s="96"/>
    </row>
    <row r="40219" hidden="1">
      <c r="E40219" s="96"/>
    </row>
    <row r="40220" hidden="1">
      <c r="E40220" s="96"/>
    </row>
    <row r="40221" hidden="1">
      <c r="E40221" s="96"/>
    </row>
    <row r="40222" hidden="1">
      <c r="E40222" s="96"/>
    </row>
    <row r="40223" hidden="1">
      <c r="E40223" s="96"/>
    </row>
    <row r="40224" hidden="1">
      <c r="E40224" s="96"/>
    </row>
    <row r="40225" hidden="1">
      <c r="E40225" s="96"/>
    </row>
    <row r="40226" hidden="1">
      <c r="E40226" s="96"/>
    </row>
    <row r="40227" hidden="1">
      <c r="E40227" s="96"/>
    </row>
    <row r="40228" hidden="1">
      <c r="E40228" s="96"/>
    </row>
    <row r="40229" hidden="1">
      <c r="E40229" s="96"/>
    </row>
    <row r="40230" hidden="1">
      <c r="E40230" s="96"/>
    </row>
    <row r="40231" hidden="1">
      <c r="E40231" s="96"/>
    </row>
    <row r="40232" hidden="1">
      <c r="E40232" s="96"/>
    </row>
    <row r="40233" hidden="1">
      <c r="E40233" s="96"/>
    </row>
    <row r="40234" hidden="1">
      <c r="E40234" s="96"/>
    </row>
    <row r="40235" hidden="1">
      <c r="E40235" s="96"/>
    </row>
    <row r="40236" hidden="1">
      <c r="E40236" s="96"/>
    </row>
    <row r="40237" hidden="1">
      <c r="E40237" s="96"/>
    </row>
    <row r="40238" hidden="1">
      <c r="E40238" s="96"/>
    </row>
    <row r="40239" hidden="1">
      <c r="E40239" s="96"/>
    </row>
    <row r="40240" hidden="1">
      <c r="E40240" s="96"/>
    </row>
    <row r="40241" hidden="1">
      <c r="E40241" s="96"/>
    </row>
    <row r="40242" hidden="1">
      <c r="E40242" s="96"/>
    </row>
    <row r="40243" hidden="1">
      <c r="E40243" s="96"/>
    </row>
    <row r="40244" hidden="1">
      <c r="E40244" s="96"/>
    </row>
    <row r="40245" hidden="1">
      <c r="E40245" s="96"/>
    </row>
    <row r="40246" hidden="1">
      <c r="E40246" s="96"/>
    </row>
    <row r="40247" hidden="1">
      <c r="E40247" s="96"/>
    </row>
    <row r="40248" hidden="1">
      <c r="E40248" s="96"/>
    </row>
    <row r="40249" hidden="1">
      <c r="E40249" s="96"/>
    </row>
    <row r="40250" hidden="1">
      <c r="E40250" s="96"/>
    </row>
    <row r="40251" hidden="1">
      <c r="E40251" s="96"/>
    </row>
    <row r="40252" hidden="1">
      <c r="E40252" s="96"/>
    </row>
    <row r="40253" hidden="1">
      <c r="E40253" s="96"/>
    </row>
    <row r="40254" hidden="1">
      <c r="E40254" s="96"/>
    </row>
    <row r="40255" hidden="1">
      <c r="E40255" s="96"/>
    </row>
    <row r="40256" hidden="1">
      <c r="E40256" s="96"/>
    </row>
    <row r="40257" hidden="1">
      <c r="E40257" s="96"/>
    </row>
    <row r="40258" hidden="1">
      <c r="E40258" s="96"/>
    </row>
    <row r="40259" hidden="1">
      <c r="E40259" s="96"/>
    </row>
    <row r="40260" hidden="1">
      <c r="E40260" s="96"/>
    </row>
    <row r="40261" hidden="1">
      <c r="E40261" s="96"/>
    </row>
    <row r="40262" hidden="1">
      <c r="E40262" s="96"/>
    </row>
    <row r="40263" hidden="1">
      <c r="E40263" s="96"/>
    </row>
    <row r="40264" hidden="1">
      <c r="E40264" s="96"/>
    </row>
    <row r="40265" hidden="1">
      <c r="E40265" s="96"/>
    </row>
    <row r="40266" hidden="1">
      <c r="E40266" s="96"/>
    </row>
    <row r="40267" hidden="1">
      <c r="E40267" s="96"/>
    </row>
    <row r="40268" hidden="1">
      <c r="E40268" s="96"/>
    </row>
    <row r="40269" hidden="1">
      <c r="E40269" s="96"/>
    </row>
    <row r="40270" hidden="1">
      <c r="E40270" s="96"/>
    </row>
    <row r="40271" hidden="1">
      <c r="E40271" s="96"/>
    </row>
    <row r="40272" hidden="1">
      <c r="E40272" s="96"/>
    </row>
    <row r="40273" hidden="1">
      <c r="E40273" s="96"/>
    </row>
    <row r="40274" hidden="1">
      <c r="E40274" s="96"/>
    </row>
    <row r="40275" hidden="1">
      <c r="E40275" s="96"/>
    </row>
    <row r="40276" hidden="1">
      <c r="E40276" s="96"/>
    </row>
    <row r="40277" hidden="1">
      <c r="E40277" s="96"/>
    </row>
    <row r="40278" hidden="1">
      <c r="E40278" s="96"/>
    </row>
    <row r="40279" hidden="1">
      <c r="E40279" s="96"/>
    </row>
    <row r="40280" hidden="1">
      <c r="E40280" s="96"/>
    </row>
    <row r="40281" hidden="1">
      <c r="E40281" s="96"/>
    </row>
    <row r="40282" hidden="1">
      <c r="E40282" s="96"/>
    </row>
    <row r="40283" hidden="1">
      <c r="E40283" s="96"/>
    </row>
    <row r="40284" hidden="1">
      <c r="E40284" s="96"/>
    </row>
    <row r="40285" hidden="1">
      <c r="E40285" s="96"/>
    </row>
    <row r="40286" hidden="1">
      <c r="E40286" s="96"/>
    </row>
    <row r="40287" hidden="1">
      <c r="E40287" s="96"/>
    </row>
    <row r="40288" hidden="1">
      <c r="E40288" s="96"/>
    </row>
    <row r="40289" hidden="1">
      <c r="E40289" s="96"/>
    </row>
    <row r="40290" hidden="1">
      <c r="E40290" s="96"/>
    </row>
    <row r="40291" hidden="1">
      <c r="E40291" s="96"/>
    </row>
    <row r="40292" hidden="1">
      <c r="E40292" s="96"/>
    </row>
    <row r="40293" hidden="1">
      <c r="E40293" s="96"/>
    </row>
    <row r="40294" hidden="1">
      <c r="E40294" s="96"/>
    </row>
    <row r="40295" hidden="1">
      <c r="E40295" s="96"/>
    </row>
    <row r="40296" hidden="1">
      <c r="E40296" s="96"/>
    </row>
    <row r="40297" hidden="1">
      <c r="E40297" s="96"/>
    </row>
    <row r="40298" hidden="1">
      <c r="E40298" s="96"/>
    </row>
    <row r="40299" hidden="1">
      <c r="E40299" s="96"/>
    </row>
    <row r="40300" hidden="1">
      <c r="E40300" s="96"/>
    </row>
    <row r="40301" hidden="1">
      <c r="E40301" s="96"/>
    </row>
    <row r="40302" hidden="1">
      <c r="E40302" s="96"/>
    </row>
    <row r="40303" hidden="1">
      <c r="E40303" s="96"/>
    </row>
    <row r="40304" hidden="1">
      <c r="E40304" s="96"/>
    </row>
    <row r="40305" hidden="1">
      <c r="E40305" s="96"/>
    </row>
    <row r="40306" hidden="1">
      <c r="E40306" s="96"/>
    </row>
    <row r="40307" hidden="1">
      <c r="E40307" s="96"/>
    </row>
    <row r="40308" hidden="1">
      <c r="E40308" s="96"/>
    </row>
    <row r="40309" hidden="1">
      <c r="E40309" s="96"/>
    </row>
    <row r="40310" hidden="1">
      <c r="E40310" s="96"/>
    </row>
    <row r="40311" hidden="1">
      <c r="E40311" s="96"/>
    </row>
    <row r="40312" hidden="1">
      <c r="E40312" s="96"/>
    </row>
    <row r="40313" hidden="1">
      <c r="E40313" s="96"/>
    </row>
    <row r="40314" hidden="1">
      <c r="E40314" s="96"/>
    </row>
    <row r="40315" hidden="1">
      <c r="E40315" s="96"/>
    </row>
    <row r="40316" hidden="1">
      <c r="E40316" s="96"/>
    </row>
    <row r="40317" hidden="1">
      <c r="E40317" s="96"/>
    </row>
    <row r="40318" hidden="1">
      <c r="E40318" s="96"/>
    </row>
    <row r="40319" hidden="1">
      <c r="E40319" s="96"/>
    </row>
    <row r="40320" hidden="1">
      <c r="E40320" s="96"/>
    </row>
    <row r="40321" hidden="1">
      <c r="E40321" s="96"/>
    </row>
    <row r="40322" hidden="1">
      <c r="E40322" s="96"/>
    </row>
    <row r="40323" hidden="1">
      <c r="E40323" s="96"/>
    </row>
    <row r="40324" hidden="1">
      <c r="E40324" s="96"/>
    </row>
    <row r="40325" hidden="1">
      <c r="E40325" s="96"/>
    </row>
    <row r="40326" hidden="1">
      <c r="E40326" s="96"/>
    </row>
    <row r="40327" hidden="1">
      <c r="E40327" s="96"/>
    </row>
    <row r="40328" hidden="1">
      <c r="E40328" s="96"/>
    </row>
    <row r="40329" hidden="1">
      <c r="E40329" s="96"/>
    </row>
    <row r="40330" hidden="1">
      <c r="E40330" s="96"/>
    </row>
    <row r="40331" hidden="1">
      <c r="E40331" s="96"/>
    </row>
    <row r="40332" hidden="1">
      <c r="E40332" s="96"/>
    </row>
    <row r="40333" hidden="1">
      <c r="E40333" s="96"/>
    </row>
    <row r="40334" hidden="1">
      <c r="E40334" s="96"/>
    </row>
    <row r="40335" hidden="1">
      <c r="E40335" s="96"/>
    </row>
    <row r="40336" hidden="1">
      <c r="E40336" s="96"/>
    </row>
    <row r="40337" hidden="1">
      <c r="E40337" s="96"/>
    </row>
    <row r="40338" hidden="1">
      <c r="E40338" s="96"/>
    </row>
    <row r="40339" hidden="1">
      <c r="E40339" s="96"/>
    </row>
    <row r="40340" hidden="1">
      <c r="E40340" s="96"/>
    </row>
    <row r="40341" hidden="1">
      <c r="E40341" s="96"/>
    </row>
    <row r="40342" hidden="1">
      <c r="E40342" s="96"/>
    </row>
    <row r="40343" hidden="1">
      <c r="E40343" s="96"/>
    </row>
    <row r="40344" hidden="1">
      <c r="E40344" s="96"/>
    </row>
    <row r="40345" hidden="1">
      <c r="E40345" s="96"/>
    </row>
    <row r="40346" hidden="1">
      <c r="E40346" s="96"/>
    </row>
    <row r="40347" hidden="1">
      <c r="E40347" s="96"/>
    </row>
    <row r="40348" hidden="1">
      <c r="E40348" s="96"/>
    </row>
    <row r="40349" hidden="1">
      <c r="E40349" s="96"/>
    </row>
    <row r="40350" hidden="1">
      <c r="E40350" s="96"/>
    </row>
    <row r="40351" hidden="1">
      <c r="E40351" s="96"/>
    </row>
    <row r="40352" hidden="1">
      <c r="E40352" s="96"/>
    </row>
    <row r="40353" hidden="1">
      <c r="E40353" s="96"/>
    </row>
    <row r="40354" hidden="1">
      <c r="E40354" s="96"/>
    </row>
    <row r="40355" hidden="1">
      <c r="E40355" s="96"/>
    </row>
    <row r="40356" hidden="1">
      <c r="E40356" s="96"/>
    </row>
    <row r="40357" hidden="1">
      <c r="E40357" s="96"/>
    </row>
    <row r="40358" hidden="1">
      <c r="E40358" s="96"/>
    </row>
    <row r="40359" hidden="1">
      <c r="E40359" s="96"/>
    </row>
    <row r="40360" hidden="1">
      <c r="E40360" s="96"/>
    </row>
    <row r="40361" hidden="1">
      <c r="E40361" s="96"/>
    </row>
    <row r="40362" hidden="1">
      <c r="E40362" s="96"/>
    </row>
    <row r="40363" hidden="1">
      <c r="E40363" s="96"/>
    </row>
    <row r="40364" hidden="1">
      <c r="E40364" s="96"/>
    </row>
    <row r="40365" hidden="1">
      <c r="E40365" s="96"/>
    </row>
    <row r="40366" hidden="1">
      <c r="E40366" s="96"/>
    </row>
    <row r="40367" hidden="1">
      <c r="E40367" s="96"/>
    </row>
    <row r="40368" hidden="1">
      <c r="E40368" s="96"/>
    </row>
    <row r="40369" hidden="1">
      <c r="E40369" s="96"/>
    </row>
    <row r="40370" hidden="1">
      <c r="E40370" s="96"/>
    </row>
    <row r="40371" hidden="1">
      <c r="E40371" s="96"/>
    </row>
    <row r="40372" hidden="1">
      <c r="E40372" s="96"/>
    </row>
    <row r="40373" hidden="1">
      <c r="E40373" s="96"/>
    </row>
    <row r="40374" hidden="1">
      <c r="E40374" s="96"/>
    </row>
    <row r="40375" hidden="1">
      <c r="E40375" s="96"/>
    </row>
    <row r="40376" hidden="1">
      <c r="E40376" s="96"/>
    </row>
    <row r="40377" hidden="1">
      <c r="E40377" s="96"/>
    </row>
    <row r="40378" hidden="1">
      <c r="E40378" s="96"/>
    </row>
    <row r="40379" hidden="1">
      <c r="E40379" s="96"/>
    </row>
    <row r="40380" hidden="1">
      <c r="E40380" s="96"/>
    </row>
    <row r="40381" hidden="1">
      <c r="E40381" s="96"/>
    </row>
    <row r="40382" hidden="1">
      <c r="E40382" s="96"/>
    </row>
    <row r="40383" hidden="1">
      <c r="E40383" s="96"/>
    </row>
    <row r="40384" hidden="1">
      <c r="E40384" s="96"/>
    </row>
    <row r="40385" hidden="1">
      <c r="E40385" s="96"/>
    </row>
    <row r="40386" hidden="1">
      <c r="E40386" s="96"/>
    </row>
    <row r="40387" hidden="1">
      <c r="E40387" s="96"/>
    </row>
    <row r="40388" hidden="1">
      <c r="E40388" s="96"/>
    </row>
    <row r="40389" hidden="1">
      <c r="E40389" s="96"/>
    </row>
    <row r="40390" hidden="1">
      <c r="E40390" s="96"/>
    </row>
    <row r="40391" hidden="1">
      <c r="E40391" s="96"/>
    </row>
    <row r="40392" hidden="1">
      <c r="E40392" s="96"/>
    </row>
    <row r="40393" hidden="1">
      <c r="E40393" s="96"/>
    </row>
    <row r="40394" hidden="1">
      <c r="E40394" s="96"/>
    </row>
    <row r="40395" hidden="1">
      <c r="E40395" s="96"/>
    </row>
    <row r="40396" hidden="1">
      <c r="E40396" s="96"/>
    </row>
    <row r="40397" hidden="1">
      <c r="E40397" s="96"/>
    </row>
    <row r="40398" hidden="1">
      <c r="E40398" s="96"/>
    </row>
    <row r="40399" hidden="1">
      <c r="E40399" s="96"/>
    </row>
    <row r="40400" hidden="1">
      <c r="E40400" s="96"/>
    </row>
    <row r="40401" hidden="1">
      <c r="E40401" s="96"/>
    </row>
    <row r="40402" hidden="1">
      <c r="E40402" s="96"/>
    </row>
    <row r="40403" hidden="1">
      <c r="E40403" s="96"/>
    </row>
    <row r="40404" hidden="1">
      <c r="E40404" s="96"/>
    </row>
    <row r="40405" hidden="1">
      <c r="E40405" s="96"/>
    </row>
    <row r="40406" hidden="1">
      <c r="E40406" s="96"/>
    </row>
    <row r="40407" hidden="1">
      <c r="E40407" s="96"/>
    </row>
    <row r="40408" hidden="1">
      <c r="E40408" s="96"/>
    </row>
    <row r="40409" hidden="1">
      <c r="E40409" s="96"/>
    </row>
    <row r="40410" hidden="1">
      <c r="E40410" s="96"/>
    </row>
    <row r="40411" hidden="1">
      <c r="E40411" s="96"/>
    </row>
    <row r="40412" hidden="1">
      <c r="E40412" s="96"/>
    </row>
    <row r="40413" hidden="1">
      <c r="E40413" s="96"/>
    </row>
    <row r="40414" hidden="1">
      <c r="E40414" s="96"/>
    </row>
    <row r="40415" hidden="1">
      <c r="E40415" s="96"/>
    </row>
    <row r="40416" hidden="1">
      <c r="E40416" s="96"/>
    </row>
    <row r="40417" hidden="1">
      <c r="E40417" s="96"/>
    </row>
    <row r="40418" hidden="1">
      <c r="E40418" s="96"/>
    </row>
    <row r="40419" hidden="1">
      <c r="E40419" s="96"/>
    </row>
    <row r="40420" hidden="1">
      <c r="E40420" s="96"/>
    </row>
    <row r="40421" hidden="1">
      <c r="E40421" s="96"/>
    </row>
    <row r="40422" hidden="1">
      <c r="E40422" s="96"/>
    </row>
    <row r="40423" hidden="1">
      <c r="E40423" s="96"/>
    </row>
    <row r="40424" hidden="1">
      <c r="E40424" s="96"/>
    </row>
    <row r="40425" hidden="1">
      <c r="E40425" s="96"/>
    </row>
    <row r="40426" hidden="1">
      <c r="E40426" s="96"/>
    </row>
    <row r="40427" hidden="1">
      <c r="E40427" s="96"/>
    </row>
    <row r="40428" hidden="1">
      <c r="E40428" s="96"/>
    </row>
    <row r="40429" hidden="1">
      <c r="E40429" s="96"/>
    </row>
    <row r="40430" hidden="1">
      <c r="E40430" s="96"/>
    </row>
    <row r="40431" hidden="1">
      <c r="E40431" s="96"/>
    </row>
    <row r="40432" hidden="1">
      <c r="E40432" s="96"/>
    </row>
    <row r="40433" hidden="1">
      <c r="E40433" s="96"/>
    </row>
    <row r="40434" hidden="1">
      <c r="E40434" s="96"/>
    </row>
    <row r="40435" hidden="1">
      <c r="E40435" s="96"/>
    </row>
    <row r="40436" hidden="1">
      <c r="E40436" s="96"/>
    </row>
    <row r="40437" hidden="1">
      <c r="E40437" s="96"/>
    </row>
    <row r="40438" hidden="1">
      <c r="E40438" s="96"/>
    </row>
    <row r="40439" hidden="1">
      <c r="E40439" s="96"/>
    </row>
    <row r="40440" hidden="1">
      <c r="E40440" s="96"/>
    </row>
    <row r="40441" hidden="1">
      <c r="E40441" s="96"/>
    </row>
    <row r="40442" hidden="1">
      <c r="E40442" s="96"/>
    </row>
    <row r="40443" hidden="1">
      <c r="E40443" s="96"/>
    </row>
    <row r="40444" hidden="1">
      <c r="E40444" s="96"/>
    </row>
    <row r="40445" hidden="1">
      <c r="E40445" s="96"/>
    </row>
    <row r="40446" hidden="1">
      <c r="E40446" s="96"/>
    </row>
    <row r="40447" hidden="1">
      <c r="E40447" s="96"/>
    </row>
    <row r="40448" hidden="1">
      <c r="E40448" s="96"/>
    </row>
    <row r="40449" hidden="1">
      <c r="E40449" s="96"/>
    </row>
    <row r="40450" hidden="1">
      <c r="E40450" s="96"/>
    </row>
    <row r="40451" hidden="1">
      <c r="E40451" s="96"/>
    </row>
    <row r="40452" hidden="1">
      <c r="E40452" s="96"/>
    </row>
    <row r="40453" hidden="1">
      <c r="E40453" s="96"/>
    </row>
    <row r="40454" hidden="1">
      <c r="E40454" s="96"/>
    </row>
    <row r="40455" hidden="1">
      <c r="E40455" s="96"/>
    </row>
    <row r="40456" hidden="1">
      <c r="E40456" s="96"/>
    </row>
    <row r="40457" hidden="1">
      <c r="E40457" s="96"/>
    </row>
    <row r="40458" hidden="1">
      <c r="E40458" s="96"/>
    </row>
    <row r="40459" hidden="1">
      <c r="E40459" s="96"/>
    </row>
    <row r="40460" hidden="1">
      <c r="E40460" s="96"/>
    </row>
    <row r="40461" hidden="1">
      <c r="E40461" s="96"/>
    </row>
    <row r="40462" hidden="1">
      <c r="E40462" s="96"/>
    </row>
    <row r="40463" hidden="1">
      <c r="E40463" s="96"/>
    </row>
    <row r="40464" hidden="1">
      <c r="E40464" s="96"/>
    </row>
    <row r="40465" hidden="1">
      <c r="E40465" s="96"/>
    </row>
    <row r="40466" hidden="1">
      <c r="E40466" s="96"/>
    </row>
    <row r="40467" hidden="1">
      <c r="E40467" s="96"/>
    </row>
    <row r="40468" hidden="1">
      <c r="E40468" s="96"/>
    </row>
    <row r="40469" hidden="1">
      <c r="E40469" s="96"/>
    </row>
    <row r="40470" hidden="1">
      <c r="E40470" s="96"/>
    </row>
    <row r="40471" hidden="1">
      <c r="E40471" s="96"/>
    </row>
    <row r="40472" hidden="1">
      <c r="E40472" s="96"/>
    </row>
    <row r="40473" hidden="1">
      <c r="E40473" s="96"/>
    </row>
    <row r="40474" hidden="1">
      <c r="E40474" s="96"/>
    </row>
    <row r="40475" hidden="1">
      <c r="E40475" s="96"/>
    </row>
    <row r="40476" hidden="1">
      <c r="E40476" s="96"/>
    </row>
    <row r="40477" hidden="1">
      <c r="E40477" s="96"/>
    </row>
    <row r="40478" hidden="1">
      <c r="E40478" s="96"/>
    </row>
    <row r="40479" hidden="1">
      <c r="E40479" s="96"/>
    </row>
    <row r="40480" hidden="1">
      <c r="E40480" s="96"/>
    </row>
    <row r="40481" hidden="1">
      <c r="E40481" s="96"/>
    </row>
    <row r="40482" hidden="1">
      <c r="E40482" s="96"/>
    </row>
    <row r="40483" hidden="1">
      <c r="E40483" s="96"/>
    </row>
    <row r="40484" hidden="1">
      <c r="E40484" s="96"/>
    </row>
    <row r="40485" hidden="1">
      <c r="E40485" s="96"/>
    </row>
    <row r="40486" hidden="1">
      <c r="E40486" s="96"/>
    </row>
    <row r="40487" hidden="1">
      <c r="E40487" s="96"/>
    </row>
    <row r="40488" hidden="1">
      <c r="E40488" s="96"/>
    </row>
    <row r="40489" hidden="1">
      <c r="E40489" s="96"/>
    </row>
    <row r="40490" hidden="1">
      <c r="E40490" s="96"/>
    </row>
    <row r="40491" hidden="1">
      <c r="E40491" s="96"/>
    </row>
    <row r="40492" hidden="1">
      <c r="E40492" s="96"/>
    </row>
    <row r="40493" hidden="1">
      <c r="E40493" s="96"/>
    </row>
    <row r="40494" hidden="1">
      <c r="E40494" s="96"/>
    </row>
    <row r="40495" hidden="1">
      <c r="E40495" s="96"/>
    </row>
    <row r="40496" hidden="1">
      <c r="E40496" s="96"/>
    </row>
    <row r="40497" hidden="1">
      <c r="E40497" s="96"/>
    </row>
    <row r="40498" hidden="1">
      <c r="E40498" s="96"/>
    </row>
    <row r="40499" hidden="1">
      <c r="E40499" s="96"/>
    </row>
    <row r="40500" hidden="1">
      <c r="E40500" s="96"/>
    </row>
    <row r="40501" hidden="1">
      <c r="E40501" s="96"/>
    </row>
    <row r="40502" hidden="1">
      <c r="E40502" s="96"/>
    </row>
    <row r="40503" hidden="1">
      <c r="E40503" s="96"/>
    </row>
    <row r="40504" hidden="1">
      <c r="E40504" s="96"/>
    </row>
    <row r="40505" hidden="1">
      <c r="E40505" s="96"/>
    </row>
    <row r="40506" hidden="1">
      <c r="E40506" s="96"/>
    </row>
    <row r="40507" hidden="1">
      <c r="E40507" s="96"/>
    </row>
    <row r="40508" hidden="1">
      <c r="E40508" s="96"/>
    </row>
    <row r="40509" hidden="1">
      <c r="E40509" s="96"/>
    </row>
    <row r="40510" hidden="1">
      <c r="E40510" s="96"/>
    </row>
    <row r="40511" hidden="1">
      <c r="E40511" s="96"/>
    </row>
    <row r="40512" hidden="1">
      <c r="E40512" s="96"/>
    </row>
    <row r="40513" hidden="1">
      <c r="E40513" s="96"/>
    </row>
    <row r="40514" hidden="1">
      <c r="E40514" s="96"/>
    </row>
    <row r="40515" hidden="1">
      <c r="E40515" s="96"/>
    </row>
    <row r="40516" hidden="1">
      <c r="E40516" s="96"/>
    </row>
    <row r="40517" hidden="1">
      <c r="E40517" s="96"/>
    </row>
    <row r="40518" hidden="1">
      <c r="E40518" s="96"/>
    </row>
    <row r="40519" hidden="1">
      <c r="E40519" s="96"/>
    </row>
    <row r="40520" hidden="1">
      <c r="E40520" s="96"/>
    </row>
    <row r="40521" hidden="1">
      <c r="E40521" s="96"/>
    </row>
    <row r="40522" hidden="1">
      <c r="E40522" s="96"/>
    </row>
    <row r="40523" hidden="1">
      <c r="E40523" s="96"/>
    </row>
    <row r="40524" hidden="1">
      <c r="E40524" s="96"/>
    </row>
    <row r="40525" hidden="1">
      <c r="E40525" s="96"/>
    </row>
    <row r="40526" hidden="1">
      <c r="E40526" s="96"/>
    </row>
    <row r="40527" hidden="1">
      <c r="E40527" s="96"/>
    </row>
    <row r="40528" hidden="1">
      <c r="E40528" s="96"/>
    </row>
    <row r="40529" hidden="1">
      <c r="E40529" s="96"/>
    </row>
    <row r="40530" hidden="1">
      <c r="E40530" s="96"/>
    </row>
    <row r="40531" hidden="1">
      <c r="E40531" s="96"/>
    </row>
    <row r="40532" hidden="1">
      <c r="E40532" s="96"/>
    </row>
    <row r="40533" hidden="1">
      <c r="E40533" s="96"/>
    </row>
    <row r="40534" hidden="1">
      <c r="E40534" s="96"/>
    </row>
    <row r="40535" hidden="1">
      <c r="E40535" s="96"/>
    </row>
    <row r="40536" hidden="1">
      <c r="E40536" s="96"/>
    </row>
    <row r="40537" hidden="1">
      <c r="E40537" s="96"/>
    </row>
    <row r="40538" hidden="1">
      <c r="E40538" s="96"/>
    </row>
    <row r="40539" hidden="1">
      <c r="E40539" s="96"/>
    </row>
    <row r="40540" hidden="1">
      <c r="E40540" s="96"/>
    </row>
    <row r="40541" hidden="1">
      <c r="E40541" s="96"/>
    </row>
    <row r="40542" hidden="1">
      <c r="E40542" s="96"/>
    </row>
    <row r="40543" hidden="1">
      <c r="E40543" s="96"/>
    </row>
    <row r="40544" hidden="1">
      <c r="E40544" s="96"/>
    </row>
    <row r="40545" hidden="1">
      <c r="E40545" s="96"/>
    </row>
    <row r="40546" hidden="1">
      <c r="E40546" s="96"/>
    </row>
    <row r="40547" hidden="1">
      <c r="E40547" s="96"/>
    </row>
    <row r="40548" hidden="1">
      <c r="E40548" s="96"/>
    </row>
    <row r="40549" hidden="1">
      <c r="E40549" s="96"/>
    </row>
    <row r="40550" hidden="1">
      <c r="E40550" s="96"/>
    </row>
    <row r="40551" hidden="1">
      <c r="E40551" s="96"/>
    </row>
    <row r="40552" hidden="1">
      <c r="E40552" s="96"/>
    </row>
    <row r="40553" hidden="1">
      <c r="E40553" s="96"/>
    </row>
    <row r="40554" hidden="1">
      <c r="E40554" s="96"/>
    </row>
    <row r="40555" hidden="1">
      <c r="E40555" s="96"/>
    </row>
    <row r="40556" hidden="1">
      <c r="E40556" s="96"/>
    </row>
    <row r="40557" hidden="1">
      <c r="E40557" s="96"/>
    </row>
    <row r="40558" hidden="1">
      <c r="E40558" s="96"/>
    </row>
    <row r="40559" hidden="1">
      <c r="E40559" s="96"/>
    </row>
    <row r="40560" hidden="1">
      <c r="E40560" s="96"/>
    </row>
    <row r="40561" hidden="1">
      <c r="E40561" s="96"/>
    </row>
    <row r="40562" hidden="1">
      <c r="E40562" s="96"/>
    </row>
    <row r="40563" hidden="1">
      <c r="E40563" s="96"/>
    </row>
    <row r="40564" hidden="1">
      <c r="E40564" s="96"/>
    </row>
    <row r="40565" hidden="1">
      <c r="E40565" s="96"/>
    </row>
    <row r="40566" hidden="1">
      <c r="E40566" s="96"/>
    </row>
    <row r="40567" hidden="1">
      <c r="E40567" s="96"/>
    </row>
    <row r="40568" hidden="1">
      <c r="E40568" s="96"/>
    </row>
    <row r="40569" hidden="1">
      <c r="E40569" s="96"/>
    </row>
    <row r="40570" hidden="1">
      <c r="E40570" s="96"/>
    </row>
    <row r="40571" hidden="1">
      <c r="E40571" s="96"/>
    </row>
    <row r="40572" hidden="1">
      <c r="E40572" s="96"/>
    </row>
    <row r="40573" hidden="1">
      <c r="E40573" s="96"/>
    </row>
    <row r="40574" hidden="1">
      <c r="E40574" s="96"/>
    </row>
    <row r="40575" hidden="1">
      <c r="E40575" s="96"/>
    </row>
    <row r="40576" hidden="1">
      <c r="E40576" s="96"/>
    </row>
    <row r="40577" hidden="1">
      <c r="E40577" s="96"/>
    </row>
    <row r="40578" hidden="1">
      <c r="E40578" s="96"/>
    </row>
    <row r="40579" hidden="1">
      <c r="E40579" s="96"/>
    </row>
    <row r="40580" hidden="1">
      <c r="E40580" s="96"/>
    </row>
    <row r="40581" hidden="1">
      <c r="E40581" s="96"/>
    </row>
    <row r="40582" hidden="1">
      <c r="E40582" s="96"/>
    </row>
    <row r="40583" hidden="1">
      <c r="E40583" s="96"/>
    </row>
    <row r="40584" hidden="1">
      <c r="E40584" s="96"/>
    </row>
    <row r="40585" hidden="1">
      <c r="E40585" s="96"/>
    </row>
    <row r="40586" hidden="1">
      <c r="E40586" s="96"/>
    </row>
    <row r="40587" hidden="1">
      <c r="E40587" s="96"/>
    </row>
    <row r="40588" hidden="1">
      <c r="E40588" s="96"/>
    </row>
    <row r="40589" hidden="1">
      <c r="E40589" s="96"/>
    </row>
    <row r="40590" hidden="1">
      <c r="E40590" s="96"/>
    </row>
    <row r="40591" hidden="1">
      <c r="E40591" s="96"/>
    </row>
    <row r="40592" hidden="1">
      <c r="E40592" s="96"/>
    </row>
    <row r="40593" hidden="1">
      <c r="E40593" s="96"/>
    </row>
    <row r="40594" hidden="1">
      <c r="E40594" s="96"/>
    </row>
    <row r="40595" hidden="1">
      <c r="E40595" s="96"/>
    </row>
    <row r="40596" hidden="1">
      <c r="E40596" s="96"/>
    </row>
    <row r="40597" hidden="1">
      <c r="E40597" s="96"/>
    </row>
    <row r="40598" hidden="1">
      <c r="E40598" s="96"/>
    </row>
    <row r="40599" hidden="1">
      <c r="E40599" s="96"/>
    </row>
    <row r="40600" hidden="1">
      <c r="E40600" s="96"/>
    </row>
    <row r="40601" hidden="1">
      <c r="E40601" s="96"/>
    </row>
    <row r="40602" hidden="1">
      <c r="E40602" s="96"/>
    </row>
    <row r="40603" hidden="1">
      <c r="E40603" s="96"/>
    </row>
    <row r="40604" hidden="1">
      <c r="E40604" s="96"/>
    </row>
    <row r="40605" hidden="1">
      <c r="E40605" s="96"/>
    </row>
    <row r="40606" hidden="1">
      <c r="E40606" s="96"/>
    </row>
    <row r="40607" hidden="1">
      <c r="E40607" s="96"/>
    </row>
    <row r="40608" hidden="1">
      <c r="E40608" s="96"/>
    </row>
    <row r="40609" hidden="1">
      <c r="E40609" s="96"/>
    </row>
    <row r="40610" hidden="1">
      <c r="E40610" s="96"/>
    </row>
    <row r="40611" hidden="1">
      <c r="E40611" s="96"/>
    </row>
    <row r="40612" hidden="1">
      <c r="E40612" s="96"/>
    </row>
    <row r="40613" hidden="1">
      <c r="E40613" s="96"/>
    </row>
    <row r="40614" hidden="1">
      <c r="E40614" s="96"/>
    </row>
    <row r="40615" hidden="1">
      <c r="E40615" s="96"/>
    </row>
    <row r="40616" hidden="1">
      <c r="E40616" s="96"/>
    </row>
    <row r="40617" hidden="1">
      <c r="E40617" s="96"/>
    </row>
    <row r="40618" hidden="1">
      <c r="E40618" s="96"/>
    </row>
    <row r="40619" hidden="1">
      <c r="E40619" s="96"/>
    </row>
    <row r="40620" hidden="1">
      <c r="E40620" s="96"/>
    </row>
    <row r="40621" hidden="1">
      <c r="E40621" s="96"/>
    </row>
    <row r="40622" hidden="1">
      <c r="E40622" s="96"/>
    </row>
    <row r="40623" hidden="1">
      <c r="E40623" s="96"/>
    </row>
    <row r="40624" hidden="1">
      <c r="E40624" s="96"/>
    </row>
    <row r="40625" hidden="1">
      <c r="E40625" s="96"/>
    </row>
    <row r="40626" hidden="1">
      <c r="E40626" s="96"/>
    </row>
    <row r="40627" hidden="1">
      <c r="E40627" s="96"/>
    </row>
    <row r="40628" hidden="1">
      <c r="E40628" s="96"/>
    </row>
    <row r="40629" hidden="1">
      <c r="E40629" s="96"/>
    </row>
    <row r="40630" hidden="1">
      <c r="E40630" s="96"/>
    </row>
    <row r="40631" hidden="1">
      <c r="E40631" s="96"/>
    </row>
    <row r="40632" hidden="1">
      <c r="E40632" s="96"/>
    </row>
    <row r="40633" hidden="1">
      <c r="E40633" s="96"/>
    </row>
    <row r="40634" hidden="1">
      <c r="E40634" s="96"/>
    </row>
    <row r="40635" hidden="1">
      <c r="E40635" s="96"/>
    </row>
    <row r="40636" hidden="1">
      <c r="E40636" s="96"/>
    </row>
    <row r="40637" hidden="1">
      <c r="E40637" s="96"/>
    </row>
    <row r="40638" hidden="1">
      <c r="E40638" s="96"/>
    </row>
    <row r="40639" hidden="1">
      <c r="E40639" s="96"/>
    </row>
    <row r="40640" hidden="1">
      <c r="E40640" s="96"/>
    </row>
    <row r="40641" hidden="1">
      <c r="E40641" s="96"/>
    </row>
    <row r="40642" hidden="1">
      <c r="E40642" s="96"/>
    </row>
    <row r="40643" hidden="1">
      <c r="E40643" s="96"/>
    </row>
    <row r="40644" hidden="1">
      <c r="E40644" s="96"/>
    </row>
    <row r="40645" hidden="1">
      <c r="E40645" s="96"/>
    </row>
    <row r="40646" hidden="1">
      <c r="E40646" s="96"/>
    </row>
    <row r="40647" hidden="1">
      <c r="E40647" s="96"/>
    </row>
    <row r="40648" hidden="1">
      <c r="E40648" s="96"/>
    </row>
    <row r="40649" hidden="1">
      <c r="E40649" s="96"/>
    </row>
    <row r="40650" hidden="1">
      <c r="E40650" s="96"/>
    </row>
    <row r="40651" hidden="1">
      <c r="E40651" s="96"/>
    </row>
    <row r="40652" hidden="1">
      <c r="E40652" s="96"/>
    </row>
    <row r="40653" hidden="1">
      <c r="E40653" s="96"/>
    </row>
    <row r="40654" hidden="1">
      <c r="E40654" s="96"/>
    </row>
    <row r="40655" hidden="1">
      <c r="E40655" s="96"/>
    </row>
    <row r="40656" hidden="1">
      <c r="E40656" s="96"/>
    </row>
    <row r="40657" hidden="1">
      <c r="E40657" s="96"/>
    </row>
    <row r="40658" hidden="1">
      <c r="E40658" s="96"/>
    </row>
    <row r="40659" hidden="1">
      <c r="E40659" s="96"/>
    </row>
    <row r="40660" hidden="1">
      <c r="E40660" s="96"/>
    </row>
    <row r="40661" hidden="1">
      <c r="E40661" s="96"/>
    </row>
    <row r="40662" hidden="1">
      <c r="E40662" s="96"/>
    </row>
    <row r="40663" hidden="1">
      <c r="E40663" s="96"/>
    </row>
    <row r="40664" hidden="1">
      <c r="E40664" s="96"/>
    </row>
    <row r="40665" hidden="1">
      <c r="E40665" s="96"/>
    </row>
    <row r="40666" hidden="1">
      <c r="E40666" s="96"/>
    </row>
    <row r="40667" hidden="1">
      <c r="E40667" s="96"/>
    </row>
    <row r="40668" hidden="1">
      <c r="E40668" s="96"/>
    </row>
    <row r="40669" hidden="1">
      <c r="E40669" s="96"/>
    </row>
    <row r="40670" hidden="1">
      <c r="E40670" s="96"/>
    </row>
    <row r="40671" hidden="1">
      <c r="E40671" s="96"/>
    </row>
    <row r="40672" hidden="1">
      <c r="E40672" s="96"/>
    </row>
    <row r="40673" hidden="1">
      <c r="E40673" s="96"/>
    </row>
    <row r="40674" hidden="1">
      <c r="E40674" s="96"/>
    </row>
    <row r="40675" hidden="1">
      <c r="E40675" s="96"/>
    </row>
    <row r="40676" hidden="1">
      <c r="E40676" s="96"/>
    </row>
    <row r="40677" hidden="1">
      <c r="E40677" s="96"/>
    </row>
    <row r="40678" hidden="1">
      <c r="E40678" s="96"/>
    </row>
    <row r="40679" hidden="1">
      <c r="E40679" s="96"/>
    </row>
    <row r="40680" hidden="1">
      <c r="E40680" s="96"/>
    </row>
    <row r="40681" hidden="1">
      <c r="E40681" s="96"/>
    </row>
    <row r="40682" hidden="1">
      <c r="E40682" s="96"/>
    </row>
    <row r="40683" hidden="1">
      <c r="E40683" s="96"/>
    </row>
    <row r="40684" hidden="1">
      <c r="E40684" s="96"/>
    </row>
    <row r="40685" hidden="1">
      <c r="E40685" s="96"/>
    </row>
    <row r="40686" hidden="1">
      <c r="E40686" s="96"/>
    </row>
    <row r="40687" hidden="1">
      <c r="E40687" s="96"/>
    </row>
    <row r="40688" hidden="1">
      <c r="E40688" s="96"/>
    </row>
    <row r="40689" hidden="1">
      <c r="E40689" s="96"/>
    </row>
    <row r="40690" hidden="1">
      <c r="E40690" s="96"/>
    </row>
    <row r="40691" hidden="1">
      <c r="E40691" s="96"/>
    </row>
    <row r="40692" hidden="1">
      <c r="E40692" s="96"/>
    </row>
    <row r="40693" hidden="1">
      <c r="E40693" s="96"/>
    </row>
    <row r="40694" hidden="1">
      <c r="E40694" s="96"/>
    </row>
    <row r="40695" hidden="1">
      <c r="E40695" s="96"/>
    </row>
    <row r="40696" hidden="1">
      <c r="E40696" s="96"/>
    </row>
    <row r="40697" hidden="1">
      <c r="E40697" s="96"/>
    </row>
    <row r="40698" hidden="1">
      <c r="E40698" s="96"/>
    </row>
    <row r="40699" hidden="1">
      <c r="E40699" s="96"/>
    </row>
    <row r="40700" hidden="1">
      <c r="E40700" s="96"/>
    </row>
    <row r="40701" hidden="1">
      <c r="E40701" s="96"/>
    </row>
    <row r="40702" hidden="1">
      <c r="E40702" s="96"/>
    </row>
    <row r="40703" hidden="1">
      <c r="E40703" s="96"/>
    </row>
    <row r="40704" hidden="1">
      <c r="E40704" s="96"/>
    </row>
    <row r="40705" hidden="1">
      <c r="E40705" s="96"/>
    </row>
    <row r="40706" hidden="1">
      <c r="E40706" s="96"/>
    </row>
    <row r="40707" hidden="1">
      <c r="E40707" s="96"/>
    </row>
    <row r="40708" hidden="1">
      <c r="E40708" s="96"/>
    </row>
    <row r="40709" hidden="1">
      <c r="E40709" s="96"/>
    </row>
    <row r="40710" hidden="1">
      <c r="E40710" s="96"/>
    </row>
    <row r="40711" hidden="1">
      <c r="E40711" s="96"/>
    </row>
    <row r="40712" hidden="1">
      <c r="E40712" s="96"/>
    </row>
    <row r="40713" hidden="1">
      <c r="E40713" s="96"/>
    </row>
    <row r="40714" hidden="1">
      <c r="E40714" s="96"/>
    </row>
    <row r="40715" hidden="1">
      <c r="E40715" s="96"/>
    </row>
    <row r="40716" hidden="1">
      <c r="E40716" s="96"/>
    </row>
    <row r="40717" hidden="1">
      <c r="E40717" s="96"/>
    </row>
    <row r="40718" hidden="1">
      <c r="E40718" s="96"/>
    </row>
    <row r="40719" hidden="1">
      <c r="E40719" s="96"/>
    </row>
    <row r="40720" hidden="1">
      <c r="E40720" s="96"/>
    </row>
    <row r="40721" hidden="1">
      <c r="E40721" s="96"/>
    </row>
    <row r="40722" hidden="1">
      <c r="E40722" s="96"/>
    </row>
    <row r="40723" hidden="1">
      <c r="E40723" s="96"/>
    </row>
    <row r="40724" hidden="1">
      <c r="E40724" s="96"/>
    </row>
    <row r="40725" hidden="1">
      <c r="E40725" s="96"/>
    </row>
    <row r="40726" hidden="1">
      <c r="E40726" s="96"/>
    </row>
    <row r="40727" hidden="1">
      <c r="E40727" s="96"/>
    </row>
    <row r="40728" hidden="1">
      <c r="E40728" s="96"/>
    </row>
    <row r="40729" hidden="1">
      <c r="E40729" s="96"/>
    </row>
    <row r="40730" hidden="1">
      <c r="E40730" s="96"/>
    </row>
    <row r="40731" hidden="1">
      <c r="E40731" s="96"/>
    </row>
    <row r="40732" hidden="1">
      <c r="E40732" s="96"/>
    </row>
    <row r="40733" hidden="1">
      <c r="E40733" s="96"/>
    </row>
    <row r="40734" hidden="1">
      <c r="E40734" s="96"/>
    </row>
    <row r="40735" hidden="1">
      <c r="E40735" s="96"/>
    </row>
    <row r="40736" hidden="1">
      <c r="E40736" s="96"/>
    </row>
    <row r="40737" hidden="1">
      <c r="E40737" s="96"/>
    </row>
    <row r="40738" hidden="1">
      <c r="E40738" s="96"/>
    </row>
    <row r="40739" hidden="1">
      <c r="E40739" s="96"/>
    </row>
    <row r="40740" hidden="1">
      <c r="E40740" s="96"/>
    </row>
    <row r="40741" hidden="1">
      <c r="E40741" s="96"/>
    </row>
    <row r="40742" hidden="1">
      <c r="E40742" s="96"/>
    </row>
    <row r="40743" hidden="1">
      <c r="E40743" s="96"/>
    </row>
    <row r="40744" hidden="1">
      <c r="E40744" s="96"/>
    </row>
    <row r="40745" hidden="1">
      <c r="E40745" s="96"/>
    </row>
    <row r="40746" hidden="1">
      <c r="E40746" s="96"/>
    </row>
    <row r="40747" hidden="1">
      <c r="E40747" s="96"/>
    </row>
    <row r="40748" hidden="1">
      <c r="E40748" s="96"/>
    </row>
    <row r="40749" hidden="1">
      <c r="E40749" s="96"/>
    </row>
    <row r="40750" hidden="1">
      <c r="E40750" s="96"/>
    </row>
    <row r="40751" hidden="1">
      <c r="E40751" s="96"/>
    </row>
    <row r="40752" hidden="1">
      <c r="E40752" s="96"/>
    </row>
    <row r="40753" hidden="1">
      <c r="E40753" s="96"/>
    </row>
    <row r="40754" hidden="1">
      <c r="E40754" s="96"/>
    </row>
    <row r="40755" hidden="1">
      <c r="E40755" s="96"/>
    </row>
    <row r="40756" hidden="1">
      <c r="E40756" s="96"/>
    </row>
    <row r="40757" hidden="1">
      <c r="E40757" s="96"/>
    </row>
    <row r="40758" hidden="1">
      <c r="E40758" s="96"/>
    </row>
    <row r="40759" hidden="1">
      <c r="E40759" s="96"/>
    </row>
    <row r="40760" hidden="1">
      <c r="E40760" s="96"/>
    </row>
    <row r="40761" hidden="1">
      <c r="E40761" s="96"/>
    </row>
    <row r="40762" hidden="1">
      <c r="E40762" s="96"/>
    </row>
    <row r="40763" hidden="1">
      <c r="E40763" s="96"/>
    </row>
    <row r="40764" hidden="1">
      <c r="E40764" s="96"/>
    </row>
    <row r="40765" hidden="1">
      <c r="E40765" s="96"/>
    </row>
    <row r="40766" hidden="1">
      <c r="E40766" s="96"/>
    </row>
    <row r="40767" hidden="1">
      <c r="E40767" s="96"/>
    </row>
    <row r="40768" hidden="1">
      <c r="E40768" s="96"/>
    </row>
    <row r="40769" hidden="1">
      <c r="E40769" s="96"/>
    </row>
    <row r="40770" hidden="1">
      <c r="E40770" s="96"/>
    </row>
    <row r="40771" hidden="1">
      <c r="E40771" s="96"/>
    </row>
    <row r="40772" hidden="1">
      <c r="E40772" s="96"/>
    </row>
    <row r="40773" hidden="1">
      <c r="E40773" s="96"/>
    </row>
    <row r="40774" hidden="1">
      <c r="E40774" s="96"/>
    </row>
    <row r="40775" hidden="1">
      <c r="E40775" s="96"/>
    </row>
    <row r="40776" hidden="1">
      <c r="E40776" s="96"/>
    </row>
    <row r="40777" hidden="1">
      <c r="E40777" s="96"/>
    </row>
    <row r="40778" hidden="1">
      <c r="E40778" s="96"/>
    </row>
    <row r="40779" hidden="1">
      <c r="E40779" s="96"/>
    </row>
    <row r="40780" hidden="1">
      <c r="E40780" s="96"/>
    </row>
    <row r="40781" hidden="1">
      <c r="E40781" s="96"/>
    </row>
    <row r="40782" hidden="1">
      <c r="E40782" s="96"/>
    </row>
    <row r="40783" hidden="1">
      <c r="E40783" s="96"/>
    </row>
    <row r="40784" hidden="1">
      <c r="E40784" s="96"/>
    </row>
    <row r="40785" hidden="1">
      <c r="E40785" s="96"/>
    </row>
    <row r="40786" hidden="1">
      <c r="E40786" s="96"/>
    </row>
    <row r="40787" hidden="1">
      <c r="E40787" s="96"/>
    </row>
    <row r="40788" hidden="1">
      <c r="E40788" s="96"/>
    </row>
    <row r="40789" hidden="1">
      <c r="E40789" s="96"/>
    </row>
    <row r="40790" hidden="1">
      <c r="E40790" s="96"/>
    </row>
    <row r="40791" hidden="1">
      <c r="E40791" s="96"/>
    </row>
    <row r="40792" hidden="1">
      <c r="E40792" s="96"/>
    </row>
    <row r="40793" hidden="1">
      <c r="E40793" s="96"/>
    </row>
    <row r="40794" hidden="1">
      <c r="E40794" s="96"/>
    </row>
    <row r="40795" hidden="1">
      <c r="E40795" s="96"/>
    </row>
    <row r="40796" hidden="1">
      <c r="E40796" s="96"/>
    </row>
    <row r="40797" hidden="1">
      <c r="E40797" s="96"/>
    </row>
    <row r="40798" hidden="1">
      <c r="E40798" s="96"/>
    </row>
    <row r="40799" hidden="1">
      <c r="E40799" s="96"/>
    </row>
    <row r="40800" hidden="1">
      <c r="E40800" s="96"/>
    </row>
    <row r="40801" hidden="1">
      <c r="E40801" s="96"/>
    </row>
    <row r="40802" hidden="1">
      <c r="E40802" s="96"/>
    </row>
    <row r="40803" hidden="1">
      <c r="E40803" s="96"/>
    </row>
    <row r="40804" hidden="1">
      <c r="E40804" s="96"/>
    </row>
    <row r="40805" hidden="1">
      <c r="E40805" s="96"/>
    </row>
    <row r="40806" hidden="1">
      <c r="E40806" s="96"/>
    </row>
    <row r="40807" hidden="1">
      <c r="E40807" s="96"/>
    </row>
    <row r="40808" hidden="1">
      <c r="E40808" s="96"/>
    </row>
    <row r="40809" hidden="1">
      <c r="E40809" s="96"/>
    </row>
    <row r="40810" hidden="1">
      <c r="E40810" s="96"/>
    </row>
    <row r="40811" hidden="1">
      <c r="E40811" s="96"/>
    </row>
    <row r="40812" hidden="1">
      <c r="E40812" s="96"/>
    </row>
    <row r="40813" hidden="1">
      <c r="E40813" s="96"/>
    </row>
    <row r="40814" hidden="1">
      <c r="E40814" s="96"/>
    </row>
    <row r="40815" hidden="1">
      <c r="E40815" s="96"/>
    </row>
    <row r="40816" hidden="1">
      <c r="E40816" s="96"/>
    </row>
    <row r="40817" hidden="1">
      <c r="E40817" s="96"/>
    </row>
    <row r="40818" hidden="1">
      <c r="E40818" s="96"/>
    </row>
    <row r="40819" hidden="1">
      <c r="E40819" s="96"/>
    </row>
    <row r="40820" hidden="1">
      <c r="E40820" s="96"/>
    </row>
    <row r="40821" hidden="1">
      <c r="E40821" s="96"/>
    </row>
    <row r="40822" hidden="1">
      <c r="E40822" s="96"/>
    </row>
    <row r="40823" hidden="1">
      <c r="E40823" s="96"/>
    </row>
    <row r="40824" hidden="1">
      <c r="E40824" s="96"/>
    </row>
    <row r="40825" hidden="1">
      <c r="E40825" s="96"/>
    </row>
    <row r="40826" hidden="1">
      <c r="E40826" s="96"/>
    </row>
    <row r="40827" hidden="1">
      <c r="E40827" s="96"/>
    </row>
    <row r="40828" hidden="1">
      <c r="E40828" s="96"/>
    </row>
    <row r="40829" hidden="1">
      <c r="E40829" s="96"/>
    </row>
    <row r="40830" hidden="1">
      <c r="E40830" s="96"/>
    </row>
    <row r="40831" hidden="1">
      <c r="E40831" s="96"/>
    </row>
    <row r="40832" hidden="1">
      <c r="E40832" s="96"/>
    </row>
    <row r="40833" hidden="1">
      <c r="E40833" s="96"/>
    </row>
    <row r="40834" hidden="1">
      <c r="E40834" s="96"/>
    </row>
    <row r="40835" hidden="1">
      <c r="E40835" s="96"/>
    </row>
    <row r="40836" hidden="1">
      <c r="E40836" s="96"/>
    </row>
    <row r="40837" hidden="1">
      <c r="E40837" s="96"/>
    </row>
    <row r="40838" hidden="1">
      <c r="E40838" s="96"/>
    </row>
    <row r="40839" hidden="1">
      <c r="E40839" s="96"/>
    </row>
    <row r="40840" hidden="1">
      <c r="E40840" s="96"/>
    </row>
    <row r="40841" hidden="1">
      <c r="E40841" s="96"/>
    </row>
    <row r="40842" hidden="1">
      <c r="E40842" s="96"/>
    </row>
    <row r="40843" hidden="1">
      <c r="E40843" s="96"/>
    </row>
    <row r="40844" hidden="1">
      <c r="E40844" s="96"/>
    </row>
    <row r="40845" hidden="1">
      <c r="E40845" s="96"/>
    </row>
    <row r="40846" hidden="1">
      <c r="E40846" s="96"/>
    </row>
    <row r="40847" hidden="1">
      <c r="E40847" s="96"/>
    </row>
    <row r="40848" hidden="1">
      <c r="E40848" s="96"/>
    </row>
    <row r="40849" hidden="1">
      <c r="E40849" s="96"/>
    </row>
    <row r="40850" hidden="1">
      <c r="E40850" s="96"/>
    </row>
    <row r="40851" hidden="1">
      <c r="E40851" s="96"/>
    </row>
    <row r="40852" hidden="1">
      <c r="E40852" s="96"/>
    </row>
    <row r="40853" hidden="1">
      <c r="E40853" s="96"/>
    </row>
    <row r="40854" hidden="1">
      <c r="E40854" s="96"/>
    </row>
    <row r="40855" hidden="1">
      <c r="E40855" s="96"/>
    </row>
    <row r="40856" hidden="1">
      <c r="E40856" s="96"/>
    </row>
    <row r="40857" hidden="1">
      <c r="E40857" s="96"/>
    </row>
    <row r="40858" hidden="1">
      <c r="E40858" s="96"/>
    </row>
    <row r="40859" hidden="1">
      <c r="E40859" s="96"/>
    </row>
    <row r="40860" hidden="1">
      <c r="E40860" s="96"/>
    </row>
    <row r="40861" hidden="1">
      <c r="E40861" s="96"/>
    </row>
    <row r="40862" hidden="1">
      <c r="E40862" s="96"/>
    </row>
    <row r="40863" hidden="1">
      <c r="E40863" s="96"/>
    </row>
    <row r="40864" hidden="1">
      <c r="E40864" s="96"/>
    </row>
    <row r="40865" hidden="1">
      <c r="E40865" s="96"/>
    </row>
    <row r="40866" hidden="1">
      <c r="E40866" s="96"/>
    </row>
    <row r="40867" hidden="1">
      <c r="E40867" s="96"/>
    </row>
    <row r="40868" hidden="1">
      <c r="E40868" s="96"/>
    </row>
    <row r="40869" hidden="1">
      <c r="E40869" s="96"/>
    </row>
    <row r="40870" hidden="1">
      <c r="E40870" s="96"/>
    </row>
    <row r="40871" hidden="1">
      <c r="E40871" s="96"/>
    </row>
    <row r="40872" hidden="1">
      <c r="E40872" s="96"/>
    </row>
    <row r="40873" hidden="1">
      <c r="E40873" s="96"/>
    </row>
    <row r="40874" hidden="1">
      <c r="E40874" s="96"/>
    </row>
    <row r="40875" hidden="1">
      <c r="E40875" s="96"/>
    </row>
    <row r="40876" hidden="1">
      <c r="E40876" s="96"/>
    </row>
    <row r="40877" hidden="1">
      <c r="E40877" s="96"/>
    </row>
    <row r="40878" hidden="1">
      <c r="E40878" s="96"/>
    </row>
    <row r="40879" hidden="1">
      <c r="E40879" s="96"/>
    </row>
    <row r="40880" hidden="1">
      <c r="E40880" s="96"/>
    </row>
    <row r="40881" hidden="1">
      <c r="E40881" s="96"/>
    </row>
    <row r="40882" hidden="1">
      <c r="E40882" s="96"/>
    </row>
    <row r="40883" hidden="1">
      <c r="E40883" s="96"/>
    </row>
    <row r="40884" hidden="1">
      <c r="E40884" s="96"/>
    </row>
    <row r="40885" hidden="1">
      <c r="E40885" s="96"/>
    </row>
    <row r="40886" hidden="1">
      <c r="E40886" s="96"/>
    </row>
    <row r="40887" hidden="1">
      <c r="E40887" s="96"/>
    </row>
    <row r="40888" hidden="1">
      <c r="E40888" s="96"/>
    </row>
    <row r="40889" hidden="1">
      <c r="E40889" s="96"/>
    </row>
    <row r="40890" hidden="1">
      <c r="E40890" s="96"/>
    </row>
    <row r="40891" hidden="1">
      <c r="E40891" s="96"/>
    </row>
    <row r="40892" hidden="1">
      <c r="E40892" s="96"/>
    </row>
    <row r="40893" hidden="1">
      <c r="E40893" s="96"/>
    </row>
    <row r="40894" hidden="1">
      <c r="E40894" s="96"/>
    </row>
    <row r="40895" hidden="1">
      <c r="E40895" s="96"/>
    </row>
    <row r="40896" hidden="1">
      <c r="E40896" s="96"/>
    </row>
    <row r="40897" hidden="1">
      <c r="E40897" s="96"/>
    </row>
    <row r="40898" hidden="1">
      <c r="E40898" s="96"/>
    </row>
    <row r="40899" hidden="1">
      <c r="E40899" s="96"/>
    </row>
    <row r="40900" hidden="1">
      <c r="E40900" s="96"/>
    </row>
    <row r="40901" hidden="1">
      <c r="E40901" s="96"/>
    </row>
    <row r="40902" hidden="1">
      <c r="E40902" s="96"/>
    </row>
    <row r="40903" hidden="1">
      <c r="E40903" s="96"/>
    </row>
    <row r="40904" hidden="1">
      <c r="E40904" s="96"/>
    </row>
    <row r="40905" hidden="1">
      <c r="E40905" s="96"/>
    </row>
    <row r="40906" hidden="1">
      <c r="E40906" s="96"/>
    </row>
    <row r="40907" hidden="1">
      <c r="E40907" s="96"/>
    </row>
    <row r="40908" hidden="1">
      <c r="E40908" s="96"/>
    </row>
    <row r="40909" hidden="1">
      <c r="E40909" s="96"/>
    </row>
    <row r="40910" hidden="1">
      <c r="E40910" s="96"/>
    </row>
    <row r="40911" hidden="1">
      <c r="E40911" s="96"/>
    </row>
    <row r="40912" hidden="1">
      <c r="E40912" s="96"/>
    </row>
    <row r="40913" hidden="1">
      <c r="E40913" s="96"/>
    </row>
    <row r="40914" hidden="1">
      <c r="E40914" s="96"/>
    </row>
    <row r="40915" hidden="1">
      <c r="E40915" s="96"/>
    </row>
    <row r="40916" hidden="1">
      <c r="E40916" s="96"/>
    </row>
    <row r="40917" hidden="1">
      <c r="E40917" s="96"/>
    </row>
    <row r="40918" hidden="1">
      <c r="E40918" s="96"/>
    </row>
    <row r="40919" hidden="1">
      <c r="E40919" s="96"/>
    </row>
    <row r="40920" hidden="1">
      <c r="E40920" s="96"/>
    </row>
    <row r="40921" hidden="1">
      <c r="E40921" s="96"/>
    </row>
    <row r="40922" hidden="1">
      <c r="E40922" s="96"/>
    </row>
    <row r="40923" hidden="1">
      <c r="E40923" s="96"/>
    </row>
    <row r="40924" hidden="1">
      <c r="E40924" s="96"/>
    </row>
    <row r="40925" hidden="1">
      <c r="E40925" s="96"/>
    </row>
    <row r="40926" hidden="1">
      <c r="E40926" s="96"/>
    </row>
    <row r="40927" hidden="1">
      <c r="E40927" s="96"/>
    </row>
    <row r="40928" hidden="1">
      <c r="E40928" s="96"/>
    </row>
    <row r="40929" hidden="1">
      <c r="E40929" s="96"/>
    </row>
    <row r="40930" hidden="1">
      <c r="E40930" s="96"/>
    </row>
    <row r="40931" hidden="1">
      <c r="E40931" s="96"/>
    </row>
    <row r="40932" hidden="1">
      <c r="E40932" s="96"/>
    </row>
    <row r="40933" hidden="1">
      <c r="E40933" s="96"/>
    </row>
    <row r="40934" hidden="1">
      <c r="E40934" s="96"/>
    </row>
    <row r="40935" hidden="1">
      <c r="E40935" s="96"/>
    </row>
    <row r="40936" hidden="1">
      <c r="E40936" s="96"/>
    </row>
    <row r="40937" hidden="1">
      <c r="E40937" s="96"/>
    </row>
    <row r="40938" hidden="1">
      <c r="E40938" s="96"/>
    </row>
    <row r="40939" hidden="1">
      <c r="E40939" s="96"/>
    </row>
    <row r="40940" hidden="1">
      <c r="E40940" s="96"/>
    </row>
    <row r="40941" hidden="1">
      <c r="E40941" s="96"/>
    </row>
    <row r="40942" hidden="1">
      <c r="E40942" s="96"/>
    </row>
    <row r="40943" hidden="1">
      <c r="E40943" s="96"/>
    </row>
    <row r="40944" hidden="1">
      <c r="E40944" s="96"/>
    </row>
    <row r="40945" hidden="1">
      <c r="E40945" s="96"/>
    </row>
    <row r="40946" hidden="1">
      <c r="E40946" s="96"/>
    </row>
    <row r="40947" hidden="1">
      <c r="E40947" s="96"/>
    </row>
    <row r="40948" hidden="1">
      <c r="E40948" s="96"/>
    </row>
    <row r="40949" hidden="1">
      <c r="E40949" s="96"/>
    </row>
    <row r="40950" hidden="1">
      <c r="E40950" s="96"/>
    </row>
    <row r="40951" hidden="1">
      <c r="E40951" s="96"/>
    </row>
    <row r="40952" hidden="1">
      <c r="E40952" s="96"/>
    </row>
    <row r="40953" hidden="1">
      <c r="E40953" s="96"/>
    </row>
    <row r="40954" hidden="1">
      <c r="E40954" s="96"/>
    </row>
    <row r="40955" hidden="1">
      <c r="E40955" s="96"/>
    </row>
    <row r="40956" hidden="1">
      <c r="E40956" s="96"/>
    </row>
    <row r="40957" hidden="1">
      <c r="E40957" s="96"/>
    </row>
    <row r="40958" hidden="1">
      <c r="E40958" s="96"/>
    </row>
    <row r="40959" hidden="1">
      <c r="E40959" s="96"/>
    </row>
    <row r="40960" hidden="1">
      <c r="E40960" s="96"/>
    </row>
    <row r="40961" hidden="1">
      <c r="E40961" s="96"/>
    </row>
    <row r="40962" hidden="1">
      <c r="E40962" s="96"/>
    </row>
    <row r="40963" hidden="1">
      <c r="E40963" s="96"/>
    </row>
    <row r="40964" hidden="1">
      <c r="E40964" s="96"/>
    </row>
    <row r="40965" hidden="1">
      <c r="E40965" s="96"/>
    </row>
    <row r="40966" hidden="1">
      <c r="E40966" s="96"/>
    </row>
    <row r="40967" hidden="1">
      <c r="E40967" s="96"/>
    </row>
    <row r="40968" hidden="1">
      <c r="E40968" s="96"/>
    </row>
    <row r="40969" hidden="1">
      <c r="E40969" s="96"/>
    </row>
    <row r="40970" hidden="1">
      <c r="E40970" s="96"/>
    </row>
    <row r="40971" hidden="1">
      <c r="E40971" s="96"/>
    </row>
    <row r="40972" hidden="1">
      <c r="E40972" s="96"/>
    </row>
    <row r="40973" hidden="1">
      <c r="E40973" s="96"/>
    </row>
    <row r="40974" hidden="1">
      <c r="E40974" s="96"/>
    </row>
    <row r="40975" hidden="1">
      <c r="E40975" s="96"/>
    </row>
    <row r="40976" hidden="1">
      <c r="E40976" s="96"/>
    </row>
    <row r="40977" hidden="1">
      <c r="E40977" s="96"/>
    </row>
    <row r="40978" hidden="1">
      <c r="E40978" s="96"/>
    </row>
    <row r="40979" hidden="1">
      <c r="E40979" s="96"/>
    </row>
    <row r="40980" hidden="1">
      <c r="E40980" s="96"/>
    </row>
    <row r="40981" hidden="1">
      <c r="E40981" s="96"/>
    </row>
    <row r="40982" hidden="1">
      <c r="E40982" s="96"/>
    </row>
    <row r="40983" hidden="1">
      <c r="E40983" s="96"/>
    </row>
    <row r="40984" hidden="1">
      <c r="E40984" s="96"/>
    </row>
    <row r="40985" hidden="1">
      <c r="E40985" s="96"/>
    </row>
    <row r="40986" hidden="1">
      <c r="E40986" s="96"/>
    </row>
    <row r="40987" hidden="1">
      <c r="E40987" s="96"/>
    </row>
    <row r="40988" hidden="1">
      <c r="E40988" s="96"/>
    </row>
    <row r="40989" hidden="1">
      <c r="E40989" s="96"/>
    </row>
    <row r="40990" hidden="1">
      <c r="E40990" s="96"/>
    </row>
    <row r="40991" hidden="1">
      <c r="E40991" s="96"/>
    </row>
    <row r="40992" hidden="1">
      <c r="E40992" s="96"/>
    </row>
    <row r="40993" hidden="1">
      <c r="E40993" s="96"/>
    </row>
    <row r="40994" hidden="1">
      <c r="E40994" s="96"/>
    </row>
    <row r="40995" hidden="1">
      <c r="E40995" s="96"/>
    </row>
    <row r="40996" hidden="1">
      <c r="E40996" s="96"/>
    </row>
    <row r="40997" hidden="1">
      <c r="E40997" s="96"/>
    </row>
    <row r="40998" hidden="1">
      <c r="E40998" s="96"/>
    </row>
    <row r="40999" hidden="1">
      <c r="E40999" s="96"/>
    </row>
    <row r="41000" hidden="1">
      <c r="E41000" s="96"/>
    </row>
    <row r="41001" hidden="1">
      <c r="E41001" s="96"/>
    </row>
    <row r="41002" hidden="1">
      <c r="E41002" s="96"/>
    </row>
    <row r="41003" hidden="1">
      <c r="E41003" s="96"/>
    </row>
    <row r="41004" hidden="1">
      <c r="E41004" s="96"/>
    </row>
    <row r="41005" hidden="1">
      <c r="E41005" s="96"/>
    </row>
    <row r="41006" hidden="1">
      <c r="E41006" s="96"/>
    </row>
    <row r="41007" hidden="1">
      <c r="E41007" s="96"/>
    </row>
    <row r="41008" hidden="1">
      <c r="E41008" s="96"/>
    </row>
    <row r="41009" hidden="1">
      <c r="E41009" s="96"/>
    </row>
    <row r="41010" hidden="1">
      <c r="E41010" s="96"/>
    </row>
    <row r="41011" hidden="1">
      <c r="E41011" s="96"/>
    </row>
    <row r="41012" hidden="1">
      <c r="E41012" s="96"/>
    </row>
    <row r="41013" hidden="1">
      <c r="E41013" s="96"/>
    </row>
    <row r="41014" hidden="1">
      <c r="E41014" s="96"/>
    </row>
    <row r="41015" hidden="1">
      <c r="E41015" s="96"/>
    </row>
    <row r="41016" hidden="1">
      <c r="E41016" s="96"/>
    </row>
    <row r="41017" hidden="1">
      <c r="E41017" s="96"/>
    </row>
    <row r="41018" hidden="1">
      <c r="E41018" s="96"/>
    </row>
    <row r="41019" hidden="1">
      <c r="E41019" s="96"/>
    </row>
    <row r="41020" hidden="1">
      <c r="E41020" s="96"/>
    </row>
    <row r="41021" hidden="1">
      <c r="E41021" s="96"/>
    </row>
    <row r="41022" hidden="1">
      <c r="E41022" s="96"/>
    </row>
    <row r="41023" hidden="1">
      <c r="E41023" s="96"/>
    </row>
    <row r="41024" hidden="1">
      <c r="E41024" s="96"/>
    </row>
    <row r="41025" hidden="1">
      <c r="E41025" s="96"/>
    </row>
    <row r="41026" hidden="1">
      <c r="E41026" s="96"/>
    </row>
    <row r="41027" hidden="1">
      <c r="E41027" s="96"/>
    </row>
    <row r="41028" hidden="1">
      <c r="E41028" s="96"/>
    </row>
    <row r="41029" hidden="1">
      <c r="E41029" s="96"/>
    </row>
    <row r="41030" hidden="1">
      <c r="E41030" s="96"/>
    </row>
    <row r="41031" hidden="1">
      <c r="E41031" s="96"/>
    </row>
    <row r="41032" hidden="1">
      <c r="E41032" s="96"/>
    </row>
    <row r="41033" hidden="1">
      <c r="E41033" s="96"/>
    </row>
    <row r="41034" hidden="1">
      <c r="E41034" s="96"/>
    </row>
    <row r="41035" hidden="1">
      <c r="E41035" s="96"/>
    </row>
    <row r="41036" hidden="1">
      <c r="E41036" s="96"/>
    </row>
    <row r="41037" hidden="1">
      <c r="E41037" s="96"/>
    </row>
    <row r="41038" hidden="1">
      <c r="E41038" s="96"/>
    </row>
    <row r="41039" hidden="1">
      <c r="E41039" s="96"/>
    </row>
    <row r="41040" hidden="1">
      <c r="E41040" s="96"/>
    </row>
    <row r="41041" hidden="1">
      <c r="E41041" s="96"/>
    </row>
    <row r="41042" hidden="1">
      <c r="E41042" s="96"/>
    </row>
    <row r="41043" hidden="1">
      <c r="E41043" s="96"/>
    </row>
    <row r="41044" hidden="1">
      <c r="E41044" s="96"/>
    </row>
    <row r="41045" hidden="1">
      <c r="E41045" s="96"/>
    </row>
    <row r="41046" hidden="1">
      <c r="E41046" s="96"/>
    </row>
    <row r="41047" hidden="1">
      <c r="E41047" s="96"/>
    </row>
    <row r="41048" hidden="1">
      <c r="E41048" s="96"/>
    </row>
    <row r="41049" hidden="1">
      <c r="E41049" s="96"/>
    </row>
    <row r="41050" hidden="1">
      <c r="E41050" s="96"/>
    </row>
    <row r="41051" hidden="1">
      <c r="E41051" s="96"/>
    </row>
    <row r="41052" hidden="1">
      <c r="E41052" s="96"/>
    </row>
    <row r="41053" hidden="1">
      <c r="E41053" s="96"/>
    </row>
    <row r="41054" hidden="1">
      <c r="E41054" s="96"/>
    </row>
    <row r="41055" hidden="1">
      <c r="E41055" s="96"/>
    </row>
    <row r="41056" hidden="1">
      <c r="E41056" s="96"/>
    </row>
    <row r="41057" hidden="1">
      <c r="E41057" s="96"/>
    </row>
    <row r="41058" hidden="1">
      <c r="E41058" s="96"/>
    </row>
    <row r="41059" hidden="1">
      <c r="E41059" s="96"/>
    </row>
    <row r="41060" hidden="1">
      <c r="E41060" s="96"/>
    </row>
    <row r="41061" hidden="1">
      <c r="E41061" s="96"/>
    </row>
    <row r="41062" hidden="1">
      <c r="E41062" s="96"/>
    </row>
    <row r="41063" hidden="1">
      <c r="E41063" s="96"/>
    </row>
    <row r="41064" hidden="1">
      <c r="E41064" s="96"/>
    </row>
    <row r="41065" hidden="1">
      <c r="E41065" s="96"/>
    </row>
    <row r="41066" hidden="1">
      <c r="E41066" s="96"/>
    </row>
    <row r="41067" hidden="1">
      <c r="E41067" s="96"/>
    </row>
    <row r="41068" hidden="1">
      <c r="E41068" s="96"/>
    </row>
    <row r="41069" hidden="1">
      <c r="E41069" s="96"/>
    </row>
    <row r="41070" hidden="1">
      <c r="E41070" s="96"/>
    </row>
    <row r="41071" hidden="1">
      <c r="E41071" s="96"/>
    </row>
    <row r="41072" hidden="1">
      <c r="E41072" s="96"/>
    </row>
    <row r="41073" hidden="1">
      <c r="E41073" s="96"/>
    </row>
    <row r="41074" hidden="1">
      <c r="E41074" s="96"/>
    </row>
    <row r="41075" hidden="1">
      <c r="E41075" s="96"/>
    </row>
    <row r="41076" hidden="1">
      <c r="E41076" s="96"/>
    </row>
    <row r="41077" hidden="1">
      <c r="E41077" s="96"/>
    </row>
    <row r="41078" hidden="1">
      <c r="E41078" s="96"/>
    </row>
    <row r="41079" hidden="1">
      <c r="E41079" s="96"/>
    </row>
    <row r="41080" hidden="1">
      <c r="E41080" s="96"/>
    </row>
    <row r="41081" hidden="1">
      <c r="E41081" s="96"/>
    </row>
    <row r="41082" hidden="1">
      <c r="E41082" s="96"/>
    </row>
    <row r="41083" hidden="1">
      <c r="E41083" s="96"/>
    </row>
    <row r="41084" hidden="1">
      <c r="E41084" s="96"/>
    </row>
    <row r="41085" hidden="1">
      <c r="E41085" s="96"/>
    </row>
    <row r="41086" hidden="1">
      <c r="E41086" s="96"/>
    </row>
    <row r="41087" hidden="1">
      <c r="E41087" s="96"/>
    </row>
    <row r="41088" hidden="1">
      <c r="E41088" s="96"/>
    </row>
    <row r="41089" hidden="1">
      <c r="E41089" s="96"/>
    </row>
    <row r="41090" hidden="1">
      <c r="E41090" s="96"/>
    </row>
    <row r="41091" hidden="1">
      <c r="E41091" s="96"/>
    </row>
    <row r="41092" hidden="1">
      <c r="E41092" s="96"/>
    </row>
    <row r="41093" hidden="1">
      <c r="E41093" s="96"/>
    </row>
    <row r="41094" hidden="1">
      <c r="E41094" s="96"/>
    </row>
    <row r="41095" hidden="1">
      <c r="E41095" s="96"/>
    </row>
    <row r="41096" hidden="1">
      <c r="E41096" s="96"/>
    </row>
    <row r="41097" hidden="1">
      <c r="E41097" s="96"/>
    </row>
    <row r="41098" hidden="1">
      <c r="E41098" s="96"/>
    </row>
    <row r="41099" hidden="1">
      <c r="E41099" s="96"/>
    </row>
    <row r="41100" hidden="1">
      <c r="E41100" s="96"/>
    </row>
    <row r="41101" hidden="1">
      <c r="E41101" s="96"/>
    </row>
    <row r="41102" hidden="1">
      <c r="E41102" s="96"/>
    </row>
    <row r="41103" hidden="1">
      <c r="E41103" s="96"/>
    </row>
    <row r="41104" hidden="1">
      <c r="E41104" s="96"/>
    </row>
    <row r="41105" hidden="1">
      <c r="E41105" s="96"/>
    </row>
    <row r="41106" hidden="1">
      <c r="E41106" s="96"/>
    </row>
    <row r="41107" hidden="1">
      <c r="E41107" s="96"/>
    </row>
    <row r="41108" hidden="1">
      <c r="E41108" s="96"/>
    </row>
    <row r="41109" hidden="1">
      <c r="E41109" s="96"/>
    </row>
    <row r="41110" hidden="1">
      <c r="E41110" s="96"/>
    </row>
    <row r="41111" hidden="1">
      <c r="E41111" s="96"/>
    </row>
    <row r="41112" hidden="1">
      <c r="E41112" s="96"/>
    </row>
    <row r="41113" hidden="1">
      <c r="E41113" s="96"/>
    </row>
    <row r="41114" hidden="1">
      <c r="E41114" s="96"/>
    </row>
    <row r="41115" hidden="1">
      <c r="E41115" s="96"/>
    </row>
    <row r="41116" hidden="1">
      <c r="E41116" s="96"/>
    </row>
    <row r="41117" hidden="1">
      <c r="E41117" s="96"/>
    </row>
    <row r="41118" hidden="1">
      <c r="E41118" s="96"/>
    </row>
    <row r="41119" hidden="1">
      <c r="E41119" s="96"/>
    </row>
    <row r="41120" hidden="1">
      <c r="E41120" s="96"/>
    </row>
    <row r="41121" hidden="1">
      <c r="E41121" s="96"/>
    </row>
    <row r="41122" hidden="1">
      <c r="E41122" s="96"/>
    </row>
    <row r="41123" hidden="1">
      <c r="E41123" s="96"/>
    </row>
    <row r="41124" hidden="1">
      <c r="E41124" s="96"/>
    </row>
    <row r="41125" hidden="1">
      <c r="E41125" s="96"/>
    </row>
    <row r="41126" hidden="1">
      <c r="E41126" s="96"/>
    </row>
    <row r="41127" hidden="1">
      <c r="E41127" s="96"/>
    </row>
    <row r="41128" hidden="1">
      <c r="E41128" s="96"/>
    </row>
    <row r="41129" hidden="1">
      <c r="E41129" s="96"/>
    </row>
    <row r="41130" hidden="1">
      <c r="E41130" s="96"/>
    </row>
    <row r="41131" hidden="1">
      <c r="E41131" s="96"/>
    </row>
    <row r="41132" hidden="1">
      <c r="E41132" s="96"/>
    </row>
    <row r="41133" hidden="1">
      <c r="E41133" s="96"/>
    </row>
    <row r="41134" hidden="1">
      <c r="E41134" s="96"/>
    </row>
    <row r="41135" hidden="1">
      <c r="E41135" s="96"/>
    </row>
    <row r="41136" hidden="1">
      <c r="E41136" s="96"/>
    </row>
    <row r="41137" hidden="1">
      <c r="E41137" s="96"/>
    </row>
    <row r="41138" hidden="1">
      <c r="E41138" s="96"/>
    </row>
    <row r="41139" hidden="1">
      <c r="E41139" s="96"/>
    </row>
    <row r="41140" hidden="1">
      <c r="E41140" s="96"/>
    </row>
    <row r="41141" hidden="1">
      <c r="E41141" s="96"/>
    </row>
    <row r="41142" hidden="1">
      <c r="E41142" s="96"/>
    </row>
    <row r="41143" hidden="1">
      <c r="E41143" s="96"/>
    </row>
    <row r="41144" hidden="1">
      <c r="E41144" s="96"/>
    </row>
    <row r="41145" hidden="1">
      <c r="E41145" s="96"/>
    </row>
    <row r="41146" hidden="1">
      <c r="E41146" s="96"/>
    </row>
    <row r="41147" hidden="1">
      <c r="E41147" s="96"/>
    </row>
    <row r="41148" hidden="1">
      <c r="E41148" s="96"/>
    </row>
    <row r="41149" hidden="1">
      <c r="E41149" s="96"/>
    </row>
    <row r="41150" hidden="1">
      <c r="E41150" s="96"/>
    </row>
    <row r="41151" hidden="1">
      <c r="E41151" s="96"/>
    </row>
    <row r="41152" hidden="1">
      <c r="E41152" s="96"/>
    </row>
    <row r="41153" hidden="1">
      <c r="E41153" s="96"/>
    </row>
    <row r="41154" hidden="1">
      <c r="E41154" s="96"/>
    </row>
    <row r="41155" hidden="1">
      <c r="E41155" s="96"/>
    </row>
    <row r="41156" hidden="1">
      <c r="E41156" s="96"/>
    </row>
    <row r="41157" hidden="1">
      <c r="E41157" s="96"/>
    </row>
    <row r="41158" hidden="1">
      <c r="E41158" s="96"/>
    </row>
    <row r="41159" hidden="1">
      <c r="E41159" s="96"/>
    </row>
    <row r="41160" hidden="1">
      <c r="E41160" s="96"/>
    </row>
    <row r="41161" hidden="1">
      <c r="E41161" s="96"/>
    </row>
    <row r="41162" hidden="1">
      <c r="E41162" s="96"/>
    </row>
    <row r="41163" hidden="1">
      <c r="E41163" s="96"/>
    </row>
    <row r="41164" hidden="1">
      <c r="E41164" s="96"/>
    </row>
    <row r="41165" hidden="1">
      <c r="E41165" s="96"/>
    </row>
    <row r="41166" hidden="1">
      <c r="E41166" s="96"/>
    </row>
    <row r="41167" hidden="1">
      <c r="E41167" s="96"/>
    </row>
    <row r="41168" hidden="1">
      <c r="E41168" s="96"/>
    </row>
    <row r="41169" hidden="1">
      <c r="E41169" s="96"/>
    </row>
    <row r="41170" hidden="1">
      <c r="E41170" s="96"/>
    </row>
    <row r="41171" hidden="1">
      <c r="E41171" s="96"/>
    </row>
    <row r="41172" hidden="1">
      <c r="E41172" s="96"/>
    </row>
    <row r="41173" hidden="1">
      <c r="E41173" s="96"/>
    </row>
    <row r="41174" hidden="1">
      <c r="E41174" s="96"/>
    </row>
    <row r="41175" hidden="1">
      <c r="E41175" s="96"/>
    </row>
    <row r="41176" hidden="1">
      <c r="E41176" s="96"/>
    </row>
    <row r="41177" hidden="1">
      <c r="E41177" s="96"/>
    </row>
    <row r="41178" hidden="1">
      <c r="E41178" s="96"/>
    </row>
    <row r="41179" hidden="1">
      <c r="E41179" s="96"/>
    </row>
    <row r="41180" hidden="1">
      <c r="E41180" s="96"/>
    </row>
    <row r="41181" hidden="1">
      <c r="E41181" s="96"/>
    </row>
    <row r="41182" hidden="1">
      <c r="E41182" s="96"/>
    </row>
    <row r="41183" hidden="1">
      <c r="E41183" s="96"/>
    </row>
    <row r="41184" hidden="1">
      <c r="E41184" s="96"/>
    </row>
    <row r="41185" hidden="1">
      <c r="E41185" s="96"/>
    </row>
    <row r="41186" hidden="1">
      <c r="E41186" s="96"/>
    </row>
    <row r="41187" hidden="1">
      <c r="E41187" s="96"/>
    </row>
    <row r="41188" hidden="1">
      <c r="E41188" s="96"/>
    </row>
    <row r="41189" hidden="1">
      <c r="E41189" s="96"/>
    </row>
    <row r="41190" hidden="1">
      <c r="E41190" s="96"/>
    </row>
    <row r="41191" hidden="1">
      <c r="E41191" s="96"/>
    </row>
    <row r="41192" hidden="1">
      <c r="E41192" s="96"/>
    </row>
    <row r="41193" hidden="1">
      <c r="E41193" s="96"/>
    </row>
    <row r="41194" hidden="1">
      <c r="E41194" s="96"/>
    </row>
    <row r="41195" hidden="1">
      <c r="E41195" s="96"/>
    </row>
    <row r="41196" hidden="1">
      <c r="E41196" s="96"/>
    </row>
    <row r="41197" hidden="1">
      <c r="E41197" s="96"/>
    </row>
    <row r="41198" hidden="1">
      <c r="E41198" s="96"/>
    </row>
    <row r="41199" hidden="1">
      <c r="E41199" s="96"/>
    </row>
    <row r="41200" hidden="1">
      <c r="E41200" s="96"/>
    </row>
    <row r="41201" hidden="1">
      <c r="E41201" s="96"/>
    </row>
    <row r="41202" hidden="1">
      <c r="E41202" s="96"/>
    </row>
    <row r="41203" hidden="1">
      <c r="E41203" s="96"/>
    </row>
    <row r="41204" hidden="1">
      <c r="E41204" s="96"/>
    </row>
    <row r="41205" hidden="1">
      <c r="E41205" s="96"/>
    </row>
    <row r="41206" hidden="1">
      <c r="E41206" s="96"/>
    </row>
    <row r="41207" hidden="1">
      <c r="E41207" s="96"/>
    </row>
    <row r="41208" hidden="1">
      <c r="E41208" s="96"/>
    </row>
    <row r="41209" hidden="1">
      <c r="E41209" s="96"/>
    </row>
    <row r="41210" hidden="1">
      <c r="E41210" s="96"/>
    </row>
    <row r="41211" hidden="1">
      <c r="E41211" s="96"/>
    </row>
    <row r="41212" hidden="1">
      <c r="E41212" s="96"/>
    </row>
    <row r="41213" hidden="1">
      <c r="E41213" s="96"/>
    </row>
    <row r="41214" hidden="1">
      <c r="E41214" s="96"/>
    </row>
    <row r="41215" hidden="1">
      <c r="E41215" s="96"/>
    </row>
    <row r="41216" hidden="1">
      <c r="E41216" s="96"/>
    </row>
    <row r="41217" hidden="1">
      <c r="E41217" s="96"/>
    </row>
    <row r="41218" hidden="1">
      <c r="E41218" s="96"/>
    </row>
    <row r="41219" hidden="1">
      <c r="E41219" s="96"/>
    </row>
    <row r="41220" hidden="1">
      <c r="E41220" s="96"/>
    </row>
    <row r="41221" hidden="1">
      <c r="E41221" s="96"/>
    </row>
    <row r="41222" hidden="1">
      <c r="E41222" s="96"/>
    </row>
    <row r="41223" hidden="1">
      <c r="E41223" s="96"/>
    </row>
    <row r="41224" hidden="1">
      <c r="E41224" s="96"/>
    </row>
    <row r="41225" hidden="1">
      <c r="E41225" s="96"/>
    </row>
    <row r="41226" hidden="1">
      <c r="E41226" s="96"/>
    </row>
    <row r="41227" hidden="1">
      <c r="E41227" s="96"/>
    </row>
    <row r="41228" hidden="1">
      <c r="E41228" s="96"/>
    </row>
    <row r="41229" hidden="1">
      <c r="E41229" s="96"/>
    </row>
    <row r="41230" hidden="1">
      <c r="E41230" s="96"/>
    </row>
    <row r="41231" hidden="1">
      <c r="E41231" s="96"/>
    </row>
    <row r="41232" hidden="1">
      <c r="E41232" s="96"/>
    </row>
    <row r="41233" hidden="1">
      <c r="E41233" s="96"/>
    </row>
    <row r="41234" hidden="1">
      <c r="E41234" s="96"/>
    </row>
    <row r="41235" hidden="1">
      <c r="E41235" s="96"/>
    </row>
    <row r="41236" hidden="1">
      <c r="E41236" s="96"/>
    </row>
    <row r="41237" hidden="1">
      <c r="E41237" s="96"/>
    </row>
    <row r="41238" hidden="1">
      <c r="E41238" s="96"/>
    </row>
    <row r="41239" hidden="1">
      <c r="E41239" s="96"/>
    </row>
    <row r="41240" hidden="1">
      <c r="E41240" s="96"/>
    </row>
    <row r="41241" hidden="1">
      <c r="E41241" s="96"/>
    </row>
    <row r="41242" hidden="1">
      <c r="E41242" s="96"/>
    </row>
    <row r="41243" hidden="1">
      <c r="E41243" s="96"/>
    </row>
    <row r="41244" hidden="1">
      <c r="E41244" s="96"/>
    </row>
    <row r="41245" hidden="1">
      <c r="E41245" s="96"/>
    </row>
    <row r="41246" hidden="1">
      <c r="E41246" s="96"/>
    </row>
    <row r="41247" hidden="1">
      <c r="E41247" s="96"/>
    </row>
    <row r="41248" hidden="1">
      <c r="E41248" s="96"/>
    </row>
    <row r="41249" hidden="1">
      <c r="E41249" s="96"/>
    </row>
    <row r="41250" hidden="1">
      <c r="E41250" s="96"/>
    </row>
    <row r="41251" hidden="1">
      <c r="E41251" s="96"/>
    </row>
    <row r="41252" hidden="1">
      <c r="E41252" s="96"/>
    </row>
    <row r="41253" hidden="1">
      <c r="E41253" s="96"/>
    </row>
    <row r="41254" hidden="1">
      <c r="E41254" s="96"/>
    </row>
    <row r="41255" hidden="1">
      <c r="E41255" s="96"/>
    </row>
    <row r="41256" hidden="1">
      <c r="E41256" s="96"/>
    </row>
    <row r="41257" hidden="1">
      <c r="E41257" s="96"/>
    </row>
    <row r="41258" hidden="1">
      <c r="E41258" s="96"/>
    </row>
    <row r="41259" hidden="1">
      <c r="E41259" s="96"/>
    </row>
    <row r="41260" hidden="1">
      <c r="E41260" s="96"/>
    </row>
    <row r="41261" hidden="1">
      <c r="E41261" s="96"/>
    </row>
    <row r="41262" hidden="1">
      <c r="E41262" s="96"/>
    </row>
    <row r="41263" hidden="1">
      <c r="E41263" s="96"/>
    </row>
    <row r="41264" hidden="1">
      <c r="E41264" s="96"/>
    </row>
    <row r="41265" hidden="1">
      <c r="E41265" s="96"/>
    </row>
    <row r="41266" hidden="1">
      <c r="E41266" s="96"/>
    </row>
    <row r="41267" hidden="1">
      <c r="E41267" s="96"/>
    </row>
    <row r="41268" hidden="1">
      <c r="E41268" s="96"/>
    </row>
    <row r="41269" hidden="1">
      <c r="E41269" s="96"/>
    </row>
    <row r="41270" hidden="1">
      <c r="E41270" s="96"/>
    </row>
    <row r="41271" hidden="1">
      <c r="E41271" s="96"/>
    </row>
    <row r="41272" hidden="1">
      <c r="E41272" s="96"/>
    </row>
    <row r="41273" hidden="1">
      <c r="E41273" s="96"/>
    </row>
    <row r="41274" hidden="1">
      <c r="E41274" s="96"/>
    </row>
    <row r="41275" hidden="1">
      <c r="E41275" s="96"/>
    </row>
    <row r="41276" hidden="1">
      <c r="E41276" s="96"/>
    </row>
    <row r="41277" hidden="1">
      <c r="E41277" s="96"/>
    </row>
    <row r="41278" hidden="1">
      <c r="E41278" s="96"/>
    </row>
    <row r="41279" hidden="1">
      <c r="E41279" s="96"/>
    </row>
    <row r="41280" hidden="1">
      <c r="E41280" s="96"/>
    </row>
    <row r="41281" hidden="1">
      <c r="E41281" s="96"/>
    </row>
    <row r="41282" hidden="1">
      <c r="E41282" s="96"/>
    </row>
    <row r="41283" hidden="1">
      <c r="E41283" s="96"/>
    </row>
    <row r="41284" hidden="1">
      <c r="E41284" s="96"/>
    </row>
    <row r="41285" hidden="1">
      <c r="E41285" s="96"/>
    </row>
    <row r="41286" hidden="1">
      <c r="E41286" s="96"/>
    </row>
    <row r="41287" hidden="1">
      <c r="E41287" s="96"/>
    </row>
    <row r="41288" hidden="1">
      <c r="E41288" s="96"/>
    </row>
    <row r="41289" hidden="1">
      <c r="E41289" s="96"/>
    </row>
    <row r="41290" hidden="1">
      <c r="E41290" s="96"/>
    </row>
    <row r="41291" hidden="1">
      <c r="E41291" s="96"/>
    </row>
    <row r="41292" hidden="1">
      <c r="E41292" s="96"/>
    </row>
    <row r="41293" hidden="1">
      <c r="E41293" s="96"/>
    </row>
    <row r="41294" hidden="1">
      <c r="E41294" s="96"/>
    </row>
    <row r="41295" hidden="1">
      <c r="E41295" s="96"/>
    </row>
    <row r="41296" hidden="1">
      <c r="E41296" s="96"/>
    </row>
    <row r="41297" hidden="1">
      <c r="E41297" s="96"/>
    </row>
    <row r="41298" hidden="1">
      <c r="E41298" s="96"/>
    </row>
    <row r="41299" hidden="1">
      <c r="E41299" s="96"/>
    </row>
    <row r="41300" hidden="1">
      <c r="E41300" s="96"/>
    </row>
    <row r="41301" hidden="1">
      <c r="E41301" s="96"/>
    </row>
    <row r="41302" hidden="1">
      <c r="E41302" s="96"/>
    </row>
    <row r="41303" hidden="1">
      <c r="E41303" s="96"/>
    </row>
    <row r="41304" hidden="1">
      <c r="E41304" s="96"/>
    </row>
    <row r="41305" hidden="1">
      <c r="E41305" s="96"/>
    </row>
    <row r="41306" hidden="1">
      <c r="E41306" s="96"/>
    </row>
    <row r="41307" hidden="1">
      <c r="E41307" s="96"/>
    </row>
    <row r="41308" hidden="1">
      <c r="E41308" s="96"/>
    </row>
    <row r="41309" hidden="1">
      <c r="E41309" s="96"/>
    </row>
    <row r="41310" hidden="1">
      <c r="E41310" s="96"/>
    </row>
    <row r="41311" hidden="1">
      <c r="E41311" s="96"/>
    </row>
    <row r="41312" hidden="1">
      <c r="E41312" s="96"/>
    </row>
    <row r="41313" hidden="1">
      <c r="E41313" s="96"/>
    </row>
    <row r="41314" hidden="1">
      <c r="E41314" s="96"/>
    </row>
    <row r="41315" hidden="1">
      <c r="E41315" s="96"/>
    </row>
    <row r="41316" hidden="1">
      <c r="E41316" s="96"/>
    </row>
    <row r="41317" hidden="1">
      <c r="E41317" s="96"/>
    </row>
    <row r="41318" hidden="1">
      <c r="E41318" s="96"/>
    </row>
    <row r="41319" hidden="1">
      <c r="E41319" s="96"/>
    </row>
    <row r="41320" hidden="1">
      <c r="E41320" s="96"/>
    </row>
    <row r="41321" hidden="1">
      <c r="E41321" s="96"/>
    </row>
    <row r="41322" hidden="1">
      <c r="E41322" s="96"/>
    </row>
    <row r="41323" hidden="1">
      <c r="E41323" s="96"/>
    </row>
    <row r="41324" hidden="1">
      <c r="E41324" s="96"/>
    </row>
    <row r="41325" hidden="1">
      <c r="E41325" s="96"/>
    </row>
    <row r="41326" hidden="1">
      <c r="E41326" s="96"/>
    </row>
    <row r="41327" hidden="1">
      <c r="E41327" s="96"/>
    </row>
    <row r="41328" hidden="1">
      <c r="E41328" s="96"/>
    </row>
    <row r="41329" hidden="1">
      <c r="E41329" s="96"/>
    </row>
    <row r="41330" hidden="1">
      <c r="E41330" s="96"/>
    </row>
    <row r="41331" hidden="1">
      <c r="E41331" s="96"/>
    </row>
    <row r="41332" hidden="1">
      <c r="E41332" s="96"/>
    </row>
    <row r="41333" hidden="1">
      <c r="E41333" s="96"/>
    </row>
    <row r="41334" hidden="1">
      <c r="E41334" s="96"/>
    </row>
    <row r="41335" hidden="1">
      <c r="E41335" s="96"/>
    </row>
    <row r="41336" hidden="1">
      <c r="E41336" s="96"/>
    </row>
    <row r="41337" hidden="1">
      <c r="E41337" s="96"/>
    </row>
    <row r="41338" hidden="1">
      <c r="E41338" s="96"/>
    </row>
    <row r="41339" hidden="1">
      <c r="E41339" s="96"/>
    </row>
    <row r="41340" hidden="1">
      <c r="E41340" s="96"/>
    </row>
    <row r="41341" hidden="1">
      <c r="E41341" s="96"/>
    </row>
    <row r="41342" hidden="1">
      <c r="E41342" s="96"/>
    </row>
    <row r="41343" hidden="1">
      <c r="E41343" s="96"/>
    </row>
    <row r="41344" hidden="1">
      <c r="E41344" s="96"/>
    </row>
    <row r="41345" hidden="1">
      <c r="E41345" s="96"/>
    </row>
    <row r="41346" hidden="1">
      <c r="E41346" s="96"/>
    </row>
    <row r="41347" hidden="1">
      <c r="E41347" s="96"/>
    </row>
    <row r="41348" hidden="1">
      <c r="E41348" s="96"/>
    </row>
    <row r="41349" hidden="1">
      <c r="E41349" s="96"/>
    </row>
    <row r="41350" hidden="1">
      <c r="E41350" s="96"/>
    </row>
    <row r="41351" hidden="1">
      <c r="E41351" s="96"/>
    </row>
    <row r="41352" hidden="1">
      <c r="E41352" s="96"/>
    </row>
    <row r="41353" hidden="1">
      <c r="E41353" s="96"/>
    </row>
    <row r="41354" hidden="1">
      <c r="E41354" s="96"/>
    </row>
    <row r="41355" hidden="1">
      <c r="E41355" s="96"/>
    </row>
    <row r="41356" hidden="1">
      <c r="E41356" s="96"/>
    </row>
    <row r="41357" hidden="1">
      <c r="E41357" s="96"/>
    </row>
    <row r="41358" hidden="1">
      <c r="E41358" s="96"/>
    </row>
    <row r="41359" hidden="1">
      <c r="E41359" s="96"/>
    </row>
    <row r="41360" hidden="1">
      <c r="E41360" s="96"/>
    </row>
    <row r="41361" hidden="1">
      <c r="E41361" s="96"/>
    </row>
    <row r="41362" hidden="1">
      <c r="E41362" s="96"/>
    </row>
    <row r="41363" hidden="1">
      <c r="E41363" s="96"/>
    </row>
    <row r="41364" hidden="1">
      <c r="E41364" s="96"/>
    </row>
    <row r="41365" hidden="1">
      <c r="E41365" s="96"/>
    </row>
    <row r="41366" hidden="1">
      <c r="E41366" s="96"/>
    </row>
    <row r="41367" hidden="1">
      <c r="E41367" s="96"/>
    </row>
    <row r="41368" hidden="1">
      <c r="E41368" s="96"/>
    </row>
    <row r="41369" hidden="1">
      <c r="E41369" s="96"/>
    </row>
    <row r="41370" hidden="1">
      <c r="E41370" s="96"/>
    </row>
    <row r="41371" hidden="1">
      <c r="E41371" s="96"/>
    </row>
    <row r="41372" hidden="1">
      <c r="E41372" s="96"/>
    </row>
    <row r="41373" hidden="1">
      <c r="E41373" s="96"/>
    </row>
    <row r="41374" hidden="1">
      <c r="E41374" s="96"/>
    </row>
    <row r="41375" hidden="1">
      <c r="E41375" s="96"/>
    </row>
    <row r="41376" hidden="1">
      <c r="E41376" s="96"/>
    </row>
    <row r="41377" hidden="1">
      <c r="E41377" s="96"/>
    </row>
    <row r="41378" hidden="1">
      <c r="E41378" s="96"/>
    </row>
    <row r="41379" hidden="1">
      <c r="E41379" s="96"/>
    </row>
    <row r="41380" hidden="1">
      <c r="E41380" s="96"/>
    </row>
    <row r="41381" hidden="1">
      <c r="E41381" s="96"/>
    </row>
    <row r="41382" hidden="1">
      <c r="E41382" s="96"/>
    </row>
    <row r="41383" hidden="1">
      <c r="E41383" s="96"/>
    </row>
    <row r="41384" hidden="1">
      <c r="E41384" s="96"/>
    </row>
    <row r="41385" hidden="1">
      <c r="E41385" s="96"/>
    </row>
    <row r="41386" hidden="1">
      <c r="E41386" s="96"/>
    </row>
    <row r="41387" hidden="1">
      <c r="E41387" s="96"/>
    </row>
    <row r="41388" hidden="1">
      <c r="E41388" s="96"/>
    </row>
    <row r="41389" hidden="1">
      <c r="E41389" s="96"/>
    </row>
    <row r="41390" hidden="1">
      <c r="E41390" s="96"/>
    </row>
    <row r="41391" hidden="1">
      <c r="E41391" s="96"/>
    </row>
    <row r="41392" hidden="1">
      <c r="E41392" s="96"/>
    </row>
    <row r="41393" hidden="1">
      <c r="E41393" s="96"/>
    </row>
    <row r="41394" hidden="1">
      <c r="E41394" s="96"/>
    </row>
    <row r="41395" hidden="1">
      <c r="E41395" s="96"/>
    </row>
    <row r="41396" hidden="1">
      <c r="E41396" s="96"/>
    </row>
    <row r="41397" hidden="1">
      <c r="E41397" s="96"/>
    </row>
    <row r="41398" hidden="1">
      <c r="E41398" s="96"/>
    </row>
    <row r="41399" hidden="1">
      <c r="E41399" s="96"/>
    </row>
    <row r="41400" hidden="1">
      <c r="E41400" s="96"/>
    </row>
    <row r="41401" hidden="1">
      <c r="E41401" s="96"/>
    </row>
    <row r="41402" hidden="1">
      <c r="E41402" s="96"/>
    </row>
    <row r="41403" hidden="1">
      <c r="E41403" s="96"/>
    </row>
    <row r="41404" hidden="1">
      <c r="E41404" s="96"/>
    </row>
    <row r="41405" hidden="1">
      <c r="E41405" s="96"/>
    </row>
    <row r="41406" hidden="1">
      <c r="E41406" s="96"/>
    </row>
    <row r="41407" hidden="1">
      <c r="E41407" s="96"/>
    </row>
    <row r="41408" hidden="1">
      <c r="E41408" s="96"/>
    </row>
    <row r="41409" hidden="1">
      <c r="E41409" s="96"/>
    </row>
    <row r="41410" hidden="1">
      <c r="E41410" s="96"/>
    </row>
    <row r="41411" hidden="1">
      <c r="E41411" s="96"/>
    </row>
    <row r="41412" hidden="1">
      <c r="E41412" s="96"/>
    </row>
    <row r="41413" hidden="1">
      <c r="E41413" s="96"/>
    </row>
    <row r="41414" hidden="1">
      <c r="E41414" s="96"/>
    </row>
    <row r="41415" hidden="1">
      <c r="E41415" s="96"/>
    </row>
    <row r="41416" hidden="1">
      <c r="E41416" s="96"/>
    </row>
    <row r="41417" hidden="1">
      <c r="E41417" s="96"/>
    </row>
    <row r="41418" hidden="1">
      <c r="E41418" s="96"/>
    </row>
    <row r="41419" hidden="1">
      <c r="E41419" s="96"/>
    </row>
    <row r="41420" hidden="1">
      <c r="E41420" s="96"/>
    </row>
    <row r="41421" hidden="1">
      <c r="E41421" s="96"/>
    </row>
    <row r="41422" hidden="1">
      <c r="E41422" s="96"/>
    </row>
    <row r="41423" hidden="1">
      <c r="E41423" s="96"/>
    </row>
    <row r="41424" hidden="1">
      <c r="E41424" s="96"/>
    </row>
    <row r="41425" hidden="1">
      <c r="E41425" s="96"/>
    </row>
    <row r="41426" hidden="1">
      <c r="E41426" s="96"/>
    </row>
    <row r="41427" hidden="1">
      <c r="E41427" s="96"/>
    </row>
    <row r="41428" hidden="1">
      <c r="E41428" s="96"/>
    </row>
    <row r="41429" hidden="1">
      <c r="E41429" s="96"/>
    </row>
    <row r="41430" hidden="1">
      <c r="E41430" s="96"/>
    </row>
    <row r="41431" hidden="1">
      <c r="E41431" s="96"/>
    </row>
    <row r="41432" hidden="1">
      <c r="E41432" s="96"/>
    </row>
    <row r="41433" hidden="1">
      <c r="E41433" s="96"/>
    </row>
    <row r="41434" hidden="1">
      <c r="E41434" s="96"/>
    </row>
    <row r="41435" hidden="1">
      <c r="E41435" s="96"/>
    </row>
    <row r="41436" hidden="1">
      <c r="E41436" s="96"/>
    </row>
    <row r="41437" hidden="1">
      <c r="E41437" s="96"/>
    </row>
    <row r="41438" hidden="1">
      <c r="E41438" s="96"/>
    </row>
    <row r="41439" hidden="1">
      <c r="E41439" s="96"/>
    </row>
    <row r="41440" hidden="1">
      <c r="E41440" s="96"/>
    </row>
    <row r="41441" hidden="1">
      <c r="E41441" s="96"/>
    </row>
    <row r="41442" hidden="1">
      <c r="E41442" s="96"/>
    </row>
    <row r="41443" hidden="1">
      <c r="E41443" s="96"/>
    </row>
    <row r="41444" hidden="1">
      <c r="E41444" s="96"/>
    </row>
    <row r="41445" hidden="1">
      <c r="E41445" s="96"/>
    </row>
    <row r="41446" hidden="1">
      <c r="E41446" s="96"/>
    </row>
    <row r="41447" hidden="1">
      <c r="E41447" s="96"/>
    </row>
    <row r="41448" hidden="1">
      <c r="E41448" s="96"/>
    </row>
    <row r="41449" hidden="1">
      <c r="E41449" s="96"/>
    </row>
    <row r="41450" hidden="1">
      <c r="E41450" s="96"/>
    </row>
    <row r="41451" hidden="1">
      <c r="E41451" s="96"/>
    </row>
    <row r="41452" hidden="1">
      <c r="E41452" s="96"/>
    </row>
    <row r="41453" hidden="1">
      <c r="E41453" s="96"/>
    </row>
    <row r="41454" hidden="1">
      <c r="E41454" s="96"/>
    </row>
    <row r="41455" hidden="1">
      <c r="E41455" s="96"/>
    </row>
    <row r="41456" hidden="1">
      <c r="E41456" s="96"/>
    </row>
    <row r="41457" hidden="1">
      <c r="E41457" s="96"/>
    </row>
    <row r="41458" hidden="1">
      <c r="E41458" s="96"/>
    </row>
    <row r="41459" hidden="1">
      <c r="E41459" s="96"/>
    </row>
    <row r="41460" hidden="1">
      <c r="E41460" s="96"/>
    </row>
    <row r="41461" hidden="1">
      <c r="E41461" s="96"/>
    </row>
    <row r="41462" hidden="1">
      <c r="E41462" s="96"/>
    </row>
    <row r="41463" hidden="1">
      <c r="E41463" s="96"/>
    </row>
    <row r="41464" hidden="1">
      <c r="E41464" s="96"/>
    </row>
    <row r="41465" hidden="1">
      <c r="E41465" s="96"/>
    </row>
    <row r="41466" hidden="1">
      <c r="E41466" s="96"/>
    </row>
    <row r="41467" hidden="1">
      <c r="E41467" s="96"/>
    </row>
    <row r="41468" hidden="1">
      <c r="E41468" s="96"/>
    </row>
    <row r="41469" hidden="1">
      <c r="E41469" s="96"/>
    </row>
    <row r="41470" hidden="1">
      <c r="E41470" s="96"/>
    </row>
    <row r="41471" hidden="1">
      <c r="E41471" s="96"/>
    </row>
    <row r="41472" hidden="1">
      <c r="E41472" s="96"/>
    </row>
    <row r="41473" hidden="1">
      <c r="E41473" s="96"/>
    </row>
    <row r="41474" hidden="1">
      <c r="E41474" s="96"/>
    </row>
    <row r="41475" hidden="1">
      <c r="E41475" s="96"/>
    </row>
    <row r="41476" hidden="1">
      <c r="E41476" s="96"/>
    </row>
    <row r="41477" hidden="1">
      <c r="E41477" s="96"/>
    </row>
    <row r="41478" hidden="1">
      <c r="E41478" s="96"/>
    </row>
    <row r="41479" hidden="1">
      <c r="E41479" s="96"/>
    </row>
    <row r="41480" hidden="1">
      <c r="E41480" s="96"/>
    </row>
    <row r="41481" hidden="1">
      <c r="E41481" s="96"/>
    </row>
    <row r="41482" hidden="1">
      <c r="E41482" s="96"/>
    </row>
    <row r="41483" hidden="1">
      <c r="E41483" s="96"/>
    </row>
    <row r="41484" hidden="1">
      <c r="E41484" s="96"/>
    </row>
    <row r="41485" hidden="1">
      <c r="E41485" s="96"/>
    </row>
    <row r="41486" hidden="1">
      <c r="E41486" s="96"/>
    </row>
    <row r="41487" hidden="1">
      <c r="E41487" s="96"/>
    </row>
    <row r="41488" hidden="1">
      <c r="E41488" s="96"/>
    </row>
    <row r="41489" hidden="1">
      <c r="E41489" s="96"/>
    </row>
    <row r="41490" hidden="1">
      <c r="E41490" s="96"/>
    </row>
    <row r="41491" hidden="1">
      <c r="E41491" s="96"/>
    </row>
    <row r="41492" hidden="1">
      <c r="E41492" s="96"/>
    </row>
    <row r="41493" hidden="1">
      <c r="E41493" s="96"/>
    </row>
    <row r="41494" hidden="1">
      <c r="E41494" s="96"/>
    </row>
    <row r="41495" hidden="1">
      <c r="E41495" s="96"/>
    </row>
    <row r="41496" hidden="1">
      <c r="E41496" s="96"/>
    </row>
    <row r="41497" hidden="1">
      <c r="E41497" s="96"/>
    </row>
    <row r="41498" hidden="1">
      <c r="E41498" s="96"/>
    </row>
    <row r="41499" hidden="1">
      <c r="E41499" s="96"/>
    </row>
    <row r="41500" hidden="1">
      <c r="E41500" s="96"/>
    </row>
    <row r="41501" hidden="1">
      <c r="E41501" s="96"/>
    </row>
    <row r="41502" hidden="1">
      <c r="E41502" s="96"/>
    </row>
    <row r="41503" hidden="1">
      <c r="E41503" s="96"/>
    </row>
    <row r="41504" hidden="1">
      <c r="E41504" s="96"/>
    </row>
    <row r="41505" hidden="1">
      <c r="E41505" s="96"/>
    </row>
    <row r="41506" hidden="1">
      <c r="E41506" s="96"/>
    </row>
    <row r="41507" hidden="1">
      <c r="E41507" s="96"/>
    </row>
    <row r="41508" hidden="1">
      <c r="E41508" s="96"/>
    </row>
    <row r="41509" hidden="1">
      <c r="E41509" s="96"/>
    </row>
    <row r="41510" hidden="1">
      <c r="E41510" s="96"/>
    </row>
    <row r="41511" hidden="1">
      <c r="E41511" s="96"/>
    </row>
    <row r="41512" hidden="1">
      <c r="E41512" s="96"/>
    </row>
    <row r="41513" hidden="1">
      <c r="E41513" s="96"/>
    </row>
    <row r="41514" hidden="1">
      <c r="E41514" s="96"/>
    </row>
    <row r="41515" hidden="1">
      <c r="E41515" s="96"/>
    </row>
    <row r="41516" hidden="1">
      <c r="E41516" s="96"/>
    </row>
    <row r="41517" hidden="1">
      <c r="E41517" s="96"/>
    </row>
    <row r="41518" hidden="1">
      <c r="E41518" s="96"/>
    </row>
    <row r="41519" hidden="1">
      <c r="E41519" s="96"/>
    </row>
    <row r="41520" hidden="1">
      <c r="E41520" s="96"/>
    </row>
    <row r="41521" hidden="1">
      <c r="E41521" s="96"/>
    </row>
    <row r="41522" hidden="1">
      <c r="E41522" s="96"/>
    </row>
    <row r="41523" hidden="1">
      <c r="E41523" s="96"/>
    </row>
    <row r="41524" hidden="1">
      <c r="E41524" s="96"/>
    </row>
    <row r="41525" hidden="1">
      <c r="E41525" s="96"/>
    </row>
    <row r="41526" hidden="1">
      <c r="E41526" s="96"/>
    </row>
    <row r="41527" hidden="1">
      <c r="E41527" s="96"/>
    </row>
    <row r="41528" hidden="1">
      <c r="E41528" s="96"/>
    </row>
    <row r="41529" hidden="1">
      <c r="E41529" s="96"/>
    </row>
    <row r="41530" hidden="1">
      <c r="E41530" s="96"/>
    </row>
    <row r="41531" hidden="1">
      <c r="E41531" s="96"/>
    </row>
    <row r="41532" hidden="1">
      <c r="E41532" s="96"/>
    </row>
    <row r="41533" hidden="1">
      <c r="E41533" s="96"/>
    </row>
    <row r="41534" hidden="1">
      <c r="E41534" s="96"/>
    </row>
    <row r="41535" hidden="1">
      <c r="E41535" s="96"/>
    </row>
    <row r="41536" hidden="1">
      <c r="E41536" s="96"/>
    </row>
    <row r="41537" hidden="1">
      <c r="E41537" s="96"/>
    </row>
    <row r="41538" hidden="1">
      <c r="E41538" s="96"/>
    </row>
    <row r="41539" hidden="1">
      <c r="E41539" s="96"/>
    </row>
    <row r="41540" hidden="1">
      <c r="E41540" s="96"/>
    </row>
    <row r="41541" hidden="1">
      <c r="E41541" s="96"/>
    </row>
    <row r="41542" hidden="1">
      <c r="E41542" s="96"/>
    </row>
    <row r="41543" hidden="1">
      <c r="E41543" s="96"/>
    </row>
    <row r="41544" hidden="1">
      <c r="E41544" s="96"/>
    </row>
    <row r="41545" hidden="1">
      <c r="E41545" s="96"/>
    </row>
    <row r="41546" hidden="1">
      <c r="E41546" s="96"/>
    </row>
    <row r="41547" hidden="1">
      <c r="E41547" s="96"/>
    </row>
    <row r="41548" hidden="1">
      <c r="E41548" s="96"/>
    </row>
    <row r="41549" hidden="1">
      <c r="E41549" s="96"/>
    </row>
    <row r="41550" hidden="1">
      <c r="E41550" s="96"/>
    </row>
    <row r="41551" hidden="1">
      <c r="E41551" s="96"/>
    </row>
    <row r="41552" hidden="1">
      <c r="E41552" s="96"/>
    </row>
    <row r="41553" hidden="1">
      <c r="E41553" s="96"/>
    </row>
    <row r="41554" hidden="1">
      <c r="E41554" s="96"/>
    </row>
    <row r="41555" hidden="1">
      <c r="E41555" s="96"/>
    </row>
    <row r="41556" hidden="1">
      <c r="E41556" s="96"/>
    </row>
    <row r="41557" hidden="1">
      <c r="E41557" s="96"/>
    </row>
    <row r="41558" hidden="1">
      <c r="E41558" s="96"/>
    </row>
    <row r="41559" hidden="1">
      <c r="E41559" s="96"/>
    </row>
    <row r="41560" hidden="1">
      <c r="E41560" s="96"/>
    </row>
    <row r="41561" hidden="1">
      <c r="E41561" s="96"/>
    </row>
    <row r="41562" hidden="1">
      <c r="E41562" s="96"/>
    </row>
    <row r="41563" hidden="1">
      <c r="E41563" s="96"/>
    </row>
    <row r="41564" hidden="1">
      <c r="E41564" s="96"/>
    </row>
    <row r="41565" hidden="1">
      <c r="E41565" s="96"/>
    </row>
    <row r="41566" hidden="1">
      <c r="E41566" s="96"/>
    </row>
    <row r="41567" hidden="1">
      <c r="E41567" s="96"/>
    </row>
    <row r="41568" hidden="1">
      <c r="E41568" s="96"/>
    </row>
    <row r="41569" hidden="1">
      <c r="E41569" s="96"/>
    </row>
    <row r="41570" hidden="1">
      <c r="E41570" s="96"/>
    </row>
    <row r="41571" hidden="1">
      <c r="E41571" s="96"/>
    </row>
    <row r="41572" hidden="1">
      <c r="E41572" s="96"/>
    </row>
    <row r="41573" hidden="1">
      <c r="E41573" s="96"/>
    </row>
    <row r="41574" hidden="1">
      <c r="E41574" s="96"/>
    </row>
    <row r="41575" hidden="1">
      <c r="E41575" s="96"/>
    </row>
    <row r="41576" hidden="1">
      <c r="E41576" s="96"/>
    </row>
    <row r="41577" hidden="1">
      <c r="E41577" s="96"/>
    </row>
    <row r="41578" hidden="1">
      <c r="E41578" s="96"/>
    </row>
    <row r="41579" hidden="1">
      <c r="E41579" s="96"/>
    </row>
    <row r="41580" hidden="1">
      <c r="E41580" s="96"/>
    </row>
    <row r="41581" hidden="1">
      <c r="E41581" s="96"/>
    </row>
    <row r="41582" hidden="1">
      <c r="E41582" s="96"/>
    </row>
    <row r="41583" hidden="1">
      <c r="E41583" s="96"/>
    </row>
    <row r="41584" hidden="1">
      <c r="E41584" s="96"/>
    </row>
    <row r="41585" hidden="1">
      <c r="E41585" s="96"/>
    </row>
    <row r="41586" hidden="1">
      <c r="E41586" s="96"/>
    </row>
    <row r="41587" hidden="1">
      <c r="E41587" s="96"/>
    </row>
    <row r="41588" hidden="1">
      <c r="E41588" s="96"/>
    </row>
    <row r="41589" hidden="1">
      <c r="E41589" s="96"/>
    </row>
    <row r="41590" hidden="1">
      <c r="E41590" s="96"/>
    </row>
    <row r="41591" hidden="1">
      <c r="E41591" s="96"/>
    </row>
    <row r="41592" hidden="1">
      <c r="E41592" s="96"/>
    </row>
    <row r="41593" hidden="1">
      <c r="E41593" s="96"/>
    </row>
    <row r="41594" hidden="1">
      <c r="E41594" s="96"/>
    </row>
    <row r="41595" hidden="1">
      <c r="E41595" s="96"/>
    </row>
    <row r="41596" hidden="1">
      <c r="E41596" s="96"/>
    </row>
    <row r="41597" hidden="1">
      <c r="E41597" s="96"/>
    </row>
    <row r="41598" hidden="1">
      <c r="E41598" s="96"/>
    </row>
    <row r="41599" hidden="1">
      <c r="E41599" s="96"/>
    </row>
    <row r="41600" hidden="1">
      <c r="E41600" s="96"/>
    </row>
    <row r="41601" hidden="1">
      <c r="E41601" s="96"/>
    </row>
    <row r="41602" hidden="1">
      <c r="E41602" s="96"/>
    </row>
    <row r="41603" hidden="1">
      <c r="E41603" s="96"/>
    </row>
    <row r="41604" hidden="1">
      <c r="E41604" s="96"/>
    </row>
    <row r="41605" hidden="1">
      <c r="E41605" s="96"/>
    </row>
    <row r="41606" hidden="1">
      <c r="E41606" s="96"/>
    </row>
    <row r="41607" hidden="1">
      <c r="E41607" s="96"/>
    </row>
    <row r="41608" hidden="1">
      <c r="E41608" s="96"/>
    </row>
    <row r="41609" hidden="1">
      <c r="E41609" s="96"/>
    </row>
    <row r="41610" hidden="1">
      <c r="E41610" s="96"/>
    </row>
    <row r="41611" hidden="1">
      <c r="E41611" s="96"/>
    </row>
    <row r="41612" hidden="1">
      <c r="E41612" s="96"/>
    </row>
    <row r="41613" hidden="1">
      <c r="E41613" s="96"/>
    </row>
    <row r="41614" hidden="1">
      <c r="E41614" s="96"/>
    </row>
    <row r="41615" hidden="1">
      <c r="E41615" s="96"/>
    </row>
    <row r="41616" hidden="1">
      <c r="E41616" s="96"/>
    </row>
    <row r="41617" hidden="1">
      <c r="E41617" s="96"/>
    </row>
    <row r="41618" hidden="1">
      <c r="E41618" s="96"/>
    </row>
    <row r="41619" hidden="1">
      <c r="E41619" s="96"/>
    </row>
    <row r="41620" hidden="1">
      <c r="E41620" s="96"/>
    </row>
    <row r="41621" hidden="1">
      <c r="E41621" s="96"/>
    </row>
    <row r="41622" hidden="1">
      <c r="E41622" s="96"/>
    </row>
    <row r="41623" hidden="1">
      <c r="E41623" s="96"/>
    </row>
    <row r="41624" hidden="1">
      <c r="E41624" s="96"/>
    </row>
    <row r="41625" hidden="1">
      <c r="E41625" s="96"/>
    </row>
    <row r="41626" hidden="1">
      <c r="E41626" s="96"/>
    </row>
    <row r="41627" hidden="1">
      <c r="E41627" s="96"/>
    </row>
    <row r="41628" hidden="1">
      <c r="E41628" s="96"/>
    </row>
    <row r="41629" hidden="1">
      <c r="E41629" s="96"/>
    </row>
    <row r="41630" hidden="1">
      <c r="E41630" s="96"/>
    </row>
    <row r="41631" hidden="1">
      <c r="E41631" s="96"/>
    </row>
    <row r="41632" hidden="1">
      <c r="E41632" s="96"/>
    </row>
    <row r="41633" hidden="1">
      <c r="E41633" s="96"/>
    </row>
    <row r="41634" hidden="1">
      <c r="E41634" s="96"/>
    </row>
    <row r="41635" hidden="1">
      <c r="E41635" s="96"/>
    </row>
    <row r="41636" hidden="1">
      <c r="E41636" s="96"/>
    </row>
    <row r="41637" hidden="1">
      <c r="E41637" s="96"/>
    </row>
    <row r="41638" hidden="1">
      <c r="E41638" s="96"/>
    </row>
    <row r="41639" hidden="1">
      <c r="E41639" s="96"/>
    </row>
    <row r="41640" hidden="1">
      <c r="E41640" s="96"/>
    </row>
    <row r="41641" hidden="1">
      <c r="E41641" s="96"/>
    </row>
    <row r="41642" hidden="1">
      <c r="E41642" s="96"/>
    </row>
    <row r="41643" hidden="1">
      <c r="E41643" s="96"/>
    </row>
    <row r="41644" hidden="1">
      <c r="E41644" s="96"/>
    </row>
    <row r="41645" hidden="1">
      <c r="E41645" s="96"/>
    </row>
    <row r="41646" hidden="1">
      <c r="E41646" s="96"/>
    </row>
    <row r="41647" hidden="1">
      <c r="E41647" s="96"/>
    </row>
    <row r="41648" hidden="1">
      <c r="E41648" s="96"/>
    </row>
    <row r="41649" hidden="1">
      <c r="E41649" s="96"/>
    </row>
    <row r="41650" hidden="1">
      <c r="E41650" s="96"/>
    </row>
    <row r="41651" hidden="1">
      <c r="E41651" s="96"/>
    </row>
    <row r="41652" hidden="1">
      <c r="E41652" s="96"/>
    </row>
    <row r="41653" hidden="1">
      <c r="E41653" s="96"/>
    </row>
    <row r="41654" hidden="1">
      <c r="E41654" s="96"/>
    </row>
    <row r="41655" hidden="1">
      <c r="E41655" s="96"/>
    </row>
    <row r="41656" hidden="1">
      <c r="E41656" s="96"/>
    </row>
    <row r="41657" hidden="1">
      <c r="E41657" s="96"/>
    </row>
    <row r="41658" hidden="1">
      <c r="E41658" s="96"/>
    </row>
    <row r="41659" hidden="1">
      <c r="E41659" s="96"/>
    </row>
    <row r="41660" hidden="1">
      <c r="E41660" s="96"/>
    </row>
    <row r="41661" hidden="1">
      <c r="E41661" s="96"/>
    </row>
    <row r="41662" hidden="1">
      <c r="E41662" s="96"/>
    </row>
    <row r="41663" hidden="1">
      <c r="E41663" s="96"/>
    </row>
    <row r="41664" hidden="1">
      <c r="E41664" s="96"/>
    </row>
    <row r="41665" hidden="1">
      <c r="E41665" s="96"/>
    </row>
    <row r="41666" hidden="1">
      <c r="E41666" s="96"/>
    </row>
    <row r="41667" hidden="1">
      <c r="E41667" s="96"/>
    </row>
    <row r="41668" hidden="1">
      <c r="E41668" s="96"/>
    </row>
    <row r="41669" hidden="1">
      <c r="E41669" s="96"/>
    </row>
    <row r="41670" hidden="1">
      <c r="E41670" s="96"/>
    </row>
    <row r="41671" hidden="1">
      <c r="E41671" s="96"/>
    </row>
    <row r="41672" hidden="1">
      <c r="E41672" s="96"/>
    </row>
    <row r="41673" hidden="1">
      <c r="E41673" s="96"/>
    </row>
    <row r="41674" hidden="1">
      <c r="E41674" s="96"/>
    </row>
    <row r="41675" hidden="1">
      <c r="E41675" s="96"/>
    </row>
    <row r="41676" hidden="1">
      <c r="E41676" s="96"/>
    </row>
    <row r="41677" hidden="1">
      <c r="E41677" s="96"/>
    </row>
    <row r="41678" hidden="1">
      <c r="E41678" s="96"/>
    </row>
    <row r="41679" hidden="1">
      <c r="E41679" s="96"/>
    </row>
    <row r="41680" hidden="1">
      <c r="E41680" s="96"/>
    </row>
    <row r="41681" hidden="1">
      <c r="E41681" s="96"/>
    </row>
    <row r="41682" hidden="1">
      <c r="E41682" s="96"/>
    </row>
    <row r="41683" hidden="1">
      <c r="E41683" s="96"/>
    </row>
    <row r="41684" hidden="1">
      <c r="E41684" s="96"/>
    </row>
    <row r="41685" hidden="1">
      <c r="E41685" s="96"/>
    </row>
    <row r="41686" hidden="1">
      <c r="E41686" s="96"/>
    </row>
    <row r="41687" hidden="1">
      <c r="E41687" s="96"/>
    </row>
    <row r="41688" hidden="1">
      <c r="E41688" s="96"/>
    </row>
    <row r="41689" hidden="1">
      <c r="E41689" s="96"/>
    </row>
    <row r="41690" hidden="1">
      <c r="E41690" s="96"/>
    </row>
    <row r="41691" hidden="1">
      <c r="E41691" s="96"/>
    </row>
    <row r="41692" hidden="1">
      <c r="E41692" s="96"/>
    </row>
    <row r="41693" hidden="1">
      <c r="E41693" s="96"/>
    </row>
    <row r="41694" hidden="1">
      <c r="E41694" s="96"/>
    </row>
    <row r="41695" hidden="1">
      <c r="E41695" s="96"/>
    </row>
    <row r="41696" hidden="1">
      <c r="E41696" s="96"/>
    </row>
    <row r="41697" hidden="1">
      <c r="E41697" s="96"/>
    </row>
    <row r="41698" hidden="1">
      <c r="E41698" s="96"/>
    </row>
    <row r="41699" hidden="1">
      <c r="E41699" s="96"/>
    </row>
    <row r="41700" hidden="1">
      <c r="E41700" s="96"/>
    </row>
    <row r="41701" hidden="1">
      <c r="E41701" s="96"/>
    </row>
    <row r="41702" hidden="1">
      <c r="E41702" s="96"/>
    </row>
    <row r="41703" hidden="1">
      <c r="E41703" s="96"/>
    </row>
    <row r="41704" hidden="1">
      <c r="E41704" s="96"/>
    </row>
    <row r="41705" hidden="1">
      <c r="E41705" s="96"/>
    </row>
    <row r="41706" hidden="1">
      <c r="E41706" s="96"/>
    </row>
    <row r="41707" hidden="1">
      <c r="E41707" s="96"/>
    </row>
    <row r="41708" hidden="1">
      <c r="E41708" s="96"/>
    </row>
    <row r="41709" hidden="1">
      <c r="E41709" s="96"/>
    </row>
    <row r="41710" hidden="1">
      <c r="E41710" s="96"/>
    </row>
    <row r="41711" hidden="1">
      <c r="E41711" s="96"/>
    </row>
    <row r="41712" hidden="1">
      <c r="E41712" s="96"/>
    </row>
    <row r="41713" hidden="1">
      <c r="E41713" s="96"/>
    </row>
    <row r="41714" hidden="1">
      <c r="E41714" s="96"/>
    </row>
    <row r="41715" hidden="1">
      <c r="E41715" s="96"/>
    </row>
    <row r="41716" hidden="1">
      <c r="E41716" s="96"/>
    </row>
    <row r="41717" hidden="1">
      <c r="E41717" s="96"/>
    </row>
    <row r="41718" hidden="1">
      <c r="E41718" s="96"/>
    </row>
    <row r="41719" hidden="1">
      <c r="E41719" s="96"/>
    </row>
    <row r="41720" hidden="1">
      <c r="E41720" s="96"/>
    </row>
    <row r="41721" hidden="1">
      <c r="E41721" s="96"/>
    </row>
    <row r="41722" hidden="1">
      <c r="E41722" s="96"/>
    </row>
    <row r="41723" hidden="1">
      <c r="E41723" s="96"/>
    </row>
    <row r="41724" hidden="1">
      <c r="E41724" s="96"/>
    </row>
    <row r="41725" hidden="1">
      <c r="E41725" s="96"/>
    </row>
    <row r="41726" hidden="1">
      <c r="E41726" s="96"/>
    </row>
    <row r="41727" hidden="1">
      <c r="E41727" s="96"/>
    </row>
    <row r="41728" hidden="1">
      <c r="E41728" s="96"/>
    </row>
    <row r="41729" hidden="1">
      <c r="E41729" s="96"/>
    </row>
    <row r="41730" hidden="1">
      <c r="E41730" s="96"/>
    </row>
    <row r="41731" hidden="1">
      <c r="E41731" s="96"/>
    </row>
    <row r="41732" hidden="1">
      <c r="E41732" s="96"/>
    </row>
    <row r="41733" hidden="1">
      <c r="E41733" s="96"/>
    </row>
    <row r="41734" hidden="1">
      <c r="E41734" s="96"/>
    </row>
    <row r="41735" hidden="1">
      <c r="E41735" s="96"/>
    </row>
    <row r="41736" hidden="1">
      <c r="E41736" s="96"/>
    </row>
    <row r="41737" hidden="1">
      <c r="E41737" s="96"/>
    </row>
    <row r="41738" hidden="1">
      <c r="E41738" s="96"/>
    </row>
    <row r="41739" hidden="1">
      <c r="E41739" s="96"/>
    </row>
    <row r="41740" hidden="1">
      <c r="E41740" s="96"/>
    </row>
    <row r="41741" hidden="1">
      <c r="E41741" s="96"/>
    </row>
    <row r="41742" hidden="1">
      <c r="E41742" s="96"/>
    </row>
    <row r="41743" hidden="1">
      <c r="E41743" s="96"/>
    </row>
    <row r="41744" hidden="1">
      <c r="E41744" s="96"/>
    </row>
    <row r="41745" hidden="1">
      <c r="E41745" s="96"/>
    </row>
    <row r="41746" hidden="1">
      <c r="E41746" s="96"/>
    </row>
    <row r="41747" hidden="1">
      <c r="E41747" s="96"/>
    </row>
    <row r="41748" hidden="1">
      <c r="E41748" s="96"/>
    </row>
    <row r="41749" hidden="1">
      <c r="E41749" s="96"/>
    </row>
    <row r="41750" hidden="1">
      <c r="E41750" s="96"/>
    </row>
    <row r="41751" hidden="1">
      <c r="E41751" s="96"/>
    </row>
    <row r="41752" hidden="1">
      <c r="E41752" s="96"/>
    </row>
    <row r="41753" hidden="1">
      <c r="E41753" s="96"/>
    </row>
    <row r="41754" hidden="1">
      <c r="E41754" s="96"/>
    </row>
    <row r="41755" hidden="1">
      <c r="E41755" s="96"/>
    </row>
    <row r="41756" hidden="1">
      <c r="E41756" s="96"/>
    </row>
    <row r="41757" hidden="1">
      <c r="E41757" s="96"/>
    </row>
    <row r="41758" hidden="1">
      <c r="E41758" s="96"/>
    </row>
    <row r="41759" hidden="1">
      <c r="E41759" s="96"/>
    </row>
    <row r="41760" hidden="1">
      <c r="E41760" s="96"/>
    </row>
    <row r="41761" hidden="1">
      <c r="E41761" s="96"/>
    </row>
    <row r="41762" hidden="1">
      <c r="E41762" s="96"/>
    </row>
    <row r="41763" hidden="1">
      <c r="E41763" s="96"/>
    </row>
    <row r="41764" hidden="1">
      <c r="E41764" s="96"/>
    </row>
    <row r="41765" hidden="1">
      <c r="E41765" s="96"/>
    </row>
    <row r="41766" hidden="1">
      <c r="E41766" s="96"/>
    </row>
    <row r="41767" hidden="1">
      <c r="E41767" s="96"/>
    </row>
    <row r="41768" hidden="1">
      <c r="E41768" s="96"/>
    </row>
    <row r="41769" hidden="1">
      <c r="E41769" s="96"/>
    </row>
    <row r="41770" hidden="1">
      <c r="E41770" s="96"/>
    </row>
    <row r="41771" hidden="1">
      <c r="E41771" s="96"/>
    </row>
    <row r="41772" hidden="1">
      <c r="E41772" s="96"/>
    </row>
    <row r="41773" hidden="1">
      <c r="E41773" s="96"/>
    </row>
    <row r="41774" hidden="1">
      <c r="E41774" s="96"/>
    </row>
    <row r="41775" hidden="1">
      <c r="E41775" s="96"/>
    </row>
    <row r="41776" hidden="1">
      <c r="E41776" s="96"/>
    </row>
    <row r="41777" hidden="1">
      <c r="E41777" s="96"/>
    </row>
    <row r="41778" hidden="1">
      <c r="E41778" s="96"/>
    </row>
    <row r="41779" hidden="1">
      <c r="E41779" s="96"/>
    </row>
    <row r="41780" hidden="1">
      <c r="E41780" s="96"/>
    </row>
    <row r="41781" hidden="1">
      <c r="E41781" s="96"/>
    </row>
    <row r="41782" hidden="1">
      <c r="E41782" s="96"/>
    </row>
    <row r="41783" hidden="1">
      <c r="E41783" s="96"/>
    </row>
    <row r="41784" hidden="1">
      <c r="E41784" s="96"/>
    </row>
    <row r="41785" hidden="1">
      <c r="E41785" s="96"/>
    </row>
    <row r="41786" hidden="1">
      <c r="E41786" s="96"/>
    </row>
    <row r="41787" hidden="1">
      <c r="E41787" s="96"/>
    </row>
    <row r="41788" hidden="1">
      <c r="E41788" s="96"/>
    </row>
    <row r="41789" hidden="1">
      <c r="E41789" s="96"/>
    </row>
    <row r="41790" hidden="1">
      <c r="E41790" s="96"/>
    </row>
    <row r="41791" hidden="1">
      <c r="E41791" s="96"/>
    </row>
    <row r="41792" hidden="1">
      <c r="E41792" s="96"/>
    </row>
    <row r="41793" hidden="1">
      <c r="E41793" s="96"/>
    </row>
    <row r="41794" hidden="1">
      <c r="E41794" s="96"/>
    </row>
    <row r="41795" hidden="1">
      <c r="E41795" s="96"/>
    </row>
    <row r="41796" hidden="1">
      <c r="E41796" s="96"/>
    </row>
    <row r="41797" hidden="1">
      <c r="E41797" s="96"/>
    </row>
    <row r="41798" hidden="1">
      <c r="E41798" s="96"/>
    </row>
    <row r="41799" hidden="1">
      <c r="E41799" s="96"/>
    </row>
    <row r="41800" hidden="1">
      <c r="E41800" s="96"/>
    </row>
    <row r="41801" hidden="1">
      <c r="E41801" s="96"/>
    </row>
    <row r="41802" hidden="1">
      <c r="E41802" s="96"/>
    </row>
    <row r="41803" hidden="1">
      <c r="E41803" s="96"/>
    </row>
    <row r="41804" hidden="1">
      <c r="E41804" s="96"/>
    </row>
    <row r="41805" hidden="1">
      <c r="E41805" s="96"/>
    </row>
    <row r="41806" hidden="1">
      <c r="E41806" s="96"/>
    </row>
    <row r="41807" hidden="1">
      <c r="E41807" s="96"/>
    </row>
    <row r="41808" hidden="1">
      <c r="E41808" s="96"/>
    </row>
    <row r="41809" hidden="1">
      <c r="E41809" s="96"/>
    </row>
    <row r="41810" hidden="1">
      <c r="E41810" s="96"/>
    </row>
    <row r="41811" hidden="1">
      <c r="E41811" s="96"/>
    </row>
    <row r="41812" hidden="1">
      <c r="E41812" s="96"/>
    </row>
    <row r="41813" hidden="1">
      <c r="E41813" s="96"/>
    </row>
    <row r="41814" hidden="1">
      <c r="E41814" s="96"/>
    </row>
    <row r="41815" hidden="1">
      <c r="E41815" s="96"/>
    </row>
    <row r="41816" hidden="1">
      <c r="E41816" s="96"/>
    </row>
    <row r="41817" hidden="1">
      <c r="E41817" s="96"/>
    </row>
    <row r="41818" hidden="1">
      <c r="E41818" s="96"/>
    </row>
    <row r="41819" hidden="1">
      <c r="E41819" s="96"/>
    </row>
    <row r="41820" hidden="1">
      <c r="E41820" s="96"/>
    </row>
    <row r="41821" hidden="1">
      <c r="E41821" s="96"/>
    </row>
    <row r="41822" hidden="1">
      <c r="E41822" s="96"/>
    </row>
    <row r="41823" hidden="1">
      <c r="E41823" s="96"/>
    </row>
    <row r="41824" hidden="1">
      <c r="E41824" s="96"/>
    </row>
    <row r="41825" hidden="1">
      <c r="E41825" s="96"/>
    </row>
    <row r="41826" hidden="1">
      <c r="E41826" s="96"/>
    </row>
    <row r="41827" hidden="1">
      <c r="E41827" s="96"/>
    </row>
    <row r="41828" hidden="1">
      <c r="E41828" s="96"/>
    </row>
    <row r="41829" hidden="1">
      <c r="E41829" s="96"/>
    </row>
    <row r="41830" hidden="1">
      <c r="E41830" s="96"/>
    </row>
    <row r="41831" hidden="1">
      <c r="E41831" s="96"/>
    </row>
    <row r="41832" hidden="1">
      <c r="E41832" s="96"/>
    </row>
    <row r="41833" hidden="1">
      <c r="E41833" s="96"/>
    </row>
    <row r="41834" hidden="1">
      <c r="E41834" s="96"/>
    </row>
    <row r="41835" hidden="1">
      <c r="E41835" s="96"/>
    </row>
    <row r="41836" hidden="1">
      <c r="E41836" s="96"/>
    </row>
    <row r="41837" hidden="1">
      <c r="E41837" s="96"/>
    </row>
    <row r="41838" hidden="1">
      <c r="E41838" s="96"/>
    </row>
    <row r="41839" hidden="1">
      <c r="E41839" s="96"/>
    </row>
    <row r="41840" hidden="1">
      <c r="E41840" s="96"/>
    </row>
    <row r="41841" hidden="1">
      <c r="E41841" s="96"/>
    </row>
    <row r="41842" hidden="1">
      <c r="E41842" s="96"/>
    </row>
    <row r="41843" hidden="1">
      <c r="E41843" s="96"/>
    </row>
    <row r="41844" hidden="1">
      <c r="E41844" s="96"/>
    </row>
    <row r="41845" hidden="1">
      <c r="E41845" s="96"/>
    </row>
    <row r="41846" hidden="1">
      <c r="E41846" s="96"/>
    </row>
    <row r="41847" hidden="1">
      <c r="E41847" s="96"/>
    </row>
    <row r="41848" hidden="1">
      <c r="E41848" s="96"/>
    </row>
    <row r="41849" hidden="1">
      <c r="E41849" s="96"/>
    </row>
    <row r="41850" hidden="1">
      <c r="E41850" s="96"/>
    </row>
    <row r="41851" hidden="1">
      <c r="E41851" s="96"/>
    </row>
    <row r="41852" hidden="1">
      <c r="E41852" s="96"/>
    </row>
    <row r="41853" hidden="1">
      <c r="E41853" s="96"/>
    </row>
    <row r="41854" hidden="1">
      <c r="E41854" s="96"/>
    </row>
    <row r="41855" hidden="1">
      <c r="E41855" s="96"/>
    </row>
    <row r="41856" hidden="1">
      <c r="E41856" s="96"/>
    </row>
    <row r="41857" hidden="1">
      <c r="E41857" s="96"/>
    </row>
    <row r="41858" hidden="1">
      <c r="E41858" s="96"/>
    </row>
    <row r="41859" hidden="1">
      <c r="E41859" s="96"/>
    </row>
    <row r="41860" hidden="1">
      <c r="E41860" s="96"/>
    </row>
    <row r="41861" hidden="1">
      <c r="E41861" s="96"/>
    </row>
    <row r="41862" hidden="1">
      <c r="E41862" s="96"/>
    </row>
    <row r="41863" hidden="1">
      <c r="E41863" s="96"/>
    </row>
    <row r="41864" hidden="1">
      <c r="E41864" s="96"/>
    </row>
    <row r="41865" hidden="1">
      <c r="E41865" s="96"/>
    </row>
    <row r="41866" hidden="1">
      <c r="E41866" s="96"/>
    </row>
    <row r="41867" hidden="1">
      <c r="E41867" s="96"/>
    </row>
    <row r="41868" hidden="1">
      <c r="E41868" s="96"/>
    </row>
    <row r="41869" hidden="1">
      <c r="E41869" s="96"/>
    </row>
    <row r="41870" hidden="1">
      <c r="E41870" s="96"/>
    </row>
    <row r="41871" hidden="1">
      <c r="E41871" s="96"/>
    </row>
    <row r="41872" hidden="1">
      <c r="E41872" s="96"/>
    </row>
    <row r="41873" hidden="1">
      <c r="E41873" s="96"/>
    </row>
    <row r="41874" hidden="1">
      <c r="E41874" s="96"/>
    </row>
    <row r="41875" hidden="1">
      <c r="E41875" s="96"/>
    </row>
    <row r="41876" hidden="1">
      <c r="E41876" s="96"/>
    </row>
    <row r="41877" hidden="1">
      <c r="E41877" s="96"/>
    </row>
    <row r="41878" hidden="1">
      <c r="E41878" s="96"/>
    </row>
    <row r="41879" hidden="1">
      <c r="E41879" s="96"/>
    </row>
    <row r="41880" hidden="1">
      <c r="E41880" s="96"/>
    </row>
    <row r="41881" hidden="1">
      <c r="E41881" s="96"/>
    </row>
    <row r="41882" hidden="1">
      <c r="E41882" s="96"/>
    </row>
    <row r="41883" hidden="1">
      <c r="E41883" s="96"/>
    </row>
    <row r="41884" hidden="1">
      <c r="E41884" s="96"/>
    </row>
    <row r="41885" hidden="1">
      <c r="E41885" s="96"/>
    </row>
    <row r="41886" hidden="1">
      <c r="E41886" s="96"/>
    </row>
    <row r="41887" hidden="1">
      <c r="E41887" s="96"/>
    </row>
    <row r="41888" hidden="1">
      <c r="E41888" s="96"/>
    </row>
    <row r="41889" hidden="1">
      <c r="E41889" s="96"/>
    </row>
    <row r="41890" hidden="1">
      <c r="E41890" s="96"/>
    </row>
    <row r="41891" hidden="1">
      <c r="E41891" s="96"/>
    </row>
    <row r="41892" hidden="1">
      <c r="E41892" s="96"/>
    </row>
    <row r="41893" hidden="1">
      <c r="E41893" s="96"/>
    </row>
    <row r="41894" hidden="1">
      <c r="E41894" s="96"/>
    </row>
    <row r="41895" hidden="1">
      <c r="E41895" s="96"/>
    </row>
    <row r="41896" hidden="1">
      <c r="E41896" s="96"/>
    </row>
    <row r="41897" hidden="1">
      <c r="E41897" s="96"/>
    </row>
    <row r="41898" hidden="1">
      <c r="E41898" s="96"/>
    </row>
    <row r="41899" hidden="1">
      <c r="E41899" s="96"/>
    </row>
    <row r="41900" hidden="1">
      <c r="E41900" s="96"/>
    </row>
    <row r="41901" hidden="1">
      <c r="E41901" s="96"/>
    </row>
    <row r="41902" hidden="1">
      <c r="E41902" s="96"/>
    </row>
    <row r="41903" hidden="1">
      <c r="E41903" s="96"/>
    </row>
    <row r="41904" hidden="1">
      <c r="E41904" s="96"/>
    </row>
    <row r="41905" hidden="1">
      <c r="E41905" s="96"/>
    </row>
    <row r="41906" hidden="1">
      <c r="E41906" s="96"/>
    </row>
    <row r="41907" hidden="1">
      <c r="E41907" s="96"/>
    </row>
    <row r="41908" hidden="1">
      <c r="E41908" s="96"/>
    </row>
    <row r="41909" hidden="1">
      <c r="E41909" s="96"/>
    </row>
    <row r="41910" hidden="1">
      <c r="E41910" s="96"/>
    </row>
    <row r="41911" hidden="1">
      <c r="E41911" s="96"/>
    </row>
    <row r="41912" hidden="1">
      <c r="E41912" s="96"/>
    </row>
    <row r="41913" hidden="1">
      <c r="E41913" s="96"/>
    </row>
    <row r="41914" hidden="1">
      <c r="E41914" s="96"/>
    </row>
    <row r="41915" hidden="1">
      <c r="E41915" s="96"/>
    </row>
    <row r="41916" hidden="1">
      <c r="E41916" s="96"/>
    </row>
    <row r="41917" hidden="1">
      <c r="E41917" s="96"/>
    </row>
    <row r="41918" hidden="1">
      <c r="E41918" s="96"/>
    </row>
    <row r="41919" hidden="1">
      <c r="E41919" s="96"/>
    </row>
    <row r="41920" hidden="1">
      <c r="E41920" s="96"/>
    </row>
    <row r="41921" hidden="1">
      <c r="E41921" s="96"/>
    </row>
    <row r="41922" hidden="1">
      <c r="E41922" s="96"/>
    </row>
    <row r="41923" hidden="1">
      <c r="E41923" s="96"/>
    </row>
    <row r="41924" hidden="1">
      <c r="E41924" s="96"/>
    </row>
    <row r="41925" hidden="1">
      <c r="E41925" s="96"/>
    </row>
    <row r="41926" hidden="1">
      <c r="E41926" s="96"/>
    </row>
    <row r="41927" hidden="1">
      <c r="E41927" s="96"/>
    </row>
    <row r="41928" hidden="1">
      <c r="E41928" s="96"/>
    </row>
    <row r="41929" hidden="1">
      <c r="E41929" s="96"/>
    </row>
    <row r="41930" hidden="1">
      <c r="E41930" s="96"/>
    </row>
    <row r="41931" hidden="1">
      <c r="E41931" s="96"/>
    </row>
    <row r="41932" hidden="1">
      <c r="E41932" s="96"/>
    </row>
    <row r="41933" hidden="1">
      <c r="E41933" s="96"/>
    </row>
    <row r="41934" hidden="1">
      <c r="E41934" s="96"/>
    </row>
    <row r="41935" hidden="1">
      <c r="E41935" s="96"/>
    </row>
    <row r="41936" hidden="1">
      <c r="E41936" s="96"/>
    </row>
    <row r="41937" hidden="1">
      <c r="E41937" s="96"/>
    </row>
    <row r="41938" hidden="1">
      <c r="E41938" s="96"/>
    </row>
    <row r="41939" hidden="1">
      <c r="E41939" s="96"/>
    </row>
    <row r="41940" hidden="1">
      <c r="E41940" s="96"/>
    </row>
    <row r="41941" hidden="1">
      <c r="E41941" s="96"/>
    </row>
    <row r="41942" hidden="1">
      <c r="E41942" s="96"/>
    </row>
    <row r="41943" hidden="1">
      <c r="E41943" s="96"/>
    </row>
    <row r="41944" hidden="1">
      <c r="E41944" s="96"/>
    </row>
    <row r="41945" hidden="1">
      <c r="E41945" s="96"/>
    </row>
    <row r="41946" hidden="1">
      <c r="E41946" s="96"/>
    </row>
    <row r="41947" hidden="1">
      <c r="E41947" s="96"/>
    </row>
    <row r="41948" hidden="1">
      <c r="E41948" s="96"/>
    </row>
    <row r="41949" hidden="1">
      <c r="E41949" s="96"/>
    </row>
    <row r="41950" hidden="1">
      <c r="E41950" s="96"/>
    </row>
    <row r="41951" hidden="1">
      <c r="E41951" s="96"/>
    </row>
    <row r="41952" hidden="1">
      <c r="E41952" s="96"/>
    </row>
    <row r="41953" hidden="1">
      <c r="E41953" s="96"/>
    </row>
    <row r="41954" hidden="1">
      <c r="E41954" s="96"/>
    </row>
    <row r="41955" hidden="1">
      <c r="E41955" s="96"/>
    </row>
    <row r="41956" hidden="1">
      <c r="E41956" s="96"/>
    </row>
    <row r="41957" hidden="1">
      <c r="E41957" s="96"/>
    </row>
    <row r="41958" hidden="1">
      <c r="E41958" s="96"/>
    </row>
    <row r="41959" hidden="1">
      <c r="E41959" s="96"/>
    </row>
    <row r="41960" hidden="1">
      <c r="E41960" s="96"/>
    </row>
    <row r="41961" hidden="1">
      <c r="E41961" s="96"/>
    </row>
    <row r="41962" hidden="1">
      <c r="E41962" s="96"/>
    </row>
    <row r="41963" hidden="1">
      <c r="E41963" s="96"/>
    </row>
    <row r="41964" hidden="1">
      <c r="E41964" s="96"/>
    </row>
    <row r="41965" hidden="1">
      <c r="E41965" s="96"/>
    </row>
    <row r="41966" hidden="1">
      <c r="E41966" s="96"/>
    </row>
    <row r="41967" hidden="1">
      <c r="E41967" s="96"/>
    </row>
    <row r="41968" hidden="1">
      <c r="E41968" s="96"/>
    </row>
    <row r="41969" hidden="1">
      <c r="E41969" s="96"/>
    </row>
    <row r="41970" hidden="1">
      <c r="E41970" s="96"/>
    </row>
    <row r="41971" hidden="1">
      <c r="E41971" s="96"/>
    </row>
    <row r="41972" hidden="1">
      <c r="E41972" s="96"/>
    </row>
    <row r="41973" hidden="1">
      <c r="E41973" s="96"/>
    </row>
    <row r="41974" hidden="1">
      <c r="E41974" s="96"/>
    </row>
    <row r="41975" hidden="1">
      <c r="E41975" s="96"/>
    </row>
    <row r="41976" hidden="1">
      <c r="E41976" s="96"/>
    </row>
    <row r="41977" hidden="1">
      <c r="E41977" s="96"/>
    </row>
    <row r="41978" hidden="1">
      <c r="E41978" s="96"/>
    </row>
    <row r="41979" hidden="1">
      <c r="E41979" s="96"/>
    </row>
    <row r="41980" hidden="1">
      <c r="E41980" s="96"/>
    </row>
    <row r="41981" hidden="1">
      <c r="E41981" s="96"/>
    </row>
    <row r="41982" hidden="1">
      <c r="E41982" s="96"/>
    </row>
    <row r="41983" hidden="1">
      <c r="E41983" s="96"/>
    </row>
    <row r="41984" hidden="1">
      <c r="E41984" s="96"/>
    </row>
    <row r="41985" hidden="1">
      <c r="E41985" s="96"/>
    </row>
    <row r="41986" hidden="1">
      <c r="E41986" s="96"/>
    </row>
    <row r="41987" hidden="1">
      <c r="E41987" s="96"/>
    </row>
    <row r="41988" hidden="1">
      <c r="E41988" s="96"/>
    </row>
    <row r="41989" hidden="1">
      <c r="E41989" s="96"/>
    </row>
    <row r="41990" hidden="1">
      <c r="E41990" s="96"/>
    </row>
    <row r="41991" hidden="1">
      <c r="E41991" s="96"/>
    </row>
    <row r="41992" hidden="1">
      <c r="E41992" s="96"/>
    </row>
    <row r="41993" hidden="1">
      <c r="E41993" s="96"/>
    </row>
    <row r="41994" hidden="1">
      <c r="E41994" s="96"/>
    </row>
    <row r="41995" hidden="1">
      <c r="E41995" s="96"/>
    </row>
    <row r="41996" hidden="1">
      <c r="E41996" s="96"/>
    </row>
    <row r="41997" hidden="1">
      <c r="E41997" s="96"/>
    </row>
    <row r="41998" hidden="1">
      <c r="E41998" s="96"/>
    </row>
    <row r="41999" hidden="1">
      <c r="E41999" s="96"/>
    </row>
    <row r="42000" hidden="1">
      <c r="E42000" s="96"/>
    </row>
    <row r="42001" hidden="1">
      <c r="E42001" s="96"/>
    </row>
    <row r="42002" hidden="1">
      <c r="E42002" s="96"/>
    </row>
    <row r="42003" hidden="1">
      <c r="E42003" s="96"/>
    </row>
    <row r="42004" hidden="1">
      <c r="E42004" s="96"/>
    </row>
    <row r="42005" hidden="1">
      <c r="E42005" s="96"/>
    </row>
    <row r="42006" hidden="1">
      <c r="E42006" s="96"/>
    </row>
    <row r="42007" hidden="1">
      <c r="E42007" s="96"/>
    </row>
    <row r="42008" hidden="1">
      <c r="E42008" s="96"/>
    </row>
    <row r="42009" hidden="1">
      <c r="E42009" s="96"/>
    </row>
    <row r="42010" hidden="1">
      <c r="E42010" s="96"/>
    </row>
    <row r="42011" hidden="1">
      <c r="E42011" s="96"/>
    </row>
    <row r="42012" hidden="1">
      <c r="E42012" s="96"/>
    </row>
    <row r="42013" hidden="1">
      <c r="E42013" s="96"/>
    </row>
    <row r="42014" hidden="1">
      <c r="E42014" s="96"/>
    </row>
    <row r="42015" hidden="1">
      <c r="E42015" s="96"/>
    </row>
    <row r="42016" hidden="1">
      <c r="E42016" s="96"/>
    </row>
    <row r="42017" hidden="1">
      <c r="E42017" s="96"/>
    </row>
    <row r="42018" hidden="1">
      <c r="E42018" s="96"/>
    </row>
    <row r="42019" hidden="1">
      <c r="E42019" s="96"/>
    </row>
    <row r="42020" hidden="1">
      <c r="E42020" s="96"/>
    </row>
    <row r="42021" hidden="1">
      <c r="E42021" s="96"/>
    </row>
    <row r="42022" hidden="1">
      <c r="E42022" s="96"/>
    </row>
    <row r="42023" hidden="1">
      <c r="E42023" s="96"/>
    </row>
    <row r="42024" hidden="1">
      <c r="E42024" s="96"/>
    </row>
    <row r="42025" hidden="1">
      <c r="E42025" s="96"/>
    </row>
    <row r="42026" hidden="1">
      <c r="E42026" s="96"/>
    </row>
    <row r="42027" hidden="1">
      <c r="E42027" s="96"/>
    </row>
    <row r="42028" hidden="1">
      <c r="E42028" s="96"/>
    </row>
    <row r="42029" hidden="1">
      <c r="E42029" s="96"/>
    </row>
    <row r="42030" hidden="1">
      <c r="E42030" s="96"/>
    </row>
    <row r="42031" hidden="1">
      <c r="E42031" s="96"/>
    </row>
    <row r="42032" hidden="1">
      <c r="E42032" s="96"/>
    </row>
    <row r="42033" hidden="1">
      <c r="E42033" s="96"/>
    </row>
    <row r="42034" hidden="1">
      <c r="E42034" s="96"/>
    </row>
    <row r="42035" hidden="1">
      <c r="E42035" s="96"/>
    </row>
    <row r="42036" hidden="1">
      <c r="E42036" s="96"/>
    </row>
    <row r="42037" hidden="1">
      <c r="E42037" s="96"/>
    </row>
    <row r="42038" hidden="1">
      <c r="E42038" s="96"/>
    </row>
    <row r="42039" hidden="1">
      <c r="E42039" s="96"/>
    </row>
    <row r="42040" hidden="1">
      <c r="E42040" s="96"/>
    </row>
    <row r="42041" hidden="1">
      <c r="E42041" s="96"/>
    </row>
    <row r="42042" hidden="1">
      <c r="E42042" s="96"/>
    </row>
    <row r="42043" hidden="1">
      <c r="E42043" s="96"/>
    </row>
    <row r="42044" hidden="1">
      <c r="E42044" s="96"/>
    </row>
    <row r="42045" hidden="1">
      <c r="E42045" s="96"/>
    </row>
    <row r="42046" hidden="1">
      <c r="E42046" s="96"/>
    </row>
    <row r="42047" hidden="1">
      <c r="E42047" s="96"/>
    </row>
    <row r="42048" hidden="1">
      <c r="E42048" s="96"/>
    </row>
    <row r="42049" hidden="1">
      <c r="E42049" s="96"/>
    </row>
    <row r="42050" hidden="1">
      <c r="E42050" s="96"/>
    </row>
    <row r="42051" hidden="1">
      <c r="E42051" s="96"/>
    </row>
    <row r="42052" hidden="1">
      <c r="E42052" s="96"/>
    </row>
    <row r="42053" hidden="1">
      <c r="E42053" s="96"/>
    </row>
    <row r="42054" hidden="1">
      <c r="E42054" s="96"/>
    </row>
    <row r="42055" hidden="1">
      <c r="E42055" s="96"/>
    </row>
    <row r="42056" hidden="1">
      <c r="E42056" s="96"/>
    </row>
    <row r="42057" hidden="1">
      <c r="E42057" s="96"/>
    </row>
    <row r="42058" hidden="1">
      <c r="E42058" s="96"/>
    </row>
    <row r="42059" hidden="1">
      <c r="E42059" s="96"/>
    </row>
    <row r="42060" hidden="1">
      <c r="E42060" s="96"/>
    </row>
    <row r="42061" hidden="1">
      <c r="E42061" s="96"/>
    </row>
    <row r="42062" hidden="1">
      <c r="E42062" s="96"/>
    </row>
    <row r="42063" hidden="1">
      <c r="E42063" s="96"/>
    </row>
    <row r="42064" hidden="1">
      <c r="E42064" s="96"/>
    </row>
    <row r="42065" hidden="1">
      <c r="E42065" s="96"/>
    </row>
    <row r="42066" hidden="1">
      <c r="E42066" s="96"/>
    </row>
    <row r="42067" hidden="1">
      <c r="E42067" s="96"/>
    </row>
    <row r="42068" hidden="1">
      <c r="E42068" s="96"/>
    </row>
    <row r="42069" hidden="1">
      <c r="E42069" s="96"/>
    </row>
    <row r="42070" hidden="1">
      <c r="E42070" s="96"/>
    </row>
    <row r="42071" hidden="1">
      <c r="E42071" s="96"/>
    </row>
    <row r="42072" hidden="1">
      <c r="E42072" s="96"/>
    </row>
    <row r="42073" hidden="1">
      <c r="E42073" s="96"/>
    </row>
    <row r="42074" hidden="1">
      <c r="E42074" s="96"/>
    </row>
    <row r="42075" hidden="1">
      <c r="E42075" s="96"/>
    </row>
    <row r="42076" hidden="1">
      <c r="E42076" s="96"/>
    </row>
    <row r="42077" hidden="1">
      <c r="E42077" s="96"/>
    </row>
    <row r="42078" hidden="1">
      <c r="E42078" s="96"/>
    </row>
    <row r="42079" hidden="1">
      <c r="E42079" s="96"/>
    </row>
    <row r="42080" hidden="1">
      <c r="E42080" s="96"/>
    </row>
    <row r="42081" hidden="1">
      <c r="E42081" s="96"/>
    </row>
    <row r="42082" hidden="1">
      <c r="E42082" s="96"/>
    </row>
    <row r="42083" hidden="1">
      <c r="E42083" s="96"/>
    </row>
    <row r="42084" hidden="1">
      <c r="E42084" s="96"/>
    </row>
    <row r="42085" hidden="1">
      <c r="E42085" s="96"/>
    </row>
    <row r="42086" hidden="1">
      <c r="E42086" s="96"/>
    </row>
    <row r="42087" hidden="1">
      <c r="E42087" s="96"/>
    </row>
    <row r="42088" hidden="1">
      <c r="E42088" s="96"/>
    </row>
    <row r="42089" hidden="1">
      <c r="E42089" s="96"/>
    </row>
    <row r="42090" hidden="1">
      <c r="E42090" s="96"/>
    </row>
    <row r="42091" hidden="1">
      <c r="E42091" s="96"/>
    </row>
    <row r="42092" hidden="1">
      <c r="E42092" s="96"/>
    </row>
    <row r="42093" hidden="1">
      <c r="E42093" s="96"/>
    </row>
    <row r="42094" hidden="1">
      <c r="E42094" s="96"/>
    </row>
    <row r="42095" hidden="1">
      <c r="E42095" s="96"/>
    </row>
    <row r="42096" hidden="1">
      <c r="E42096" s="96"/>
    </row>
    <row r="42097" hidden="1">
      <c r="E42097" s="96"/>
    </row>
    <row r="42098" hidden="1">
      <c r="E42098" s="96"/>
    </row>
    <row r="42099" hidden="1">
      <c r="E42099" s="96"/>
    </row>
    <row r="42100" hidden="1">
      <c r="E42100" s="96"/>
    </row>
    <row r="42101" hidden="1">
      <c r="E42101" s="96"/>
    </row>
    <row r="42102" hidden="1">
      <c r="E42102" s="96"/>
    </row>
    <row r="42103" hidden="1">
      <c r="E42103" s="96"/>
    </row>
    <row r="42104" hidden="1">
      <c r="E42104" s="96"/>
    </row>
    <row r="42105" hidden="1">
      <c r="E42105" s="96"/>
    </row>
    <row r="42106" hidden="1">
      <c r="E42106" s="96"/>
    </row>
    <row r="42107" hidden="1">
      <c r="E42107" s="96"/>
    </row>
    <row r="42108" hidden="1">
      <c r="E42108" s="96"/>
    </row>
    <row r="42109" hidden="1">
      <c r="E42109" s="96"/>
    </row>
    <row r="42110" hidden="1">
      <c r="E42110" s="96"/>
    </row>
    <row r="42111" hidden="1">
      <c r="E42111" s="96"/>
    </row>
    <row r="42112" hidden="1">
      <c r="E42112" s="96"/>
    </row>
    <row r="42113" hidden="1">
      <c r="E42113" s="96"/>
    </row>
    <row r="42114" hidden="1">
      <c r="E42114" s="96"/>
    </row>
    <row r="42115" hidden="1">
      <c r="E42115" s="96"/>
    </row>
    <row r="42116" hidden="1">
      <c r="E42116" s="96"/>
    </row>
    <row r="42117" hidden="1">
      <c r="E42117" s="96"/>
    </row>
    <row r="42118" hidden="1">
      <c r="E42118" s="96"/>
    </row>
    <row r="42119" hidden="1">
      <c r="E42119" s="96"/>
    </row>
    <row r="42120" hidden="1">
      <c r="E42120" s="96"/>
    </row>
    <row r="42121" hidden="1">
      <c r="E42121" s="96"/>
    </row>
    <row r="42122" hidden="1">
      <c r="E42122" s="96"/>
    </row>
    <row r="42123" hidden="1">
      <c r="E42123" s="96"/>
    </row>
    <row r="42124" hidden="1">
      <c r="E42124" s="96"/>
    </row>
    <row r="42125" hidden="1">
      <c r="E42125" s="96"/>
    </row>
    <row r="42126" hidden="1">
      <c r="E42126" s="96"/>
    </row>
    <row r="42127" hidden="1">
      <c r="E42127" s="96"/>
    </row>
    <row r="42128" hidden="1">
      <c r="E42128" s="96"/>
    </row>
    <row r="42129" hidden="1">
      <c r="E42129" s="96"/>
    </row>
    <row r="42130" hidden="1">
      <c r="E42130" s="96"/>
    </row>
    <row r="42131" hidden="1">
      <c r="E42131" s="96"/>
    </row>
    <row r="42132" hidden="1">
      <c r="E42132" s="96"/>
    </row>
    <row r="42133" hidden="1">
      <c r="E42133" s="96"/>
    </row>
    <row r="42134" hidden="1">
      <c r="E42134" s="96"/>
    </row>
    <row r="42135" hidden="1">
      <c r="E42135" s="96"/>
    </row>
    <row r="42136" hidden="1">
      <c r="E42136" s="96"/>
    </row>
    <row r="42137" hidden="1">
      <c r="E42137" s="96"/>
    </row>
    <row r="42138" hidden="1">
      <c r="E42138" s="96"/>
    </row>
    <row r="42139" hidden="1">
      <c r="E42139" s="96"/>
    </row>
    <row r="42140" hidden="1">
      <c r="E42140" s="96"/>
    </row>
    <row r="42141" hidden="1">
      <c r="E42141" s="96"/>
    </row>
    <row r="42142" hidden="1">
      <c r="E42142" s="96"/>
    </row>
    <row r="42143" hidden="1">
      <c r="E42143" s="96"/>
    </row>
    <row r="42144" hidden="1">
      <c r="E42144" s="96"/>
    </row>
    <row r="42145" hidden="1">
      <c r="E42145" s="96"/>
    </row>
    <row r="42146" hidden="1">
      <c r="E42146" s="96"/>
    </row>
    <row r="42147" hidden="1">
      <c r="E42147" s="96"/>
    </row>
    <row r="42148" hidden="1">
      <c r="E42148" s="96"/>
    </row>
    <row r="42149" hidden="1">
      <c r="E42149" s="96"/>
    </row>
    <row r="42150" hidden="1">
      <c r="E42150" s="96"/>
    </row>
    <row r="42151" hidden="1">
      <c r="E42151" s="96"/>
    </row>
    <row r="42152" hidden="1">
      <c r="E42152" s="96"/>
    </row>
    <row r="42153" hidden="1">
      <c r="E42153" s="96"/>
    </row>
    <row r="42154" hidden="1">
      <c r="E42154" s="96"/>
    </row>
    <row r="42155" hidden="1">
      <c r="E42155" s="96"/>
    </row>
    <row r="42156" hidden="1">
      <c r="E42156" s="96"/>
    </row>
    <row r="42157" hidden="1">
      <c r="E42157" s="96"/>
    </row>
    <row r="42158" hidden="1">
      <c r="E42158" s="96"/>
    </row>
    <row r="42159" hidden="1">
      <c r="E42159" s="96"/>
    </row>
    <row r="42160" hidden="1">
      <c r="E42160" s="96"/>
    </row>
    <row r="42161" hidden="1">
      <c r="E42161" s="96"/>
    </row>
    <row r="42162" hidden="1">
      <c r="E42162" s="96"/>
    </row>
    <row r="42163" hidden="1">
      <c r="E42163" s="96"/>
    </row>
    <row r="42164" hidden="1">
      <c r="E42164" s="96"/>
    </row>
    <row r="42165" hidden="1">
      <c r="E42165" s="96"/>
    </row>
    <row r="42166" hidden="1">
      <c r="E42166" s="96"/>
    </row>
    <row r="42167" hidden="1">
      <c r="E42167" s="96"/>
    </row>
    <row r="42168" hidden="1">
      <c r="E42168" s="96"/>
    </row>
    <row r="42169" hidden="1">
      <c r="E42169" s="96"/>
    </row>
    <row r="42170" hidden="1">
      <c r="E42170" s="96"/>
    </row>
    <row r="42171" hidden="1">
      <c r="E42171" s="96"/>
    </row>
    <row r="42172" hidden="1">
      <c r="E42172" s="96"/>
    </row>
    <row r="42173" hidden="1">
      <c r="E42173" s="96"/>
    </row>
    <row r="42174" hidden="1">
      <c r="E42174" s="96"/>
    </row>
    <row r="42175" hidden="1">
      <c r="E42175" s="96"/>
    </row>
    <row r="42176" hidden="1">
      <c r="E42176" s="96"/>
    </row>
    <row r="42177" hidden="1">
      <c r="E42177" s="96"/>
    </row>
    <row r="42178" hidden="1">
      <c r="E42178" s="96"/>
    </row>
    <row r="42179" hidden="1">
      <c r="E42179" s="96"/>
    </row>
    <row r="42180" hidden="1">
      <c r="E42180" s="96"/>
    </row>
    <row r="42181" hidden="1">
      <c r="E42181" s="96"/>
    </row>
    <row r="42182" hidden="1">
      <c r="E42182" s="96"/>
    </row>
    <row r="42183" hidden="1">
      <c r="E42183" s="96"/>
    </row>
    <row r="42184" hidden="1">
      <c r="E42184" s="96"/>
    </row>
    <row r="42185" hidden="1">
      <c r="E42185" s="96"/>
    </row>
    <row r="42186" hidden="1">
      <c r="E42186" s="96"/>
    </row>
    <row r="42187" hidden="1">
      <c r="E42187" s="96"/>
    </row>
    <row r="42188" hidden="1">
      <c r="E42188" s="96"/>
    </row>
    <row r="42189" hidden="1">
      <c r="E42189" s="96"/>
    </row>
    <row r="42190" hidden="1">
      <c r="E42190" s="96"/>
    </row>
    <row r="42191" hidden="1">
      <c r="E42191" s="96"/>
    </row>
    <row r="42192" hidden="1">
      <c r="E42192" s="96"/>
    </row>
    <row r="42193" hidden="1">
      <c r="E42193" s="96"/>
    </row>
    <row r="42194" hidden="1">
      <c r="E42194" s="96"/>
    </row>
    <row r="42195" hidden="1">
      <c r="E42195" s="96"/>
    </row>
    <row r="42196" hidden="1">
      <c r="E42196" s="96"/>
    </row>
    <row r="42197" hidden="1">
      <c r="E42197" s="96"/>
    </row>
    <row r="42198" hidden="1">
      <c r="E42198" s="96"/>
    </row>
    <row r="42199" hidden="1">
      <c r="E42199" s="96"/>
    </row>
    <row r="42200" hidden="1">
      <c r="E42200" s="96"/>
    </row>
    <row r="42201" hidden="1">
      <c r="E42201" s="96"/>
    </row>
    <row r="42202" hidden="1">
      <c r="E42202" s="96"/>
    </row>
    <row r="42203" hidden="1">
      <c r="E42203" s="96"/>
    </row>
    <row r="42204" hidden="1">
      <c r="E42204" s="96"/>
    </row>
    <row r="42205" hidden="1">
      <c r="E42205" s="96"/>
    </row>
    <row r="42206" hidden="1">
      <c r="E42206" s="96"/>
    </row>
    <row r="42207" hidden="1">
      <c r="E42207" s="96"/>
    </row>
    <row r="42208" hidden="1">
      <c r="E42208" s="96"/>
    </row>
    <row r="42209" hidden="1">
      <c r="E42209" s="96"/>
    </row>
    <row r="42210" hidden="1">
      <c r="E42210" s="96"/>
    </row>
    <row r="42211" hidden="1">
      <c r="E42211" s="96"/>
    </row>
    <row r="42212" hidden="1">
      <c r="E42212" s="96"/>
    </row>
    <row r="42213" hidden="1">
      <c r="E42213" s="96"/>
    </row>
    <row r="42214" hidden="1">
      <c r="E42214" s="96"/>
    </row>
    <row r="42215" hidden="1">
      <c r="E42215" s="96"/>
    </row>
    <row r="42216" hidden="1">
      <c r="E42216" s="96"/>
    </row>
    <row r="42217" hidden="1">
      <c r="E42217" s="96"/>
    </row>
    <row r="42218" hidden="1">
      <c r="E42218" s="96"/>
    </row>
    <row r="42219" hidden="1">
      <c r="E42219" s="96"/>
    </row>
    <row r="42220" hidden="1">
      <c r="E42220" s="96"/>
    </row>
    <row r="42221" hidden="1">
      <c r="E42221" s="96"/>
    </row>
    <row r="42222" hidden="1">
      <c r="E42222" s="96"/>
    </row>
    <row r="42223" hidden="1">
      <c r="E42223" s="96"/>
    </row>
    <row r="42224" hidden="1">
      <c r="E42224" s="96"/>
    </row>
    <row r="42225" hidden="1">
      <c r="E42225" s="96"/>
    </row>
    <row r="42226" hidden="1">
      <c r="E42226" s="96"/>
    </row>
    <row r="42227" hidden="1">
      <c r="E42227" s="96"/>
    </row>
    <row r="42228" hidden="1">
      <c r="E42228" s="96"/>
    </row>
    <row r="42229" hidden="1">
      <c r="E42229" s="96"/>
    </row>
    <row r="42230" hidden="1">
      <c r="E42230" s="96"/>
    </row>
    <row r="42231" hidden="1">
      <c r="E42231" s="96"/>
    </row>
    <row r="42232" hidden="1">
      <c r="E42232" s="96"/>
    </row>
    <row r="42233" hidden="1">
      <c r="E42233" s="96"/>
    </row>
    <row r="42234" hidden="1">
      <c r="E42234" s="96"/>
    </row>
    <row r="42235" hidden="1">
      <c r="E42235" s="96"/>
    </row>
    <row r="42236" hidden="1">
      <c r="E42236" s="96"/>
    </row>
    <row r="42237" hidden="1">
      <c r="E42237" s="96"/>
    </row>
    <row r="42238" hidden="1">
      <c r="E42238" s="96"/>
    </row>
    <row r="42239" hidden="1">
      <c r="E42239" s="96"/>
    </row>
    <row r="42240" hidden="1">
      <c r="E42240" s="96"/>
    </row>
    <row r="42241" hidden="1">
      <c r="E42241" s="96"/>
    </row>
    <row r="42242" hidden="1">
      <c r="E42242" s="96"/>
    </row>
    <row r="42243" hidden="1">
      <c r="E42243" s="96"/>
    </row>
    <row r="42244" hidden="1">
      <c r="E42244" s="96"/>
    </row>
    <row r="42245" hidden="1">
      <c r="E42245" s="96"/>
    </row>
    <row r="42246" hidden="1">
      <c r="E42246" s="96"/>
    </row>
    <row r="42247" hidden="1">
      <c r="E42247" s="96"/>
    </row>
    <row r="42248" hidden="1">
      <c r="E42248" s="96"/>
    </row>
    <row r="42249" hidden="1">
      <c r="E42249" s="96"/>
    </row>
    <row r="42250" hidden="1">
      <c r="E42250" s="96"/>
    </row>
    <row r="42251" hidden="1">
      <c r="E42251" s="96"/>
    </row>
    <row r="42252" hidden="1">
      <c r="E42252" s="96"/>
    </row>
    <row r="42253" hidden="1">
      <c r="E42253" s="96"/>
    </row>
    <row r="42254" hidden="1">
      <c r="E42254" s="96"/>
    </row>
    <row r="42255" hidden="1">
      <c r="E42255" s="96"/>
    </row>
    <row r="42256" hidden="1">
      <c r="E42256" s="96"/>
    </row>
    <row r="42257" hidden="1">
      <c r="E42257" s="96"/>
    </row>
    <row r="42258" hidden="1">
      <c r="E42258" s="96"/>
    </row>
    <row r="42259" hidden="1">
      <c r="E42259" s="96"/>
    </row>
    <row r="42260" hidden="1">
      <c r="E42260" s="96"/>
    </row>
    <row r="42261" hidden="1">
      <c r="E42261" s="96"/>
    </row>
    <row r="42262" hidden="1">
      <c r="E42262" s="96"/>
    </row>
    <row r="42263" hidden="1">
      <c r="E42263" s="96"/>
    </row>
    <row r="42264" hidden="1">
      <c r="E42264" s="96"/>
    </row>
    <row r="42265" hidden="1">
      <c r="E42265" s="96"/>
    </row>
    <row r="42266" hidden="1">
      <c r="E42266" s="96"/>
    </row>
    <row r="42267" hidden="1">
      <c r="E42267" s="96"/>
    </row>
    <row r="42268" hidden="1">
      <c r="E42268" s="96"/>
    </row>
    <row r="42269" hidden="1">
      <c r="E42269" s="96"/>
    </row>
    <row r="42270" hidden="1">
      <c r="E42270" s="96"/>
    </row>
    <row r="42271" hidden="1">
      <c r="E42271" s="96"/>
    </row>
    <row r="42272" hidden="1">
      <c r="E42272" s="96"/>
    </row>
    <row r="42273" hidden="1">
      <c r="E42273" s="96"/>
    </row>
    <row r="42274" hidden="1">
      <c r="E42274" s="96"/>
    </row>
    <row r="42275" hidden="1">
      <c r="E42275" s="96"/>
    </row>
    <row r="42276" hidden="1">
      <c r="E42276" s="96"/>
    </row>
    <row r="42277" hidden="1">
      <c r="E42277" s="96"/>
    </row>
    <row r="42278" hidden="1">
      <c r="E42278" s="96"/>
    </row>
    <row r="42279" hidden="1">
      <c r="E42279" s="96"/>
    </row>
    <row r="42280" hidden="1">
      <c r="E42280" s="96"/>
    </row>
    <row r="42281" hidden="1">
      <c r="E42281" s="96"/>
    </row>
    <row r="42282" hidden="1">
      <c r="E42282" s="96"/>
    </row>
    <row r="42283" hidden="1">
      <c r="E42283" s="96"/>
    </row>
    <row r="42284" hidden="1">
      <c r="E42284" s="96"/>
    </row>
    <row r="42285" hidden="1">
      <c r="E42285" s="96"/>
    </row>
    <row r="42286" hidden="1">
      <c r="E42286" s="96"/>
    </row>
    <row r="42287" hidden="1">
      <c r="E42287" s="96"/>
    </row>
    <row r="42288" hidden="1">
      <c r="E42288" s="96"/>
    </row>
    <row r="42289" hidden="1">
      <c r="E42289" s="96"/>
    </row>
    <row r="42290" hidden="1">
      <c r="E42290" s="96"/>
    </row>
    <row r="42291" hidden="1">
      <c r="E42291" s="96"/>
    </row>
    <row r="42292" hidden="1">
      <c r="E42292" s="96"/>
    </row>
    <row r="42293" hidden="1">
      <c r="E42293" s="96"/>
    </row>
    <row r="42294" hidden="1">
      <c r="E42294" s="96"/>
    </row>
    <row r="42295" hidden="1">
      <c r="E42295" s="96"/>
    </row>
    <row r="42296" hidden="1">
      <c r="E42296" s="96"/>
    </row>
    <row r="42297" hidden="1">
      <c r="E42297" s="96"/>
    </row>
    <row r="42298" hidden="1">
      <c r="E42298" s="96"/>
    </row>
    <row r="42299" hidden="1">
      <c r="E42299" s="96"/>
    </row>
    <row r="42300" hidden="1">
      <c r="E42300" s="96"/>
    </row>
    <row r="42301" hidden="1">
      <c r="E42301" s="96"/>
    </row>
    <row r="42302" hidden="1">
      <c r="E42302" s="96"/>
    </row>
    <row r="42303" hidden="1">
      <c r="E42303" s="96"/>
    </row>
    <row r="42304" hidden="1">
      <c r="E42304" s="96"/>
    </row>
    <row r="42305" hidden="1">
      <c r="E42305" s="96"/>
    </row>
    <row r="42306" hidden="1">
      <c r="E42306" s="96"/>
    </row>
    <row r="42307" hidden="1">
      <c r="E42307" s="96"/>
    </row>
    <row r="42308" hidden="1">
      <c r="E42308" s="96"/>
    </row>
    <row r="42309" hidden="1">
      <c r="E42309" s="96"/>
    </row>
    <row r="42310" hidden="1">
      <c r="E42310" s="96"/>
    </row>
    <row r="42311" hidden="1">
      <c r="E42311" s="96"/>
    </row>
    <row r="42312" hidden="1">
      <c r="E42312" s="96"/>
    </row>
    <row r="42313" hidden="1">
      <c r="E42313" s="96"/>
    </row>
    <row r="42314" hidden="1">
      <c r="E42314" s="96"/>
    </row>
    <row r="42315" hidden="1">
      <c r="E42315" s="96"/>
    </row>
    <row r="42316" hidden="1">
      <c r="E42316" s="96"/>
    </row>
    <row r="42317" hidden="1">
      <c r="E42317" s="96"/>
    </row>
    <row r="42318" hidden="1">
      <c r="E42318" s="96"/>
    </row>
    <row r="42319" hidden="1">
      <c r="E42319" s="96"/>
    </row>
    <row r="42320" hidden="1">
      <c r="E42320" s="96"/>
    </row>
    <row r="42321" hidden="1">
      <c r="E42321" s="96"/>
    </row>
    <row r="42322" hidden="1">
      <c r="E42322" s="96"/>
    </row>
    <row r="42323" hidden="1">
      <c r="E42323" s="96"/>
    </row>
    <row r="42324" hidden="1">
      <c r="E42324" s="96"/>
    </row>
    <row r="42325" hidden="1">
      <c r="E42325" s="96"/>
    </row>
    <row r="42326" hidden="1">
      <c r="E42326" s="96"/>
    </row>
    <row r="42327" hidden="1">
      <c r="E42327" s="96"/>
    </row>
    <row r="42328" hidden="1">
      <c r="E42328" s="96"/>
    </row>
    <row r="42329" hidden="1">
      <c r="E42329" s="96"/>
    </row>
    <row r="42330" hidden="1">
      <c r="E42330" s="96"/>
    </row>
    <row r="42331" hidden="1">
      <c r="E42331" s="96"/>
    </row>
    <row r="42332" hidden="1">
      <c r="E42332" s="96"/>
    </row>
    <row r="42333" hidden="1">
      <c r="E42333" s="96"/>
    </row>
    <row r="42334" hidden="1">
      <c r="E42334" s="96"/>
    </row>
    <row r="42335" hidden="1">
      <c r="E42335" s="96"/>
    </row>
    <row r="42336" hidden="1">
      <c r="E42336" s="96"/>
    </row>
    <row r="42337" hidden="1">
      <c r="E42337" s="96"/>
    </row>
    <row r="42338" hidden="1">
      <c r="E42338" s="96"/>
    </row>
    <row r="42339" hidden="1">
      <c r="E42339" s="96"/>
    </row>
    <row r="42340" hidden="1">
      <c r="E42340" s="96"/>
    </row>
    <row r="42341" hidden="1">
      <c r="E42341" s="96"/>
    </row>
    <row r="42342" hidden="1">
      <c r="E42342" s="96"/>
    </row>
    <row r="42343" hidden="1">
      <c r="E42343" s="96"/>
    </row>
    <row r="42344" hidden="1">
      <c r="E42344" s="96"/>
    </row>
    <row r="42345" hidden="1">
      <c r="E42345" s="96"/>
    </row>
    <row r="42346" hidden="1">
      <c r="E42346" s="96"/>
    </row>
    <row r="42347" hidden="1">
      <c r="E42347" s="96"/>
    </row>
    <row r="42348" hidden="1">
      <c r="E42348" s="96"/>
    </row>
    <row r="42349" hidden="1">
      <c r="E42349" s="96"/>
    </row>
    <row r="42350" hidden="1">
      <c r="E42350" s="96"/>
    </row>
    <row r="42351" hidden="1">
      <c r="E42351" s="96"/>
    </row>
    <row r="42352" hidden="1">
      <c r="E42352" s="96"/>
    </row>
    <row r="42353" hidden="1">
      <c r="E42353" s="96"/>
    </row>
    <row r="42354" hidden="1">
      <c r="E42354" s="96"/>
    </row>
    <row r="42355" hidden="1">
      <c r="E42355" s="96"/>
    </row>
    <row r="42356" hidden="1">
      <c r="E42356" s="96"/>
    </row>
    <row r="42357" hidden="1">
      <c r="E42357" s="96"/>
    </row>
    <row r="42358" hidden="1">
      <c r="E42358" s="96"/>
    </row>
    <row r="42359" hidden="1">
      <c r="E42359" s="96"/>
    </row>
    <row r="42360" hidden="1">
      <c r="E42360" s="96"/>
    </row>
    <row r="42361" hidden="1">
      <c r="E42361" s="96"/>
    </row>
    <row r="42362" hidden="1">
      <c r="E42362" s="96"/>
    </row>
    <row r="42363" hidden="1">
      <c r="E42363" s="96"/>
    </row>
    <row r="42364" hidden="1">
      <c r="E42364" s="96"/>
    </row>
    <row r="42365" hidden="1">
      <c r="E42365" s="96"/>
    </row>
    <row r="42366" hidden="1">
      <c r="E42366" s="96"/>
    </row>
    <row r="42367" hidden="1">
      <c r="E42367" s="96"/>
    </row>
    <row r="42368" hidden="1">
      <c r="E42368" s="96"/>
    </row>
    <row r="42369" hidden="1">
      <c r="E42369" s="96"/>
    </row>
    <row r="42370" hidden="1">
      <c r="E42370" s="96"/>
    </row>
    <row r="42371" hidden="1">
      <c r="E42371" s="96"/>
    </row>
    <row r="42372" hidden="1">
      <c r="E42372" s="96"/>
    </row>
    <row r="42373" hidden="1">
      <c r="E42373" s="96"/>
    </row>
    <row r="42374" hidden="1">
      <c r="E42374" s="96"/>
    </row>
    <row r="42375" hidden="1">
      <c r="E42375" s="96"/>
    </row>
    <row r="42376" hidden="1">
      <c r="E42376" s="96"/>
    </row>
    <row r="42377" hidden="1">
      <c r="E42377" s="96"/>
    </row>
    <row r="42378" hidden="1">
      <c r="E42378" s="96"/>
    </row>
    <row r="42379" hidden="1">
      <c r="E42379" s="96"/>
    </row>
    <row r="42380" hidden="1">
      <c r="E42380" s="96"/>
    </row>
    <row r="42381" hidden="1">
      <c r="E42381" s="96"/>
    </row>
    <row r="42382" hidden="1">
      <c r="E42382" s="96"/>
    </row>
    <row r="42383" hidden="1">
      <c r="E42383" s="96"/>
    </row>
    <row r="42384" hidden="1">
      <c r="E42384" s="96"/>
    </row>
    <row r="42385" hidden="1">
      <c r="E42385" s="96"/>
    </row>
    <row r="42386" hidden="1">
      <c r="E42386" s="96"/>
    </row>
    <row r="42387" hidden="1">
      <c r="E42387" s="96"/>
    </row>
    <row r="42388" hidden="1">
      <c r="E42388" s="96"/>
    </row>
    <row r="42389" hidden="1">
      <c r="E42389" s="96"/>
    </row>
    <row r="42390" hidden="1">
      <c r="E42390" s="96"/>
    </row>
    <row r="42391" hidden="1">
      <c r="E42391" s="96"/>
    </row>
    <row r="42392" hidden="1">
      <c r="E42392" s="96"/>
    </row>
    <row r="42393" hidden="1">
      <c r="E42393" s="96"/>
    </row>
    <row r="42394" hidden="1">
      <c r="E42394" s="96"/>
    </row>
    <row r="42395" hidden="1">
      <c r="E42395" s="96"/>
    </row>
    <row r="42396" hidden="1">
      <c r="E42396" s="96"/>
    </row>
    <row r="42397" hidden="1">
      <c r="E42397" s="96"/>
    </row>
    <row r="42398" hidden="1">
      <c r="E42398" s="96"/>
    </row>
    <row r="42399" hidden="1">
      <c r="E42399" s="96"/>
    </row>
    <row r="42400" hidden="1">
      <c r="E42400" s="96"/>
    </row>
    <row r="42401" hidden="1">
      <c r="E42401" s="96"/>
    </row>
    <row r="42402" hidden="1">
      <c r="E42402" s="96"/>
    </row>
    <row r="42403" hidden="1">
      <c r="E42403" s="96"/>
    </row>
    <row r="42404" hidden="1">
      <c r="E42404" s="96"/>
    </row>
    <row r="42405" hidden="1">
      <c r="E42405" s="96"/>
    </row>
    <row r="42406" hidden="1">
      <c r="E42406" s="96"/>
    </row>
    <row r="42407" hidden="1">
      <c r="E42407" s="96"/>
    </row>
    <row r="42408" hidden="1">
      <c r="E42408" s="96"/>
    </row>
    <row r="42409" hidden="1">
      <c r="E42409" s="96"/>
    </row>
    <row r="42410" hidden="1">
      <c r="E42410" s="96"/>
    </row>
    <row r="42411" hidden="1">
      <c r="E42411" s="96"/>
    </row>
    <row r="42412" hidden="1">
      <c r="E42412" s="96"/>
    </row>
    <row r="42413" hidden="1">
      <c r="E42413" s="96"/>
    </row>
    <row r="42414" hidden="1">
      <c r="E42414" s="96"/>
    </row>
    <row r="42415" hidden="1">
      <c r="E42415" s="96"/>
    </row>
    <row r="42416" hidden="1">
      <c r="E42416" s="96"/>
    </row>
    <row r="42417" hidden="1">
      <c r="E42417" s="96"/>
    </row>
    <row r="42418" hidden="1">
      <c r="E42418" s="96"/>
    </row>
    <row r="42419" hidden="1">
      <c r="E42419" s="96"/>
    </row>
    <row r="42420" hidden="1">
      <c r="E42420" s="96"/>
    </row>
    <row r="42421" hidden="1">
      <c r="E42421" s="96"/>
    </row>
    <row r="42422" hidden="1">
      <c r="E42422" s="96"/>
    </row>
    <row r="42423" hidden="1">
      <c r="E42423" s="96"/>
    </row>
    <row r="42424" hidden="1">
      <c r="E42424" s="96"/>
    </row>
    <row r="42425" hidden="1">
      <c r="E42425" s="96"/>
    </row>
    <row r="42426" hidden="1">
      <c r="E42426" s="96"/>
    </row>
    <row r="42427" hidden="1">
      <c r="E42427" s="96"/>
    </row>
    <row r="42428" hidden="1">
      <c r="E42428" s="96"/>
    </row>
    <row r="42429" hidden="1">
      <c r="E42429" s="96"/>
    </row>
    <row r="42430" hidden="1">
      <c r="E42430" s="96"/>
    </row>
    <row r="42431" hidden="1">
      <c r="E42431" s="96"/>
    </row>
    <row r="42432" hidden="1">
      <c r="E42432" s="96"/>
    </row>
    <row r="42433" hidden="1">
      <c r="E42433" s="96"/>
    </row>
    <row r="42434" hidden="1">
      <c r="E42434" s="96"/>
    </row>
    <row r="42435" hidden="1">
      <c r="E42435" s="96"/>
    </row>
    <row r="42436" hidden="1">
      <c r="E42436" s="96"/>
    </row>
    <row r="42437" hidden="1">
      <c r="E42437" s="96"/>
    </row>
    <row r="42438" hidden="1">
      <c r="E42438" s="96"/>
    </row>
    <row r="42439" hidden="1">
      <c r="E42439" s="96"/>
    </row>
    <row r="42440" hidden="1">
      <c r="E42440" s="96"/>
    </row>
    <row r="42441" hidden="1">
      <c r="E42441" s="96"/>
    </row>
    <row r="42442" hidden="1">
      <c r="E42442" s="96"/>
    </row>
    <row r="42443" hidden="1">
      <c r="E42443" s="96"/>
    </row>
    <row r="42444" hidden="1">
      <c r="E42444" s="96"/>
    </row>
    <row r="42445" hidden="1">
      <c r="E42445" s="96"/>
    </row>
    <row r="42446" hidden="1">
      <c r="E42446" s="96"/>
    </row>
    <row r="42447" hidden="1">
      <c r="E42447" s="96"/>
    </row>
    <row r="42448" hidden="1">
      <c r="E42448" s="96"/>
    </row>
    <row r="42449" hidden="1">
      <c r="E42449" s="96"/>
    </row>
    <row r="42450" hidden="1">
      <c r="E42450" s="96"/>
    </row>
    <row r="42451" hidden="1">
      <c r="E42451" s="96"/>
    </row>
    <row r="42452" hidden="1">
      <c r="E42452" s="96"/>
    </row>
    <row r="42453" hidden="1">
      <c r="E42453" s="96"/>
    </row>
    <row r="42454" hidden="1">
      <c r="E42454" s="96"/>
    </row>
    <row r="42455" hidden="1">
      <c r="E42455" s="96"/>
    </row>
    <row r="42456" hidden="1">
      <c r="E42456" s="96"/>
    </row>
    <row r="42457" hidden="1">
      <c r="E42457" s="96"/>
    </row>
    <row r="42458" hidden="1">
      <c r="E42458" s="96"/>
    </row>
    <row r="42459" hidden="1">
      <c r="E42459" s="96"/>
    </row>
    <row r="42460" hidden="1">
      <c r="E42460" s="96"/>
    </row>
    <row r="42461" hidden="1">
      <c r="E42461" s="96"/>
    </row>
    <row r="42462" hidden="1">
      <c r="E42462" s="96"/>
    </row>
    <row r="42463" hidden="1">
      <c r="E42463" s="96"/>
    </row>
    <row r="42464" hidden="1">
      <c r="E42464" s="96"/>
    </row>
    <row r="42465" hidden="1">
      <c r="E42465" s="96"/>
    </row>
    <row r="42466" hidden="1">
      <c r="E42466" s="96"/>
    </row>
    <row r="42467" hidden="1">
      <c r="E42467" s="96"/>
    </row>
    <row r="42468" hidden="1">
      <c r="E42468" s="96"/>
    </row>
    <row r="42469" hidden="1">
      <c r="E42469" s="96"/>
    </row>
    <row r="42470" hidden="1">
      <c r="E42470" s="96"/>
    </row>
    <row r="42471" hidden="1">
      <c r="E42471" s="96"/>
    </row>
    <row r="42472" hidden="1">
      <c r="E42472" s="96"/>
    </row>
    <row r="42473" hidden="1">
      <c r="E42473" s="96"/>
    </row>
    <row r="42474" hidden="1">
      <c r="E42474" s="96"/>
    </row>
    <row r="42475" hidden="1">
      <c r="E42475" s="96"/>
    </row>
    <row r="42476" hidden="1">
      <c r="E42476" s="96"/>
    </row>
    <row r="42477" hidden="1">
      <c r="E42477" s="96"/>
    </row>
    <row r="42478" hidden="1">
      <c r="E42478" s="96"/>
    </row>
    <row r="42479" hidden="1">
      <c r="E42479" s="96"/>
    </row>
    <row r="42480" hidden="1">
      <c r="E42480" s="96"/>
    </row>
    <row r="42481" hidden="1">
      <c r="E42481" s="96"/>
    </row>
    <row r="42482" hidden="1">
      <c r="E42482" s="96"/>
    </row>
    <row r="42483" hidden="1">
      <c r="E42483" s="96"/>
    </row>
    <row r="42484" hidden="1">
      <c r="E42484" s="96"/>
    </row>
    <row r="42485" hidden="1">
      <c r="E42485" s="96"/>
    </row>
    <row r="42486" hidden="1">
      <c r="E42486" s="96"/>
    </row>
    <row r="42487" hidden="1">
      <c r="E42487" s="96"/>
    </row>
    <row r="42488" hidden="1">
      <c r="E42488" s="96"/>
    </row>
    <row r="42489" hidden="1">
      <c r="E42489" s="96"/>
    </row>
    <row r="42490" hidden="1">
      <c r="E42490" s="96"/>
    </row>
    <row r="42491" hidden="1">
      <c r="E42491" s="96"/>
    </row>
    <row r="42492" hidden="1">
      <c r="E42492" s="96"/>
    </row>
    <row r="42493" hidden="1">
      <c r="E42493" s="96"/>
    </row>
    <row r="42494" hidden="1">
      <c r="E42494" s="96"/>
    </row>
    <row r="42495" hidden="1">
      <c r="E42495" s="96"/>
    </row>
    <row r="42496" hidden="1">
      <c r="E42496" s="96"/>
    </row>
    <row r="42497" hidden="1">
      <c r="E42497" s="96"/>
    </row>
    <row r="42498" hidden="1">
      <c r="E42498" s="96"/>
    </row>
    <row r="42499" hidden="1">
      <c r="E42499" s="96"/>
    </row>
    <row r="42500" hidden="1">
      <c r="E42500" s="96"/>
    </row>
    <row r="42501" hidden="1">
      <c r="E42501" s="96"/>
    </row>
    <row r="42502" hidden="1">
      <c r="E42502" s="96"/>
    </row>
    <row r="42503" hidden="1">
      <c r="E42503" s="96"/>
    </row>
    <row r="42504" hidden="1">
      <c r="E42504" s="96"/>
    </row>
    <row r="42505" hidden="1">
      <c r="E42505" s="96"/>
    </row>
    <row r="42506" hidden="1">
      <c r="E42506" s="96"/>
    </row>
    <row r="42507" hidden="1">
      <c r="E42507" s="96"/>
    </row>
    <row r="42508" hidden="1">
      <c r="E42508" s="96"/>
    </row>
    <row r="42509" hidden="1">
      <c r="E42509" s="96"/>
    </row>
    <row r="42510" hidden="1">
      <c r="E42510" s="96"/>
    </row>
    <row r="42511" hidden="1">
      <c r="E42511" s="96"/>
    </row>
    <row r="42512" hidden="1">
      <c r="E42512" s="96"/>
    </row>
    <row r="42513" hidden="1">
      <c r="E42513" s="96"/>
    </row>
    <row r="42514" hidden="1">
      <c r="E42514" s="96"/>
    </row>
    <row r="42515" hidden="1">
      <c r="E42515" s="96"/>
    </row>
    <row r="42516" hidden="1">
      <c r="E42516" s="96"/>
    </row>
    <row r="42517" hidden="1">
      <c r="E42517" s="96"/>
    </row>
    <row r="42518" hidden="1">
      <c r="E42518" s="96"/>
    </row>
    <row r="42519" hidden="1">
      <c r="E42519" s="96"/>
    </row>
    <row r="42520" hidden="1">
      <c r="E42520" s="96"/>
    </row>
    <row r="42521" hidden="1">
      <c r="E42521" s="96"/>
    </row>
    <row r="42522" hidden="1">
      <c r="E42522" s="96"/>
    </row>
    <row r="42523" hidden="1">
      <c r="E42523" s="96"/>
    </row>
    <row r="42524" hidden="1">
      <c r="E42524" s="96"/>
    </row>
    <row r="42525" hidden="1">
      <c r="E42525" s="96"/>
    </row>
    <row r="42526" hidden="1">
      <c r="E42526" s="96"/>
    </row>
    <row r="42527" hidden="1">
      <c r="E42527" s="96"/>
    </row>
    <row r="42528" hidden="1">
      <c r="E42528" s="96"/>
    </row>
    <row r="42529" hidden="1">
      <c r="E42529" s="96"/>
    </row>
    <row r="42530" hidden="1">
      <c r="E42530" s="96"/>
    </row>
    <row r="42531" hidden="1">
      <c r="E42531" s="96"/>
    </row>
    <row r="42532" hidden="1">
      <c r="E42532" s="96"/>
    </row>
    <row r="42533" hidden="1">
      <c r="E42533" s="96"/>
    </row>
    <row r="42534" hidden="1">
      <c r="E42534" s="96"/>
    </row>
    <row r="42535" hidden="1">
      <c r="E42535" s="96"/>
    </row>
    <row r="42536" hidden="1">
      <c r="E42536" s="96"/>
    </row>
    <row r="42537" hidden="1">
      <c r="E42537" s="96"/>
    </row>
    <row r="42538" hidden="1">
      <c r="E42538" s="96"/>
    </row>
    <row r="42539" hidden="1">
      <c r="E42539" s="96"/>
    </row>
    <row r="42540" hidden="1">
      <c r="E42540" s="96"/>
    </row>
    <row r="42541" hidden="1">
      <c r="E42541" s="96"/>
    </row>
    <row r="42542" hidden="1">
      <c r="E42542" s="96"/>
    </row>
    <row r="42543" hidden="1">
      <c r="E42543" s="96"/>
    </row>
    <row r="42544" hidden="1">
      <c r="E42544" s="96"/>
    </row>
    <row r="42545" hidden="1">
      <c r="E42545" s="96"/>
    </row>
    <row r="42546" hidden="1">
      <c r="E42546" s="96"/>
    </row>
    <row r="42547" hidden="1">
      <c r="E42547" s="96"/>
    </row>
    <row r="42548" hidden="1">
      <c r="E42548" s="96"/>
    </row>
    <row r="42549" hidden="1">
      <c r="E42549" s="96"/>
    </row>
    <row r="42550" hidden="1">
      <c r="E42550" s="96"/>
    </row>
    <row r="42551" hidden="1">
      <c r="E42551" s="96"/>
    </row>
    <row r="42552" hidden="1">
      <c r="E42552" s="96"/>
    </row>
    <row r="42553" hidden="1">
      <c r="E42553" s="96"/>
    </row>
    <row r="42554" hidden="1">
      <c r="E42554" s="96"/>
    </row>
    <row r="42555" hidden="1">
      <c r="E42555" s="96"/>
    </row>
    <row r="42556" hidden="1">
      <c r="E42556" s="96"/>
    </row>
    <row r="42557" hidden="1">
      <c r="E42557" s="96"/>
    </row>
    <row r="42558" hidden="1">
      <c r="E42558" s="96"/>
    </row>
    <row r="42559" hidden="1">
      <c r="E42559" s="96"/>
    </row>
    <row r="42560" hidden="1">
      <c r="E42560" s="96"/>
    </row>
    <row r="42561" hidden="1">
      <c r="E42561" s="96"/>
    </row>
    <row r="42562" hidden="1">
      <c r="E42562" s="96"/>
    </row>
    <row r="42563" hidden="1">
      <c r="E42563" s="96"/>
    </row>
    <row r="42564" hidden="1">
      <c r="E42564" s="96"/>
    </row>
    <row r="42565" hidden="1">
      <c r="E42565" s="96"/>
    </row>
    <row r="42566" hidden="1">
      <c r="E42566" s="96"/>
    </row>
    <row r="42567" hidden="1">
      <c r="E42567" s="96"/>
    </row>
    <row r="42568" hidden="1">
      <c r="E42568" s="96"/>
    </row>
    <row r="42569" hidden="1">
      <c r="E42569" s="96"/>
    </row>
    <row r="42570" hidden="1">
      <c r="E42570" s="96"/>
    </row>
    <row r="42571" hidden="1">
      <c r="E42571" s="96"/>
    </row>
    <row r="42572" hidden="1">
      <c r="E42572" s="96"/>
    </row>
    <row r="42573" hidden="1">
      <c r="E42573" s="96"/>
    </row>
    <row r="42574" hidden="1">
      <c r="E42574" s="96"/>
    </row>
    <row r="42575" hidden="1">
      <c r="E42575" s="96"/>
    </row>
    <row r="42576" hidden="1">
      <c r="E42576" s="96"/>
    </row>
    <row r="42577" hidden="1">
      <c r="E42577" s="96"/>
    </row>
    <row r="42578" hidden="1">
      <c r="E42578" s="96"/>
    </row>
    <row r="42579" hidden="1">
      <c r="E42579" s="96"/>
    </row>
    <row r="42580" hidden="1">
      <c r="E42580" s="96"/>
    </row>
    <row r="42581" hidden="1">
      <c r="E42581" s="96"/>
    </row>
    <row r="42582" hidden="1">
      <c r="E42582" s="96"/>
    </row>
    <row r="42583" hidden="1">
      <c r="E42583" s="96"/>
    </row>
    <row r="42584" hidden="1">
      <c r="E42584" s="96"/>
    </row>
    <row r="42585" hidden="1">
      <c r="E42585" s="96"/>
    </row>
    <row r="42586" hidden="1">
      <c r="E42586" s="96"/>
    </row>
    <row r="42587" hidden="1">
      <c r="E42587" s="96"/>
    </row>
    <row r="42588" hidden="1">
      <c r="E42588" s="96"/>
    </row>
    <row r="42589" hidden="1">
      <c r="E42589" s="96"/>
    </row>
    <row r="42590" hidden="1">
      <c r="E42590" s="96"/>
    </row>
    <row r="42591" hidden="1">
      <c r="E42591" s="96"/>
    </row>
    <row r="42592" hidden="1">
      <c r="E42592" s="96"/>
    </row>
    <row r="42593" hidden="1">
      <c r="E42593" s="96"/>
    </row>
    <row r="42594" hidden="1">
      <c r="E42594" s="96"/>
    </row>
    <row r="42595" hidden="1">
      <c r="E42595" s="96"/>
    </row>
    <row r="42596" hidden="1">
      <c r="E42596" s="96"/>
    </row>
    <row r="42597" hidden="1">
      <c r="E42597" s="96"/>
    </row>
    <row r="42598" hidden="1">
      <c r="E42598" s="96"/>
    </row>
    <row r="42599" hidden="1">
      <c r="E42599" s="96"/>
    </row>
    <row r="42600" hidden="1">
      <c r="E42600" s="96"/>
    </row>
    <row r="42601" hidden="1">
      <c r="E42601" s="96"/>
    </row>
    <row r="42602" hidden="1">
      <c r="E42602" s="96"/>
    </row>
    <row r="42603" hidden="1">
      <c r="E42603" s="96"/>
    </row>
    <row r="42604" hidden="1">
      <c r="E42604" s="96"/>
    </row>
    <row r="42605" hidden="1">
      <c r="E42605" s="96"/>
    </row>
    <row r="42606" hidden="1">
      <c r="E42606" s="96"/>
    </row>
    <row r="42607" hidden="1">
      <c r="E42607" s="96"/>
    </row>
    <row r="42608" hidden="1">
      <c r="E42608" s="96"/>
    </row>
    <row r="42609" hidden="1">
      <c r="E42609" s="96"/>
    </row>
    <row r="42610" hidden="1">
      <c r="E42610" s="96"/>
    </row>
    <row r="42611" hidden="1">
      <c r="E42611" s="96"/>
    </row>
    <row r="42612" hidden="1">
      <c r="E42612" s="96"/>
    </row>
    <row r="42613" hidden="1">
      <c r="E42613" s="96"/>
    </row>
    <row r="42614" hidden="1">
      <c r="E42614" s="96"/>
    </row>
    <row r="42615" hidden="1">
      <c r="E42615" s="96"/>
    </row>
    <row r="42616" hidden="1">
      <c r="E42616" s="96"/>
    </row>
    <row r="42617" hidden="1">
      <c r="E42617" s="96"/>
    </row>
    <row r="42618" hidden="1">
      <c r="E42618" s="96"/>
    </row>
    <row r="42619" hidden="1">
      <c r="E42619" s="96"/>
    </row>
    <row r="42620" hidden="1">
      <c r="E42620" s="96"/>
    </row>
    <row r="42621" hidden="1">
      <c r="E42621" s="96"/>
    </row>
    <row r="42622" hidden="1">
      <c r="E42622" s="96"/>
    </row>
    <row r="42623" hidden="1">
      <c r="E42623" s="96"/>
    </row>
    <row r="42624" hidden="1">
      <c r="E42624" s="96"/>
    </row>
    <row r="42625" hidden="1">
      <c r="E42625" s="96"/>
    </row>
    <row r="42626" hidden="1">
      <c r="E42626" s="96"/>
    </row>
    <row r="42627" hidden="1">
      <c r="E42627" s="96"/>
    </row>
    <row r="42628" hidden="1">
      <c r="E42628" s="96"/>
    </row>
    <row r="42629" hidden="1">
      <c r="E42629" s="96"/>
    </row>
    <row r="42630" hidden="1">
      <c r="E42630" s="96"/>
    </row>
    <row r="42631" hidden="1">
      <c r="E42631" s="96"/>
    </row>
    <row r="42632" hidden="1">
      <c r="E42632" s="96"/>
    </row>
    <row r="42633" hidden="1">
      <c r="E42633" s="96"/>
    </row>
    <row r="42634" hidden="1">
      <c r="E42634" s="96"/>
    </row>
    <row r="42635" hidden="1">
      <c r="E42635" s="96"/>
    </row>
    <row r="42636" hidden="1">
      <c r="E42636" s="96"/>
    </row>
    <row r="42637" hidden="1">
      <c r="E42637" s="96"/>
    </row>
    <row r="42638" hidden="1">
      <c r="E42638" s="96"/>
    </row>
    <row r="42639" hidden="1">
      <c r="E42639" s="96"/>
    </row>
    <row r="42640" hidden="1">
      <c r="E42640" s="96"/>
    </row>
    <row r="42641" hidden="1">
      <c r="E42641" s="96"/>
    </row>
    <row r="42642" hidden="1">
      <c r="E42642" s="96"/>
    </row>
    <row r="42643" hidden="1">
      <c r="E42643" s="96"/>
    </row>
    <row r="42644" hidden="1">
      <c r="E42644" s="96"/>
    </row>
    <row r="42645" hidden="1">
      <c r="E42645" s="96"/>
    </row>
    <row r="42646" hidden="1">
      <c r="E42646" s="96"/>
    </row>
    <row r="42647" hidden="1">
      <c r="E42647" s="96"/>
    </row>
    <row r="42648" hidden="1">
      <c r="E42648" s="96"/>
    </row>
    <row r="42649" hidden="1">
      <c r="E42649" s="96"/>
    </row>
    <row r="42650" hidden="1">
      <c r="E42650" s="96"/>
    </row>
    <row r="42651" hidden="1">
      <c r="E42651" s="96"/>
    </row>
    <row r="42652" hidden="1">
      <c r="E42652" s="96"/>
    </row>
    <row r="42653" hidden="1">
      <c r="E42653" s="96"/>
    </row>
    <row r="42654" hidden="1">
      <c r="E42654" s="96"/>
    </row>
    <row r="42655" hidden="1">
      <c r="E42655" s="96"/>
    </row>
    <row r="42656" hidden="1">
      <c r="E42656" s="96"/>
    </row>
    <row r="42657" hidden="1">
      <c r="E42657" s="96"/>
    </row>
    <row r="42658" hidden="1">
      <c r="E42658" s="96"/>
    </row>
    <row r="42659" hidden="1">
      <c r="E42659" s="96"/>
    </row>
    <row r="42660" hidden="1">
      <c r="E42660" s="96"/>
    </row>
    <row r="42661" hidden="1">
      <c r="E42661" s="96"/>
    </row>
    <row r="42662" hidden="1">
      <c r="E42662" s="96"/>
    </row>
    <row r="42663" hidden="1">
      <c r="E42663" s="96"/>
    </row>
    <row r="42664" hidden="1">
      <c r="E42664" s="96"/>
    </row>
    <row r="42665" hidden="1">
      <c r="E42665" s="96"/>
    </row>
    <row r="42666" hidden="1">
      <c r="E42666" s="96"/>
    </row>
    <row r="42667" hidden="1">
      <c r="E42667" s="96"/>
    </row>
    <row r="42668" hidden="1">
      <c r="E42668" s="96"/>
    </row>
    <row r="42669" hidden="1">
      <c r="E42669" s="96"/>
    </row>
    <row r="42670" hidden="1">
      <c r="E42670" s="96"/>
    </row>
    <row r="42671" hidden="1">
      <c r="E42671" s="96"/>
    </row>
    <row r="42672" hidden="1">
      <c r="E42672" s="96"/>
    </row>
    <row r="42673" hidden="1">
      <c r="E42673" s="96"/>
    </row>
    <row r="42674" hidden="1">
      <c r="E42674" s="96"/>
    </row>
    <row r="42675" hidden="1">
      <c r="E42675" s="96"/>
    </row>
    <row r="42676" hidden="1">
      <c r="E42676" s="96"/>
    </row>
    <row r="42677" hidden="1">
      <c r="E42677" s="96"/>
    </row>
    <row r="42678" hidden="1">
      <c r="E42678" s="96"/>
    </row>
    <row r="42679" hidden="1">
      <c r="E42679" s="96"/>
    </row>
    <row r="42680" hidden="1">
      <c r="E42680" s="96"/>
    </row>
    <row r="42681" hidden="1">
      <c r="E42681" s="96"/>
    </row>
    <row r="42682" hidden="1">
      <c r="E42682" s="96"/>
    </row>
    <row r="42683" hidden="1">
      <c r="E42683" s="96"/>
    </row>
    <row r="42684" hidden="1">
      <c r="E42684" s="96"/>
    </row>
    <row r="42685" hidden="1">
      <c r="E42685" s="96"/>
    </row>
    <row r="42686" hidden="1">
      <c r="E42686" s="96"/>
    </row>
    <row r="42687" hidden="1">
      <c r="E42687" s="96"/>
    </row>
    <row r="42688" hidden="1">
      <c r="E42688" s="96"/>
    </row>
    <row r="42689" hidden="1">
      <c r="E42689" s="96"/>
    </row>
    <row r="42690" hidden="1">
      <c r="E42690" s="96"/>
    </row>
    <row r="42691" hidden="1">
      <c r="E42691" s="96"/>
    </row>
    <row r="42692" hidden="1">
      <c r="E42692" s="96"/>
    </row>
    <row r="42693" hidden="1">
      <c r="E42693" s="96"/>
    </row>
    <row r="42694" hidden="1">
      <c r="E42694" s="96"/>
    </row>
    <row r="42695" hidden="1">
      <c r="E42695" s="96"/>
    </row>
    <row r="42696" hidden="1">
      <c r="E42696" s="96"/>
    </row>
    <row r="42697" hidden="1">
      <c r="E42697" s="96"/>
    </row>
    <row r="42698" hidden="1">
      <c r="E42698" s="96"/>
    </row>
    <row r="42699" hidden="1">
      <c r="E42699" s="96"/>
    </row>
    <row r="42700" hidden="1">
      <c r="E42700" s="96"/>
    </row>
    <row r="42701" hidden="1">
      <c r="E42701" s="96"/>
    </row>
    <row r="42702" hidden="1">
      <c r="E42702" s="96"/>
    </row>
    <row r="42703" hidden="1">
      <c r="E42703" s="96"/>
    </row>
    <row r="42704" hidden="1">
      <c r="E42704" s="96"/>
    </row>
    <row r="42705" hidden="1">
      <c r="E42705" s="96"/>
    </row>
    <row r="42706" hidden="1">
      <c r="E42706" s="96"/>
    </row>
    <row r="42707" hidden="1">
      <c r="E42707" s="96"/>
    </row>
    <row r="42708" hidden="1">
      <c r="E42708" s="96"/>
    </row>
    <row r="42709" hidden="1">
      <c r="E42709" s="96"/>
    </row>
    <row r="42710" hidden="1">
      <c r="E42710" s="96"/>
    </row>
    <row r="42711" hidden="1">
      <c r="E42711" s="96"/>
    </row>
    <row r="42712" hidden="1">
      <c r="E42712" s="96"/>
    </row>
    <row r="42713" hidden="1">
      <c r="E42713" s="96"/>
    </row>
    <row r="42714" hidden="1">
      <c r="E42714" s="96"/>
    </row>
    <row r="42715" hidden="1">
      <c r="E42715" s="96"/>
    </row>
    <row r="42716" hidden="1">
      <c r="E42716" s="96"/>
    </row>
    <row r="42717" hidden="1">
      <c r="E42717" s="96"/>
    </row>
    <row r="42718" hidden="1">
      <c r="E42718" s="96"/>
    </row>
    <row r="42719" hidden="1">
      <c r="E42719" s="96"/>
    </row>
    <row r="42720" hidden="1">
      <c r="E42720" s="96"/>
    </row>
    <row r="42721" hidden="1">
      <c r="E42721" s="96"/>
    </row>
    <row r="42722" hidden="1">
      <c r="E42722" s="96"/>
    </row>
    <row r="42723" hidden="1">
      <c r="E42723" s="96"/>
    </row>
    <row r="42724" hidden="1">
      <c r="E42724" s="96"/>
    </row>
    <row r="42725" hidden="1">
      <c r="E42725" s="96"/>
    </row>
    <row r="42726" hidden="1">
      <c r="E42726" s="96"/>
    </row>
    <row r="42727" hidden="1">
      <c r="E42727" s="96"/>
    </row>
    <row r="42728" hidden="1">
      <c r="E42728" s="96"/>
    </row>
    <row r="42729" hidden="1">
      <c r="E42729" s="96"/>
    </row>
    <row r="42730" hidden="1">
      <c r="E42730" s="96"/>
    </row>
    <row r="42731" hidden="1">
      <c r="E42731" s="96"/>
    </row>
    <row r="42732" hidden="1">
      <c r="E42732" s="96"/>
    </row>
    <row r="42733" hidden="1">
      <c r="E42733" s="96"/>
    </row>
    <row r="42734" hidden="1">
      <c r="E42734" s="96"/>
    </row>
    <row r="42735" hidden="1">
      <c r="E42735" s="96"/>
    </row>
    <row r="42736" hidden="1">
      <c r="E42736" s="96"/>
    </row>
    <row r="42737" hidden="1">
      <c r="E42737" s="96"/>
    </row>
    <row r="42738" hidden="1">
      <c r="E42738" s="96"/>
    </row>
    <row r="42739" hidden="1">
      <c r="E42739" s="96"/>
    </row>
    <row r="42740" hidden="1">
      <c r="E42740" s="96"/>
    </row>
    <row r="42741" hidden="1">
      <c r="E42741" s="96"/>
    </row>
    <row r="42742" hidden="1">
      <c r="E42742" s="96"/>
    </row>
    <row r="42743" hidden="1">
      <c r="E42743" s="96"/>
    </row>
    <row r="42744" hidden="1">
      <c r="E42744" s="96"/>
    </row>
    <row r="42745" hidden="1">
      <c r="E42745" s="96"/>
    </row>
    <row r="42746" hidden="1">
      <c r="E42746" s="96"/>
    </row>
    <row r="42747" hidden="1">
      <c r="E42747" s="96"/>
    </row>
    <row r="42748" hidden="1">
      <c r="E42748" s="96"/>
    </row>
    <row r="42749" hidden="1">
      <c r="E42749" s="96"/>
    </row>
    <row r="42750" hidden="1">
      <c r="E42750" s="96"/>
    </row>
    <row r="42751" hidden="1">
      <c r="E42751" s="96"/>
    </row>
    <row r="42752" hidden="1">
      <c r="E42752" s="96"/>
    </row>
    <row r="42753" hidden="1">
      <c r="E42753" s="96"/>
    </row>
    <row r="42754" hidden="1">
      <c r="E42754" s="96"/>
    </row>
    <row r="42755" hidden="1">
      <c r="E42755" s="96"/>
    </row>
    <row r="42756" hidden="1">
      <c r="E42756" s="96"/>
    </row>
    <row r="42757" hidden="1">
      <c r="E42757" s="96"/>
    </row>
    <row r="42758" hidden="1">
      <c r="E42758" s="96"/>
    </row>
    <row r="42759" hidden="1">
      <c r="E42759" s="96"/>
    </row>
    <row r="42760" hidden="1">
      <c r="E42760" s="96"/>
    </row>
    <row r="42761" hidden="1">
      <c r="E42761" s="96"/>
    </row>
    <row r="42762" hidden="1">
      <c r="E42762" s="96"/>
    </row>
    <row r="42763" hidden="1">
      <c r="E42763" s="96"/>
    </row>
    <row r="42764" hidden="1">
      <c r="E42764" s="96"/>
    </row>
    <row r="42765" hidden="1">
      <c r="E42765" s="96"/>
    </row>
    <row r="42766" hidden="1">
      <c r="E42766" s="96"/>
    </row>
    <row r="42767" hidden="1">
      <c r="E42767" s="96"/>
    </row>
    <row r="42768" hidden="1">
      <c r="E42768" s="96"/>
    </row>
    <row r="42769" hidden="1">
      <c r="E42769" s="96"/>
    </row>
    <row r="42770" hidden="1">
      <c r="E42770" s="96"/>
    </row>
    <row r="42771" hidden="1">
      <c r="E42771" s="96"/>
    </row>
    <row r="42772" hidden="1">
      <c r="E42772" s="96"/>
    </row>
    <row r="42773" hidden="1">
      <c r="E42773" s="96"/>
    </row>
    <row r="42774" hidden="1">
      <c r="E42774" s="96"/>
    </row>
    <row r="42775" hidden="1">
      <c r="E42775" s="96"/>
    </row>
    <row r="42776" hidden="1">
      <c r="E42776" s="96"/>
    </row>
    <row r="42777" hidden="1">
      <c r="E42777" s="96"/>
    </row>
    <row r="42778" hidden="1">
      <c r="E42778" s="96"/>
    </row>
    <row r="42779" hidden="1">
      <c r="E42779" s="96"/>
    </row>
    <row r="42780" hidden="1">
      <c r="E42780" s="96"/>
    </row>
    <row r="42781" hidden="1">
      <c r="E42781" s="96"/>
    </row>
    <row r="42782" hidden="1">
      <c r="E42782" s="96"/>
    </row>
    <row r="42783" hidden="1">
      <c r="E42783" s="96"/>
    </row>
    <row r="42784" hidden="1">
      <c r="E42784" s="96"/>
    </row>
    <row r="42785" hidden="1">
      <c r="E42785" s="96"/>
    </row>
    <row r="42786" hidden="1">
      <c r="E42786" s="96"/>
    </row>
    <row r="42787" hidden="1">
      <c r="E42787" s="96"/>
    </row>
    <row r="42788" hidden="1">
      <c r="E42788" s="96"/>
    </row>
    <row r="42789" hidden="1">
      <c r="E42789" s="96"/>
    </row>
    <row r="42790" hidden="1">
      <c r="E42790" s="96"/>
    </row>
    <row r="42791" hidden="1">
      <c r="E42791" s="96"/>
    </row>
    <row r="42792" hidden="1">
      <c r="E42792" s="96"/>
    </row>
    <row r="42793" hidden="1">
      <c r="E42793" s="96"/>
    </row>
    <row r="42794" hidden="1">
      <c r="E42794" s="96"/>
    </row>
    <row r="42795" hidden="1">
      <c r="E42795" s="96"/>
    </row>
    <row r="42796" hidden="1">
      <c r="E42796" s="96"/>
    </row>
    <row r="42797" hidden="1">
      <c r="E42797" s="96"/>
    </row>
    <row r="42798" hidden="1">
      <c r="E42798" s="96"/>
    </row>
    <row r="42799" hidden="1">
      <c r="E42799" s="96"/>
    </row>
    <row r="42800" hidden="1">
      <c r="E42800" s="96"/>
    </row>
    <row r="42801" hidden="1">
      <c r="E42801" s="96"/>
    </row>
    <row r="42802" hidden="1">
      <c r="E42802" s="96"/>
    </row>
    <row r="42803" hidden="1">
      <c r="E42803" s="96"/>
    </row>
    <row r="42804" hidden="1">
      <c r="E42804" s="96"/>
    </row>
    <row r="42805" hidden="1">
      <c r="E42805" s="96"/>
    </row>
    <row r="42806" hidden="1">
      <c r="E42806" s="96"/>
    </row>
    <row r="42807" hidden="1">
      <c r="E42807" s="96"/>
    </row>
    <row r="42808" hidden="1">
      <c r="E42808" s="96"/>
    </row>
    <row r="42809" hidden="1">
      <c r="E42809" s="96"/>
    </row>
    <row r="42810" hidden="1">
      <c r="E42810" s="96"/>
    </row>
    <row r="42811" hidden="1">
      <c r="E42811" s="96"/>
    </row>
    <row r="42812" hidden="1">
      <c r="E42812" s="96"/>
    </row>
    <row r="42813" hidden="1">
      <c r="E42813" s="96"/>
    </row>
    <row r="42814" hidden="1">
      <c r="E42814" s="96"/>
    </row>
    <row r="42815" hidden="1">
      <c r="E42815" s="96"/>
    </row>
    <row r="42816" hidden="1">
      <c r="E42816" s="96"/>
    </row>
    <row r="42817" hidden="1">
      <c r="E42817" s="96"/>
    </row>
    <row r="42818" hidden="1">
      <c r="E42818" s="96"/>
    </row>
    <row r="42819" hidden="1">
      <c r="E42819" s="96"/>
    </row>
    <row r="42820" hidden="1">
      <c r="E42820" s="96"/>
    </row>
    <row r="42821" hidden="1">
      <c r="E42821" s="96"/>
    </row>
    <row r="42822" hidden="1">
      <c r="E42822" s="96"/>
    </row>
    <row r="42823" hidden="1">
      <c r="E42823" s="96"/>
    </row>
    <row r="42824" hidden="1">
      <c r="E42824" s="96"/>
    </row>
    <row r="42825" hidden="1">
      <c r="E42825" s="96"/>
    </row>
    <row r="42826" hidden="1">
      <c r="E42826" s="96"/>
    </row>
    <row r="42827" hidden="1">
      <c r="E42827" s="96"/>
    </row>
    <row r="42828" hidden="1">
      <c r="E42828" s="96"/>
    </row>
    <row r="42829" hidden="1">
      <c r="E42829" s="96"/>
    </row>
    <row r="42830" hidden="1">
      <c r="E42830" s="96"/>
    </row>
    <row r="42831" hidden="1">
      <c r="E42831" s="96"/>
    </row>
    <row r="42832" hidden="1">
      <c r="E42832" s="96"/>
    </row>
    <row r="42833" hidden="1">
      <c r="E42833" s="96"/>
    </row>
    <row r="42834" hidden="1">
      <c r="E42834" s="96"/>
    </row>
    <row r="42835" hidden="1">
      <c r="E42835" s="96"/>
    </row>
    <row r="42836" hidden="1">
      <c r="E42836" s="96"/>
    </row>
    <row r="42837" hidden="1">
      <c r="E42837" s="96"/>
    </row>
    <row r="42838" hidden="1">
      <c r="E42838" s="96"/>
    </row>
    <row r="42839" hidden="1">
      <c r="E42839" s="96"/>
    </row>
    <row r="42840" hidden="1">
      <c r="E42840" s="96"/>
    </row>
    <row r="42841" hidden="1">
      <c r="E42841" s="96"/>
    </row>
    <row r="42842" hidden="1">
      <c r="E42842" s="96"/>
    </row>
    <row r="42843" hidden="1">
      <c r="E42843" s="96"/>
    </row>
    <row r="42844" hidden="1">
      <c r="E42844" s="96"/>
    </row>
    <row r="42845" hidden="1">
      <c r="E42845" s="96"/>
    </row>
    <row r="42846" hidden="1">
      <c r="E42846" s="96"/>
    </row>
    <row r="42847" hidden="1">
      <c r="E42847" s="96"/>
    </row>
    <row r="42848" hidden="1">
      <c r="E42848" s="96"/>
    </row>
    <row r="42849" hidden="1">
      <c r="E42849" s="96"/>
    </row>
    <row r="42850" hidden="1">
      <c r="E42850" s="96"/>
    </row>
    <row r="42851" hidden="1">
      <c r="E42851" s="96"/>
    </row>
    <row r="42852" hidden="1">
      <c r="E42852" s="96"/>
    </row>
    <row r="42853" hidden="1">
      <c r="E42853" s="96"/>
    </row>
    <row r="42854" hidden="1">
      <c r="E42854" s="96"/>
    </row>
    <row r="42855" hidden="1">
      <c r="E42855" s="96"/>
    </row>
    <row r="42856" hidden="1">
      <c r="E42856" s="96"/>
    </row>
    <row r="42857" hidden="1">
      <c r="E42857" s="96"/>
    </row>
    <row r="42858" hidden="1">
      <c r="E42858" s="96"/>
    </row>
    <row r="42859" hidden="1">
      <c r="E42859" s="96"/>
    </row>
    <row r="42860" hidden="1">
      <c r="E42860" s="96"/>
    </row>
    <row r="42861" hidden="1">
      <c r="E42861" s="96"/>
    </row>
    <row r="42862" hidden="1">
      <c r="E42862" s="96"/>
    </row>
    <row r="42863" hidden="1">
      <c r="E42863" s="96"/>
    </row>
    <row r="42864" hidden="1">
      <c r="E42864" s="96"/>
    </row>
    <row r="42865" hidden="1">
      <c r="E42865" s="96"/>
    </row>
    <row r="42866" hidden="1">
      <c r="E42866" s="96"/>
    </row>
    <row r="42867" hidden="1">
      <c r="E42867" s="96"/>
    </row>
    <row r="42868" hidden="1">
      <c r="E42868" s="96"/>
    </row>
    <row r="42869" hidden="1">
      <c r="E42869" s="96"/>
    </row>
    <row r="42870" hidden="1">
      <c r="E42870" s="96"/>
    </row>
    <row r="42871" hidden="1">
      <c r="E42871" s="96"/>
    </row>
    <row r="42872" hidden="1">
      <c r="E42872" s="96"/>
    </row>
    <row r="42873" hidden="1">
      <c r="E42873" s="96"/>
    </row>
    <row r="42874" hidden="1">
      <c r="E42874" s="96"/>
    </row>
    <row r="42875" hidden="1">
      <c r="E42875" s="96"/>
    </row>
    <row r="42876" hidden="1">
      <c r="E42876" s="96"/>
    </row>
    <row r="42877" hidden="1">
      <c r="E42877" s="96"/>
    </row>
    <row r="42878" hidden="1">
      <c r="E42878" s="96"/>
    </row>
    <row r="42879" hidden="1">
      <c r="E42879" s="96"/>
    </row>
    <row r="42880" hidden="1">
      <c r="E42880" s="96"/>
    </row>
    <row r="42881" hidden="1">
      <c r="E42881" s="96"/>
    </row>
    <row r="42882" hidden="1">
      <c r="E42882" s="96"/>
    </row>
    <row r="42883" hidden="1">
      <c r="E42883" s="96"/>
    </row>
    <row r="42884" hidden="1">
      <c r="E42884" s="96"/>
    </row>
    <row r="42885" hidden="1">
      <c r="E42885" s="96"/>
    </row>
    <row r="42886" hidden="1">
      <c r="E42886" s="96"/>
    </row>
    <row r="42887" hidden="1">
      <c r="E42887" s="96"/>
    </row>
    <row r="42888" hidden="1">
      <c r="E42888" s="96"/>
    </row>
    <row r="42889" hidden="1">
      <c r="E42889" s="96"/>
    </row>
    <row r="42890" hidden="1">
      <c r="E42890" s="96"/>
    </row>
    <row r="42891" hidden="1">
      <c r="E42891" s="96"/>
    </row>
    <row r="42892" hidden="1">
      <c r="E42892" s="96"/>
    </row>
    <row r="42893" hidden="1">
      <c r="E42893" s="96"/>
    </row>
    <row r="42894" hidden="1">
      <c r="E42894" s="96"/>
    </row>
    <row r="42895" hidden="1">
      <c r="E42895" s="96"/>
    </row>
    <row r="42896" hidden="1">
      <c r="E42896" s="96"/>
    </row>
    <row r="42897" hidden="1">
      <c r="E42897" s="96"/>
    </row>
    <row r="42898" hidden="1">
      <c r="E42898" s="96"/>
    </row>
    <row r="42899" hidden="1">
      <c r="E42899" s="96"/>
    </row>
    <row r="42900" hidden="1">
      <c r="E42900" s="96"/>
    </row>
    <row r="42901" hidden="1">
      <c r="E42901" s="96"/>
    </row>
    <row r="42902" hidden="1">
      <c r="E42902" s="96"/>
    </row>
    <row r="42903" hidden="1">
      <c r="E42903" s="96"/>
    </row>
    <row r="42904" hidden="1">
      <c r="E42904" s="96"/>
    </row>
    <row r="42905" hidden="1">
      <c r="E42905" s="96"/>
    </row>
    <row r="42906" hidden="1">
      <c r="E42906" s="96"/>
    </row>
    <row r="42907" hidden="1">
      <c r="E42907" s="96"/>
    </row>
    <row r="42908" hidden="1">
      <c r="E42908" s="96"/>
    </row>
    <row r="42909" hidden="1">
      <c r="E42909" s="96"/>
    </row>
    <row r="42910" hidden="1">
      <c r="E42910" s="96"/>
    </row>
    <row r="42911" hidden="1">
      <c r="E42911" s="96"/>
    </row>
    <row r="42912" hidden="1">
      <c r="E42912" s="96"/>
    </row>
    <row r="42913" hidden="1">
      <c r="E42913" s="96"/>
    </row>
    <row r="42914" hidden="1">
      <c r="E42914" s="96"/>
    </row>
    <row r="42915" hidden="1">
      <c r="E42915" s="96"/>
    </row>
    <row r="42916" hidden="1">
      <c r="E42916" s="96"/>
    </row>
    <row r="42917" hidden="1">
      <c r="E42917" s="96"/>
    </row>
    <row r="42918" hidden="1">
      <c r="E42918" s="96"/>
    </row>
    <row r="42919" hidden="1">
      <c r="E42919" s="96"/>
    </row>
    <row r="42920" hidden="1">
      <c r="E42920" s="96"/>
    </row>
    <row r="42921" hidden="1">
      <c r="E42921" s="96"/>
    </row>
    <row r="42922" hidden="1">
      <c r="E42922" s="96"/>
    </row>
    <row r="42923" hidden="1">
      <c r="E42923" s="96"/>
    </row>
    <row r="42924" hidden="1">
      <c r="E42924" s="96"/>
    </row>
    <row r="42925" hidden="1">
      <c r="E42925" s="96"/>
    </row>
    <row r="42926" hidden="1">
      <c r="E42926" s="96"/>
    </row>
    <row r="42927" hidden="1">
      <c r="E42927" s="96"/>
    </row>
    <row r="42928" hidden="1">
      <c r="E42928" s="96"/>
    </row>
    <row r="42929" hidden="1">
      <c r="E42929" s="96"/>
    </row>
    <row r="42930" hidden="1">
      <c r="E42930" s="96"/>
    </row>
    <row r="42931" hidden="1">
      <c r="E42931" s="96"/>
    </row>
    <row r="42932" hidden="1">
      <c r="E42932" s="96"/>
    </row>
    <row r="42933" hidden="1">
      <c r="E42933" s="96"/>
    </row>
    <row r="42934" hidden="1">
      <c r="E42934" s="96"/>
    </row>
    <row r="42935" hidden="1">
      <c r="E42935" s="96"/>
    </row>
    <row r="42936" hidden="1">
      <c r="E42936" s="96"/>
    </row>
    <row r="42937" hidden="1">
      <c r="E42937" s="96"/>
    </row>
    <row r="42938" hidden="1">
      <c r="E42938" s="96"/>
    </row>
    <row r="42939" hidden="1">
      <c r="E42939" s="96"/>
    </row>
    <row r="42940" hidden="1">
      <c r="E42940" s="96"/>
    </row>
    <row r="42941" hidden="1">
      <c r="E42941" s="96"/>
    </row>
    <row r="42942" hidden="1">
      <c r="E42942" s="96"/>
    </row>
    <row r="42943" hidden="1">
      <c r="E42943" s="96"/>
    </row>
    <row r="42944" hidden="1">
      <c r="E42944" s="96"/>
    </row>
    <row r="42945" hidden="1">
      <c r="E42945" s="96"/>
    </row>
    <row r="42946" hidden="1">
      <c r="E42946" s="96"/>
    </row>
    <row r="42947" hidden="1">
      <c r="E42947" s="96"/>
    </row>
    <row r="42948" hidden="1">
      <c r="E42948" s="96"/>
    </row>
    <row r="42949" hidden="1">
      <c r="E42949" s="96"/>
    </row>
    <row r="42950" hidden="1">
      <c r="E42950" s="96"/>
    </row>
    <row r="42951" hidden="1">
      <c r="E42951" s="96"/>
    </row>
    <row r="42952" hidden="1">
      <c r="E42952" s="96"/>
    </row>
    <row r="42953" hidden="1">
      <c r="E42953" s="96"/>
    </row>
    <row r="42954" hidden="1">
      <c r="E42954" s="96"/>
    </row>
    <row r="42955" hidden="1">
      <c r="E42955" s="96"/>
    </row>
    <row r="42956" hidden="1">
      <c r="E42956" s="96"/>
    </row>
    <row r="42957" hidden="1">
      <c r="E42957" s="96"/>
    </row>
    <row r="42958" hidden="1">
      <c r="E42958" s="96"/>
    </row>
    <row r="42959" hidden="1">
      <c r="E42959" s="96"/>
    </row>
    <row r="42960" hidden="1">
      <c r="E42960" s="96"/>
    </row>
    <row r="42961" hidden="1">
      <c r="E42961" s="96"/>
    </row>
    <row r="42962" hidden="1">
      <c r="E42962" s="96"/>
    </row>
    <row r="42963" hidden="1">
      <c r="E42963" s="96"/>
    </row>
    <row r="42964" hidden="1">
      <c r="E42964" s="96"/>
    </row>
    <row r="42965" hidden="1">
      <c r="E42965" s="96"/>
    </row>
    <row r="42966" hidden="1">
      <c r="E42966" s="96"/>
    </row>
    <row r="42967" hidden="1">
      <c r="E42967" s="96"/>
    </row>
    <row r="42968" hidden="1">
      <c r="E42968" s="96"/>
    </row>
    <row r="42969" hidden="1">
      <c r="E42969" s="96"/>
    </row>
    <row r="42970" hidden="1">
      <c r="E42970" s="96"/>
    </row>
    <row r="42971" hidden="1">
      <c r="E42971" s="96"/>
    </row>
    <row r="42972" hidden="1">
      <c r="E42972" s="96"/>
    </row>
    <row r="42973" hidden="1">
      <c r="E42973" s="96"/>
    </row>
    <row r="42974" hidden="1">
      <c r="E42974" s="96"/>
    </row>
    <row r="42975" hidden="1">
      <c r="E42975" s="96"/>
    </row>
    <row r="42976" hidden="1">
      <c r="E42976" s="96"/>
    </row>
    <row r="42977" hidden="1">
      <c r="E42977" s="96"/>
    </row>
    <row r="42978" hidden="1">
      <c r="E42978" s="96"/>
    </row>
    <row r="42979" hidden="1">
      <c r="E42979" s="96"/>
    </row>
    <row r="42980" hidden="1">
      <c r="E42980" s="96"/>
    </row>
    <row r="42981" hidden="1">
      <c r="E42981" s="96"/>
    </row>
    <row r="42982" hidden="1">
      <c r="E42982" s="96"/>
    </row>
    <row r="42983" hidden="1">
      <c r="E42983" s="96"/>
    </row>
    <row r="42984" hidden="1">
      <c r="E42984" s="96"/>
    </row>
    <row r="42985" hidden="1">
      <c r="E42985" s="96"/>
    </row>
    <row r="42986" hidden="1">
      <c r="E42986" s="96"/>
    </row>
    <row r="42987" hidden="1">
      <c r="E42987" s="96"/>
    </row>
    <row r="42988" hidden="1">
      <c r="E42988" s="96"/>
    </row>
    <row r="42989" hidden="1">
      <c r="E42989" s="96"/>
    </row>
    <row r="42990" hidden="1">
      <c r="E42990" s="96"/>
    </row>
    <row r="42991" hidden="1">
      <c r="E42991" s="96"/>
    </row>
    <row r="42992" hidden="1">
      <c r="E42992" s="96"/>
    </row>
    <row r="42993" hidden="1">
      <c r="E42993" s="96"/>
    </row>
    <row r="42994" hidden="1">
      <c r="E42994" s="96"/>
    </row>
    <row r="42995" hidden="1">
      <c r="E42995" s="96"/>
    </row>
    <row r="42996" hidden="1">
      <c r="E42996" s="96"/>
    </row>
    <row r="42997" hidden="1">
      <c r="E42997" s="96"/>
    </row>
    <row r="42998" hidden="1">
      <c r="E42998" s="96"/>
    </row>
    <row r="42999" hidden="1">
      <c r="E42999" s="96"/>
    </row>
    <row r="43000" hidden="1">
      <c r="E43000" s="96"/>
    </row>
    <row r="43001" hidden="1">
      <c r="E43001" s="96"/>
    </row>
    <row r="43002" hidden="1">
      <c r="E43002" s="96"/>
    </row>
    <row r="43003" hidden="1">
      <c r="E43003" s="96"/>
    </row>
    <row r="43004" hidden="1">
      <c r="E43004" s="96"/>
    </row>
    <row r="43005" hidden="1">
      <c r="E43005" s="96"/>
    </row>
    <row r="43006" hidden="1">
      <c r="E43006" s="96"/>
    </row>
    <row r="43007" hidden="1">
      <c r="E43007" s="96"/>
    </row>
    <row r="43008" hidden="1">
      <c r="E43008" s="96"/>
    </row>
    <row r="43009" hidden="1">
      <c r="E43009" s="96"/>
    </row>
    <row r="43010" hidden="1">
      <c r="E43010" s="96"/>
    </row>
    <row r="43011" hidden="1">
      <c r="E43011" s="96"/>
    </row>
    <row r="43012" hidden="1">
      <c r="E43012" s="96"/>
    </row>
    <row r="43013" hidden="1">
      <c r="E43013" s="96"/>
    </row>
    <row r="43014" hidden="1">
      <c r="E43014" s="96"/>
    </row>
    <row r="43015" hidden="1">
      <c r="E43015" s="96"/>
    </row>
    <row r="43016" hidden="1">
      <c r="E43016" s="96"/>
    </row>
    <row r="43017" hidden="1">
      <c r="E43017" s="96"/>
    </row>
    <row r="43018" hidden="1">
      <c r="E43018" s="96"/>
    </row>
    <row r="43019" hidden="1">
      <c r="E43019" s="96"/>
    </row>
    <row r="43020" hidden="1">
      <c r="E43020" s="96"/>
    </row>
    <row r="43021" hidden="1">
      <c r="E43021" s="96"/>
    </row>
    <row r="43022" hidden="1">
      <c r="E43022" s="96"/>
    </row>
    <row r="43023" hidden="1">
      <c r="E43023" s="96"/>
    </row>
    <row r="43024" hidden="1">
      <c r="E43024" s="96"/>
    </row>
    <row r="43025" hidden="1">
      <c r="E43025" s="96"/>
    </row>
    <row r="43026" hidden="1">
      <c r="E43026" s="96"/>
    </row>
    <row r="43027" hidden="1">
      <c r="E43027" s="96"/>
    </row>
    <row r="43028" hidden="1">
      <c r="E43028" s="96"/>
    </row>
    <row r="43029" hidden="1">
      <c r="E43029" s="96"/>
    </row>
    <row r="43030" hidden="1">
      <c r="E43030" s="96"/>
    </row>
    <row r="43031" hidden="1">
      <c r="E43031" s="96"/>
    </row>
    <row r="43032" hidden="1">
      <c r="E43032" s="96"/>
    </row>
    <row r="43033" hidden="1">
      <c r="E43033" s="96"/>
    </row>
    <row r="43034" hidden="1">
      <c r="E43034" s="96"/>
    </row>
    <row r="43035" hidden="1">
      <c r="E43035" s="96"/>
    </row>
    <row r="43036" hidden="1">
      <c r="E43036" s="96"/>
    </row>
    <row r="43037" hidden="1">
      <c r="E43037" s="96"/>
    </row>
    <row r="43038" hidden="1">
      <c r="E43038" s="96"/>
    </row>
    <row r="43039" hidden="1">
      <c r="E43039" s="96"/>
    </row>
    <row r="43040" hidden="1">
      <c r="E43040" s="96"/>
    </row>
    <row r="43041" hidden="1">
      <c r="E43041" s="96"/>
    </row>
    <row r="43042" hidden="1">
      <c r="E43042" s="96"/>
    </row>
    <row r="43043" hidden="1">
      <c r="E43043" s="96"/>
    </row>
    <row r="43044" hidden="1">
      <c r="E43044" s="96"/>
    </row>
    <row r="43045" hidden="1">
      <c r="E43045" s="96"/>
    </row>
    <row r="43046" hidden="1">
      <c r="E43046" s="96"/>
    </row>
    <row r="43047" hidden="1">
      <c r="E43047" s="96"/>
    </row>
    <row r="43048" hidden="1">
      <c r="E43048" s="96"/>
    </row>
    <row r="43049" hidden="1">
      <c r="E43049" s="96"/>
    </row>
    <row r="43050" hidden="1">
      <c r="E43050" s="96"/>
    </row>
    <row r="43051" hidden="1">
      <c r="E43051" s="96"/>
    </row>
    <row r="43052" hidden="1">
      <c r="E43052" s="96"/>
    </row>
    <row r="43053" hidden="1">
      <c r="E43053" s="96"/>
    </row>
    <row r="43054" hidden="1">
      <c r="E43054" s="96"/>
    </row>
    <row r="43055" hidden="1">
      <c r="E43055" s="96"/>
    </row>
    <row r="43056" hidden="1">
      <c r="E43056" s="96"/>
    </row>
    <row r="43057" hidden="1">
      <c r="E43057" s="96"/>
    </row>
    <row r="43058" hidden="1">
      <c r="E43058" s="96"/>
    </row>
    <row r="43059" hidden="1">
      <c r="E43059" s="96"/>
    </row>
    <row r="43060" hidden="1">
      <c r="E43060" s="96"/>
    </row>
    <row r="43061" hidden="1">
      <c r="E43061" s="96"/>
    </row>
    <row r="43062" hidden="1">
      <c r="E43062" s="96"/>
    </row>
    <row r="43063" hidden="1">
      <c r="E43063" s="96"/>
    </row>
    <row r="43064" hidden="1">
      <c r="E43064" s="96"/>
    </row>
    <row r="43065" hidden="1">
      <c r="E43065" s="96"/>
    </row>
    <row r="43066" hidden="1">
      <c r="E43066" s="96"/>
    </row>
    <row r="43067" hidden="1">
      <c r="E43067" s="96"/>
    </row>
    <row r="43068" hidden="1">
      <c r="E43068" s="96"/>
    </row>
    <row r="43069" hidden="1">
      <c r="E43069" s="96"/>
    </row>
    <row r="43070" hidden="1">
      <c r="E43070" s="96"/>
    </row>
    <row r="43071" hidden="1">
      <c r="E43071" s="96"/>
    </row>
    <row r="43072" hidden="1">
      <c r="E43072" s="96"/>
    </row>
    <row r="43073" hidden="1">
      <c r="E43073" s="96"/>
    </row>
    <row r="43074" hidden="1">
      <c r="E43074" s="96"/>
    </row>
    <row r="43075" hidden="1">
      <c r="E43075" s="96"/>
    </row>
    <row r="43076" hidden="1">
      <c r="E43076" s="96"/>
    </row>
    <row r="43077" hidden="1">
      <c r="E43077" s="96"/>
    </row>
    <row r="43078" hidden="1">
      <c r="E43078" s="96"/>
    </row>
    <row r="43079" hidden="1">
      <c r="E43079" s="96"/>
    </row>
    <row r="43080" hidden="1">
      <c r="E43080" s="96"/>
    </row>
    <row r="43081" hidden="1">
      <c r="E43081" s="96"/>
    </row>
    <row r="43082" hidden="1">
      <c r="E43082" s="96"/>
    </row>
    <row r="43083" hidden="1">
      <c r="E43083" s="96"/>
    </row>
    <row r="43084" hidden="1">
      <c r="E43084" s="96"/>
    </row>
    <row r="43085" hidden="1">
      <c r="E43085" s="96"/>
    </row>
    <row r="43086" hidden="1">
      <c r="E43086" s="96"/>
    </row>
    <row r="43087" hidden="1">
      <c r="E43087" s="96"/>
    </row>
    <row r="43088" hidden="1">
      <c r="E43088" s="96"/>
    </row>
    <row r="43089" hidden="1">
      <c r="E43089" s="96"/>
    </row>
    <row r="43090" hidden="1">
      <c r="E43090" s="96"/>
    </row>
    <row r="43091" hidden="1">
      <c r="E43091" s="96"/>
    </row>
    <row r="43092" hidden="1">
      <c r="E43092" s="96"/>
    </row>
    <row r="43093" hidden="1">
      <c r="E43093" s="96"/>
    </row>
    <row r="43094" hidden="1">
      <c r="E43094" s="96"/>
    </row>
    <row r="43095" hidden="1">
      <c r="E43095" s="96"/>
    </row>
    <row r="43096" hidden="1">
      <c r="E43096" s="96"/>
    </row>
    <row r="43097" hidden="1">
      <c r="E43097" s="96"/>
    </row>
    <row r="43098" hidden="1">
      <c r="E43098" s="96"/>
    </row>
    <row r="43099" hidden="1">
      <c r="E43099" s="96"/>
    </row>
    <row r="43100" hidden="1">
      <c r="E43100" s="96"/>
    </row>
    <row r="43101" hidden="1">
      <c r="E43101" s="96"/>
    </row>
    <row r="43102" hidden="1">
      <c r="E43102" s="96"/>
    </row>
    <row r="43103" hidden="1">
      <c r="E43103" s="96"/>
    </row>
    <row r="43104" hidden="1">
      <c r="E43104" s="96"/>
    </row>
    <row r="43105" hidden="1">
      <c r="E43105" s="96"/>
    </row>
    <row r="43106" hidden="1">
      <c r="E43106" s="96"/>
    </row>
    <row r="43107" hidden="1">
      <c r="E43107" s="96"/>
    </row>
    <row r="43108" hidden="1">
      <c r="E43108" s="96"/>
    </row>
    <row r="43109" hidden="1">
      <c r="E43109" s="96"/>
    </row>
    <row r="43110" hidden="1">
      <c r="E43110" s="96"/>
    </row>
    <row r="43111" hidden="1">
      <c r="E43111" s="96"/>
    </row>
    <row r="43112" hidden="1">
      <c r="E43112" s="96"/>
    </row>
    <row r="43113" hidden="1">
      <c r="E43113" s="96"/>
    </row>
    <row r="43114" hidden="1">
      <c r="E43114" s="96"/>
    </row>
    <row r="43115" hidden="1">
      <c r="E43115" s="96"/>
    </row>
    <row r="43116" hidden="1">
      <c r="E43116" s="96"/>
    </row>
    <row r="43117" hidden="1">
      <c r="E43117" s="96"/>
    </row>
    <row r="43118" hidden="1">
      <c r="E43118" s="96"/>
    </row>
    <row r="43119" hidden="1">
      <c r="E43119" s="96"/>
    </row>
    <row r="43120" hidden="1">
      <c r="E43120" s="96"/>
    </row>
    <row r="43121" hidden="1">
      <c r="E43121" s="96"/>
    </row>
    <row r="43122" hidden="1">
      <c r="E43122" s="96"/>
    </row>
    <row r="43123" hidden="1">
      <c r="E43123" s="96"/>
    </row>
    <row r="43124" hidden="1">
      <c r="E43124" s="96"/>
    </row>
    <row r="43125" hidden="1">
      <c r="E43125" s="96"/>
    </row>
    <row r="43126" hidden="1">
      <c r="E43126" s="96"/>
    </row>
    <row r="43127" hidden="1">
      <c r="E43127" s="96"/>
    </row>
    <row r="43128" hidden="1">
      <c r="E43128" s="96"/>
    </row>
    <row r="43129" hidden="1">
      <c r="E43129" s="96"/>
    </row>
    <row r="43130" hidden="1">
      <c r="E43130" s="96"/>
    </row>
    <row r="43131" hidden="1">
      <c r="E43131" s="96"/>
    </row>
    <row r="43132" hidden="1">
      <c r="E43132" s="96"/>
    </row>
    <row r="43133" hidden="1">
      <c r="E43133" s="96"/>
    </row>
    <row r="43134" hidden="1">
      <c r="E43134" s="96"/>
    </row>
    <row r="43135" hidden="1">
      <c r="E43135" s="96"/>
    </row>
    <row r="43136" hidden="1">
      <c r="E43136" s="96"/>
    </row>
    <row r="43137" hidden="1">
      <c r="E43137" s="96"/>
    </row>
    <row r="43138" hidden="1">
      <c r="E43138" s="96"/>
    </row>
    <row r="43139" hidden="1">
      <c r="E43139" s="96"/>
    </row>
    <row r="43140" hidden="1">
      <c r="E43140" s="96"/>
    </row>
    <row r="43141" hidden="1">
      <c r="E43141" s="96"/>
    </row>
    <row r="43142" hidden="1">
      <c r="E43142" s="96"/>
    </row>
    <row r="43143" hidden="1">
      <c r="E43143" s="96"/>
    </row>
    <row r="43144" hidden="1">
      <c r="E43144" s="96"/>
    </row>
    <row r="43145" hidden="1">
      <c r="E43145" s="96"/>
    </row>
    <row r="43146" hidden="1">
      <c r="E43146" s="96"/>
    </row>
    <row r="43147" hidden="1">
      <c r="E43147" s="96"/>
    </row>
    <row r="43148" hidden="1">
      <c r="E43148" s="96"/>
    </row>
    <row r="43149" hidden="1">
      <c r="E43149" s="96"/>
    </row>
    <row r="43150" hidden="1">
      <c r="E43150" s="96"/>
    </row>
    <row r="43151" hidden="1">
      <c r="E43151" s="96"/>
    </row>
    <row r="43152" hidden="1">
      <c r="E43152" s="96"/>
    </row>
    <row r="43153" hidden="1">
      <c r="E43153" s="96"/>
    </row>
    <row r="43154" hidden="1">
      <c r="E43154" s="96"/>
    </row>
    <row r="43155" hidden="1">
      <c r="E43155" s="96"/>
    </row>
    <row r="43156" hidden="1">
      <c r="E43156" s="96"/>
    </row>
    <row r="43157" hidden="1">
      <c r="E43157" s="96"/>
    </row>
    <row r="43158" hidden="1">
      <c r="E43158" s="96"/>
    </row>
    <row r="43159" hidden="1">
      <c r="E43159" s="96"/>
    </row>
    <row r="43160" hidden="1">
      <c r="E43160" s="96"/>
    </row>
    <row r="43161" hidden="1">
      <c r="E43161" s="96"/>
    </row>
    <row r="43162" hidden="1">
      <c r="E43162" s="96"/>
    </row>
    <row r="43163" hidden="1">
      <c r="E43163" s="96"/>
    </row>
    <row r="43164" hidden="1">
      <c r="E43164" s="96"/>
    </row>
    <row r="43165" hidden="1">
      <c r="E43165" s="96"/>
    </row>
    <row r="43166" hidden="1">
      <c r="E43166" s="96"/>
    </row>
    <row r="43167" hidden="1">
      <c r="E43167" s="96"/>
    </row>
    <row r="43168" hidden="1">
      <c r="E43168" s="96"/>
    </row>
    <row r="43169" hidden="1">
      <c r="E43169" s="96"/>
    </row>
    <row r="43170" hidden="1">
      <c r="E43170" s="96"/>
    </row>
    <row r="43171" hidden="1">
      <c r="E43171" s="96"/>
    </row>
    <row r="43172" hidden="1">
      <c r="E43172" s="96"/>
    </row>
    <row r="43173" hidden="1">
      <c r="E43173" s="96"/>
    </row>
    <row r="43174" hidden="1">
      <c r="E43174" s="96"/>
    </row>
    <row r="43175" hidden="1">
      <c r="E43175" s="96"/>
    </row>
    <row r="43176" hidden="1">
      <c r="E43176" s="96"/>
    </row>
    <row r="43177" hidden="1">
      <c r="E43177" s="96"/>
    </row>
    <row r="43178" hidden="1">
      <c r="E43178" s="96"/>
    </row>
    <row r="43179" hidden="1">
      <c r="E43179" s="96"/>
    </row>
    <row r="43180" hidden="1">
      <c r="E43180" s="96"/>
    </row>
    <row r="43181" hidden="1">
      <c r="E43181" s="96"/>
    </row>
    <row r="43182" hidden="1">
      <c r="E43182" s="96"/>
    </row>
    <row r="43183" hidden="1">
      <c r="E43183" s="96"/>
    </row>
    <row r="43184" hidden="1">
      <c r="E43184" s="96"/>
    </row>
    <row r="43185" hidden="1">
      <c r="E43185" s="96"/>
    </row>
    <row r="43186" hidden="1">
      <c r="E43186" s="96"/>
    </row>
    <row r="43187" hidden="1">
      <c r="E43187" s="96"/>
    </row>
    <row r="43188" hidden="1">
      <c r="E43188" s="96"/>
    </row>
    <row r="43189" hidden="1">
      <c r="E43189" s="96"/>
    </row>
    <row r="43190" hidden="1">
      <c r="E43190" s="96"/>
    </row>
    <row r="43191" hidden="1">
      <c r="E43191" s="96"/>
    </row>
    <row r="43192" hidden="1">
      <c r="E43192" s="96"/>
    </row>
    <row r="43193" hidden="1">
      <c r="E43193" s="96"/>
    </row>
    <row r="43194" hidden="1">
      <c r="E43194" s="96"/>
    </row>
    <row r="43195" hidden="1">
      <c r="E43195" s="96"/>
    </row>
    <row r="43196" hidden="1">
      <c r="E43196" s="96"/>
    </row>
    <row r="43197" hidden="1">
      <c r="E43197" s="96"/>
    </row>
    <row r="43198" hidden="1">
      <c r="E43198" s="96"/>
    </row>
    <row r="43199" hidden="1">
      <c r="E43199" s="96"/>
    </row>
    <row r="43200" hidden="1">
      <c r="E43200" s="96"/>
    </row>
    <row r="43201" hidden="1">
      <c r="E43201" s="96"/>
    </row>
    <row r="43202" hidden="1">
      <c r="E43202" s="96"/>
    </row>
    <row r="43203" hidden="1">
      <c r="E43203" s="96"/>
    </row>
    <row r="43204" hidden="1">
      <c r="E43204" s="96"/>
    </row>
    <row r="43205" hidden="1">
      <c r="E43205" s="96"/>
    </row>
    <row r="43206" hidden="1">
      <c r="E43206" s="96"/>
    </row>
    <row r="43207" hidden="1">
      <c r="E43207" s="96"/>
    </row>
    <row r="43208" hidden="1">
      <c r="E43208" s="96"/>
    </row>
    <row r="43209" hidden="1">
      <c r="E43209" s="96"/>
    </row>
    <row r="43210" hidden="1">
      <c r="E43210" s="96"/>
    </row>
    <row r="43211" hidden="1">
      <c r="E43211" s="96"/>
    </row>
    <row r="43212" hidden="1">
      <c r="E43212" s="96"/>
    </row>
    <row r="43213" hidden="1">
      <c r="E43213" s="96"/>
    </row>
    <row r="43214" hidden="1">
      <c r="E43214" s="96"/>
    </row>
    <row r="43215" hidden="1">
      <c r="E43215" s="96"/>
    </row>
    <row r="43216" hidden="1">
      <c r="E43216" s="96"/>
    </row>
    <row r="43217" hidden="1">
      <c r="E43217" s="96"/>
    </row>
    <row r="43218" hidden="1">
      <c r="E43218" s="96"/>
    </row>
    <row r="43219" hidden="1">
      <c r="E43219" s="96"/>
    </row>
    <row r="43220" hidden="1">
      <c r="E43220" s="96"/>
    </row>
    <row r="43221" hidden="1">
      <c r="E43221" s="96"/>
    </row>
    <row r="43222" hidden="1">
      <c r="E43222" s="96"/>
    </row>
    <row r="43223" hidden="1">
      <c r="E43223" s="96"/>
    </row>
    <row r="43224" hidden="1">
      <c r="E43224" s="96"/>
    </row>
    <row r="43225" hidden="1">
      <c r="E43225" s="96"/>
    </row>
    <row r="43226" hidden="1">
      <c r="E43226" s="96"/>
    </row>
    <row r="43227" hidden="1">
      <c r="E43227" s="96"/>
    </row>
    <row r="43228" hidden="1">
      <c r="E43228" s="96"/>
    </row>
    <row r="43229" hidden="1">
      <c r="E43229" s="96"/>
    </row>
    <row r="43230" hidden="1">
      <c r="E43230" s="96"/>
    </row>
    <row r="43231" hidden="1">
      <c r="E43231" s="96"/>
    </row>
    <row r="43232" hidden="1">
      <c r="E43232" s="96"/>
    </row>
    <row r="43233" hidden="1">
      <c r="E43233" s="96"/>
    </row>
    <row r="43234" hidden="1">
      <c r="E43234" s="96"/>
    </row>
    <row r="43235" hidden="1">
      <c r="E43235" s="96"/>
    </row>
    <row r="43236" hidden="1">
      <c r="E43236" s="96"/>
    </row>
    <row r="43237" hidden="1">
      <c r="E43237" s="96"/>
    </row>
    <row r="43238" hidden="1">
      <c r="E43238" s="96"/>
    </row>
    <row r="43239" hidden="1">
      <c r="E43239" s="96"/>
    </row>
    <row r="43240" hidden="1">
      <c r="E43240" s="96"/>
    </row>
    <row r="43241" hidden="1">
      <c r="E43241" s="96"/>
    </row>
    <row r="43242" hidden="1">
      <c r="E43242" s="96"/>
    </row>
    <row r="43243" hidden="1">
      <c r="E43243" s="96"/>
    </row>
    <row r="43244" hidden="1">
      <c r="E43244" s="96"/>
    </row>
    <row r="43245" hidden="1">
      <c r="E43245" s="96"/>
    </row>
    <row r="43246" hidden="1">
      <c r="E43246" s="96"/>
    </row>
    <row r="43247" hidden="1">
      <c r="E43247" s="96"/>
    </row>
    <row r="43248" hidden="1">
      <c r="E43248" s="96"/>
    </row>
    <row r="43249" hidden="1">
      <c r="E43249" s="96"/>
    </row>
    <row r="43250" hidden="1">
      <c r="E43250" s="96"/>
    </row>
    <row r="43251" hidden="1">
      <c r="E43251" s="96"/>
    </row>
    <row r="43252" hidden="1">
      <c r="E43252" s="96"/>
    </row>
    <row r="43253" hidden="1">
      <c r="E43253" s="96"/>
    </row>
    <row r="43254" hidden="1">
      <c r="E43254" s="96"/>
    </row>
    <row r="43255" hidden="1">
      <c r="E43255" s="96"/>
    </row>
    <row r="43256" hidden="1">
      <c r="E43256" s="96"/>
    </row>
    <row r="43257" hidden="1">
      <c r="E43257" s="96"/>
    </row>
    <row r="43258" hidden="1">
      <c r="E43258" s="96"/>
    </row>
    <row r="43259" hidden="1">
      <c r="E43259" s="96"/>
    </row>
    <row r="43260" hidden="1">
      <c r="E43260" s="96"/>
    </row>
    <row r="43261" hidden="1">
      <c r="E43261" s="96"/>
    </row>
    <row r="43262" hidden="1">
      <c r="E43262" s="96"/>
    </row>
    <row r="43263" hidden="1">
      <c r="E43263" s="96"/>
    </row>
    <row r="43264" hidden="1">
      <c r="E43264" s="96"/>
    </row>
    <row r="43265" hidden="1">
      <c r="E43265" s="96"/>
    </row>
    <row r="43266" hidden="1">
      <c r="E43266" s="96"/>
    </row>
    <row r="43267" hidden="1">
      <c r="E43267" s="96"/>
    </row>
    <row r="43268" hidden="1">
      <c r="E43268" s="96"/>
    </row>
    <row r="43269" hidden="1">
      <c r="E43269" s="96"/>
    </row>
    <row r="43270" hidden="1">
      <c r="E43270" s="96"/>
    </row>
    <row r="43271" hidden="1">
      <c r="E43271" s="96"/>
    </row>
    <row r="43272" hidden="1">
      <c r="E43272" s="96"/>
    </row>
    <row r="43273" hidden="1">
      <c r="E43273" s="96"/>
    </row>
    <row r="43274" hidden="1">
      <c r="E43274" s="96"/>
    </row>
    <row r="43275" hidden="1">
      <c r="E43275" s="96"/>
    </row>
    <row r="43276" hidden="1">
      <c r="E43276" s="96"/>
    </row>
    <row r="43277" hidden="1">
      <c r="E43277" s="96"/>
    </row>
    <row r="43278" hidden="1">
      <c r="E43278" s="96"/>
    </row>
    <row r="43279" hidden="1">
      <c r="E43279" s="96"/>
    </row>
    <row r="43280" hidden="1">
      <c r="E43280" s="96"/>
    </row>
    <row r="43281" hidden="1">
      <c r="E43281" s="96"/>
    </row>
    <row r="43282" hidden="1">
      <c r="E43282" s="96"/>
    </row>
    <row r="43283" hidden="1">
      <c r="E43283" s="96"/>
    </row>
    <row r="43284" hidden="1">
      <c r="E43284" s="96"/>
    </row>
    <row r="43285" hidden="1">
      <c r="E43285" s="96"/>
    </row>
    <row r="43286" hidden="1">
      <c r="E43286" s="96"/>
    </row>
    <row r="43287" hidden="1">
      <c r="E43287" s="96"/>
    </row>
    <row r="43288" hidden="1">
      <c r="E43288" s="96"/>
    </row>
    <row r="43289" hidden="1">
      <c r="E43289" s="96"/>
    </row>
    <row r="43290" hidden="1">
      <c r="E43290" s="96"/>
    </row>
    <row r="43291" hidden="1">
      <c r="E43291" s="96"/>
    </row>
    <row r="43292" hidden="1">
      <c r="E43292" s="96"/>
    </row>
    <row r="43293" hidden="1">
      <c r="E43293" s="96"/>
    </row>
    <row r="43294" hidden="1">
      <c r="E43294" s="96"/>
    </row>
    <row r="43295" hidden="1">
      <c r="E43295" s="96"/>
    </row>
    <row r="43296" hidden="1">
      <c r="E43296" s="96"/>
    </row>
    <row r="43297" hidden="1">
      <c r="E43297" s="96"/>
    </row>
    <row r="43298" hidden="1">
      <c r="E43298" s="96"/>
    </row>
    <row r="43299" hidden="1">
      <c r="E43299" s="96"/>
    </row>
    <row r="43300" hidden="1">
      <c r="E43300" s="96"/>
    </row>
    <row r="43301" hidden="1">
      <c r="E43301" s="96"/>
    </row>
    <row r="43302" hidden="1">
      <c r="E43302" s="96"/>
    </row>
    <row r="43303" hidden="1">
      <c r="E43303" s="96"/>
    </row>
    <row r="43304" hidden="1">
      <c r="E43304" s="96"/>
    </row>
    <row r="43305" hidden="1">
      <c r="E43305" s="96"/>
    </row>
    <row r="43306" hidden="1">
      <c r="E43306" s="96"/>
    </row>
    <row r="43307" hidden="1">
      <c r="E43307" s="96"/>
    </row>
    <row r="43308" hidden="1">
      <c r="E43308" s="96"/>
    </row>
    <row r="43309" hidden="1">
      <c r="E43309" s="96"/>
    </row>
    <row r="43310" hidden="1">
      <c r="E43310" s="96"/>
    </row>
    <row r="43311" hidden="1">
      <c r="E43311" s="96"/>
    </row>
    <row r="43312" hidden="1">
      <c r="E43312" s="96"/>
    </row>
    <row r="43313" hidden="1">
      <c r="E43313" s="96"/>
    </row>
    <row r="43314" hidden="1">
      <c r="E43314" s="96"/>
    </row>
    <row r="43315" hidden="1">
      <c r="E43315" s="96"/>
    </row>
    <row r="43316" hidden="1">
      <c r="E43316" s="96"/>
    </row>
    <row r="43317" hidden="1">
      <c r="E43317" s="96"/>
    </row>
    <row r="43318" hidden="1">
      <c r="E43318" s="96"/>
    </row>
    <row r="43319" hidden="1">
      <c r="E43319" s="96"/>
    </row>
    <row r="43320" hidden="1">
      <c r="E43320" s="96"/>
    </row>
    <row r="43321" hidden="1">
      <c r="E43321" s="96"/>
    </row>
    <row r="43322" hidden="1">
      <c r="E43322" s="96"/>
    </row>
    <row r="43323" hidden="1">
      <c r="E43323" s="96"/>
    </row>
    <row r="43324" hidden="1">
      <c r="E43324" s="96"/>
    </row>
    <row r="43325" hidden="1">
      <c r="E43325" s="96"/>
    </row>
    <row r="43326" hidden="1">
      <c r="E43326" s="96"/>
    </row>
    <row r="43327" hidden="1">
      <c r="E43327" s="96"/>
    </row>
    <row r="43328" hidden="1">
      <c r="E43328" s="96"/>
    </row>
    <row r="43329" hidden="1">
      <c r="E43329" s="96"/>
    </row>
    <row r="43330" hidden="1">
      <c r="E43330" s="96"/>
    </row>
    <row r="43331" hidden="1">
      <c r="E43331" s="96"/>
    </row>
    <row r="43332" hidden="1">
      <c r="E43332" s="96"/>
    </row>
    <row r="43333" hidden="1">
      <c r="E43333" s="96"/>
    </row>
    <row r="43334" hidden="1">
      <c r="E43334" s="96"/>
    </row>
    <row r="43335" hidden="1">
      <c r="E43335" s="96"/>
    </row>
    <row r="43336" hidden="1">
      <c r="E43336" s="96"/>
    </row>
    <row r="43337" hidden="1">
      <c r="E43337" s="96"/>
    </row>
    <row r="43338" hidden="1">
      <c r="E43338" s="96"/>
    </row>
    <row r="43339" hidden="1">
      <c r="E43339" s="96"/>
    </row>
    <row r="43340" hidden="1">
      <c r="E43340" s="96"/>
    </row>
    <row r="43341" hidden="1">
      <c r="E43341" s="96"/>
    </row>
    <row r="43342" hidden="1">
      <c r="E43342" s="96"/>
    </row>
    <row r="43343" hidden="1">
      <c r="E43343" s="96"/>
    </row>
    <row r="43344" hidden="1">
      <c r="E43344" s="96"/>
    </row>
    <row r="43345" hidden="1">
      <c r="E43345" s="96"/>
    </row>
    <row r="43346" hidden="1">
      <c r="E43346" s="96"/>
    </row>
    <row r="43347" hidden="1">
      <c r="E43347" s="96"/>
    </row>
    <row r="43348" hidden="1">
      <c r="E43348" s="96"/>
    </row>
    <row r="43349" hidden="1">
      <c r="E43349" s="96"/>
    </row>
    <row r="43350" hidden="1">
      <c r="E43350" s="96"/>
    </row>
    <row r="43351" hidden="1">
      <c r="E43351" s="96"/>
    </row>
    <row r="43352" hidden="1">
      <c r="E43352" s="96"/>
    </row>
    <row r="43353" hidden="1">
      <c r="E43353" s="96"/>
    </row>
    <row r="43354" hidden="1">
      <c r="E43354" s="96"/>
    </row>
    <row r="43355" hidden="1">
      <c r="E43355" s="96"/>
    </row>
    <row r="43356" hidden="1">
      <c r="E43356" s="96"/>
    </row>
    <row r="43357" hidden="1">
      <c r="E43357" s="96"/>
    </row>
    <row r="43358" hidden="1">
      <c r="E43358" s="96"/>
    </row>
    <row r="43359" hidden="1">
      <c r="E43359" s="96"/>
    </row>
    <row r="43360" hidden="1">
      <c r="E43360" s="96"/>
    </row>
    <row r="43361" hidden="1">
      <c r="E43361" s="96"/>
    </row>
    <row r="43362" hidden="1">
      <c r="E43362" s="96"/>
    </row>
    <row r="43363" hidden="1">
      <c r="E43363" s="96"/>
    </row>
    <row r="43364" hidden="1">
      <c r="E43364" s="96"/>
    </row>
    <row r="43365" hidden="1">
      <c r="E43365" s="96"/>
    </row>
    <row r="43366" hidden="1">
      <c r="E43366" s="96"/>
    </row>
    <row r="43367" hidden="1">
      <c r="E43367" s="96"/>
    </row>
    <row r="43368" hidden="1">
      <c r="E43368" s="96"/>
    </row>
    <row r="43369" hidden="1">
      <c r="E43369" s="96"/>
    </row>
    <row r="43370" hidden="1">
      <c r="E43370" s="96"/>
    </row>
    <row r="43371" hidden="1">
      <c r="E43371" s="96"/>
    </row>
    <row r="43372" hidden="1">
      <c r="E43372" s="96"/>
    </row>
    <row r="43373" hidden="1">
      <c r="E43373" s="96"/>
    </row>
    <row r="43374" hidden="1">
      <c r="E43374" s="96"/>
    </row>
    <row r="43375" hidden="1">
      <c r="E43375" s="96"/>
    </row>
    <row r="43376" hidden="1">
      <c r="E43376" s="96"/>
    </row>
    <row r="43377" hidden="1">
      <c r="E43377" s="96"/>
    </row>
    <row r="43378" hidden="1">
      <c r="E43378" s="96"/>
    </row>
    <row r="43379" hidden="1">
      <c r="E43379" s="96"/>
    </row>
    <row r="43380" hidden="1">
      <c r="E43380" s="96"/>
    </row>
    <row r="43381" hidden="1">
      <c r="E43381" s="96"/>
    </row>
    <row r="43382" hidden="1">
      <c r="E43382" s="96"/>
    </row>
    <row r="43383" hidden="1">
      <c r="E43383" s="96"/>
    </row>
    <row r="43384" hidden="1">
      <c r="E43384" s="96"/>
    </row>
    <row r="43385" hidden="1">
      <c r="E43385" s="96"/>
    </row>
    <row r="43386" hidden="1">
      <c r="E43386" s="96"/>
    </row>
    <row r="43387" hidden="1">
      <c r="E43387" s="96"/>
    </row>
    <row r="43388" hidden="1">
      <c r="E43388" s="96"/>
    </row>
    <row r="43389" hidden="1">
      <c r="E43389" s="96"/>
    </row>
    <row r="43390" hidden="1">
      <c r="E43390" s="96"/>
    </row>
    <row r="43391" hidden="1">
      <c r="E43391" s="96"/>
    </row>
    <row r="43392" hidden="1">
      <c r="E43392" s="96"/>
    </row>
    <row r="43393" hidden="1">
      <c r="E43393" s="96"/>
    </row>
    <row r="43394" hidden="1">
      <c r="E43394" s="96"/>
    </row>
    <row r="43395" hidden="1">
      <c r="E43395" s="96"/>
    </row>
    <row r="43396" hidden="1">
      <c r="E43396" s="96"/>
    </row>
    <row r="43397" hidden="1">
      <c r="E43397" s="96"/>
    </row>
    <row r="43398" hidden="1">
      <c r="E43398" s="96"/>
    </row>
    <row r="43399" hidden="1">
      <c r="E43399" s="96"/>
    </row>
    <row r="43400" hidden="1">
      <c r="E43400" s="96"/>
    </row>
    <row r="43401" hidden="1">
      <c r="E43401" s="96"/>
    </row>
    <row r="43402" hidden="1">
      <c r="E43402" s="96"/>
    </row>
    <row r="43403" hidden="1">
      <c r="E43403" s="96"/>
    </row>
    <row r="43404" hidden="1">
      <c r="E43404" s="96"/>
    </row>
    <row r="43405" hidden="1">
      <c r="E43405" s="96"/>
    </row>
    <row r="43406" hidden="1">
      <c r="E43406" s="96"/>
    </row>
    <row r="43407" hidden="1">
      <c r="E43407" s="96"/>
    </row>
    <row r="43408" hidden="1">
      <c r="E43408" s="96"/>
    </row>
    <row r="43409" hidden="1">
      <c r="E43409" s="96"/>
    </row>
    <row r="43410" hidden="1">
      <c r="E43410" s="96"/>
    </row>
    <row r="43411" hidden="1">
      <c r="E43411" s="96"/>
    </row>
    <row r="43412" hidden="1">
      <c r="E43412" s="96"/>
    </row>
    <row r="43413" hidden="1">
      <c r="E43413" s="96"/>
    </row>
    <row r="43414" hidden="1">
      <c r="E43414" s="96"/>
    </row>
    <row r="43415" hidden="1">
      <c r="E43415" s="96"/>
    </row>
    <row r="43416" hidden="1">
      <c r="E43416" s="96"/>
    </row>
    <row r="43417" hidden="1">
      <c r="E43417" s="96"/>
    </row>
    <row r="43418" hidden="1">
      <c r="E43418" s="96"/>
    </row>
    <row r="43419" hidden="1">
      <c r="E43419" s="96"/>
    </row>
    <row r="43420" hidden="1">
      <c r="E43420" s="96"/>
    </row>
    <row r="43421" hidden="1">
      <c r="E43421" s="96"/>
    </row>
    <row r="43422" hidden="1">
      <c r="E43422" s="96"/>
    </row>
    <row r="43423" hidden="1">
      <c r="E43423" s="96"/>
    </row>
    <row r="43424" hidden="1">
      <c r="E43424" s="96"/>
    </row>
    <row r="43425" hidden="1">
      <c r="E43425" s="96"/>
    </row>
    <row r="43426" hidden="1">
      <c r="E43426" s="96"/>
    </row>
    <row r="43427" hidden="1">
      <c r="E43427" s="96"/>
    </row>
    <row r="43428" hidden="1">
      <c r="E43428" s="96"/>
    </row>
    <row r="43429" hidden="1">
      <c r="E43429" s="96"/>
    </row>
    <row r="43430" hidden="1">
      <c r="E43430" s="96"/>
    </row>
    <row r="43431" hidden="1">
      <c r="E43431" s="96"/>
    </row>
    <row r="43432" hidden="1">
      <c r="E43432" s="96"/>
    </row>
    <row r="43433" hidden="1">
      <c r="E43433" s="96"/>
    </row>
    <row r="43434" hidden="1">
      <c r="E43434" s="96"/>
    </row>
    <row r="43435" hidden="1">
      <c r="E43435" s="96"/>
    </row>
    <row r="43436" hidden="1">
      <c r="E43436" s="96"/>
    </row>
    <row r="43437" hidden="1">
      <c r="E43437" s="96"/>
    </row>
    <row r="43438" hidden="1">
      <c r="E43438" s="96"/>
    </row>
    <row r="43439" hidden="1">
      <c r="E43439" s="96"/>
    </row>
    <row r="43440" hidden="1">
      <c r="E43440" s="96"/>
    </row>
    <row r="43441" hidden="1">
      <c r="E43441" s="96"/>
    </row>
    <row r="43442" hidden="1">
      <c r="E43442" s="96"/>
    </row>
    <row r="43443" hidden="1">
      <c r="E43443" s="96"/>
    </row>
    <row r="43444" hidden="1">
      <c r="E43444" s="96"/>
    </row>
    <row r="43445" hidden="1">
      <c r="E43445" s="96"/>
    </row>
    <row r="43446" hidden="1">
      <c r="E43446" s="96"/>
    </row>
    <row r="43447" hidden="1">
      <c r="E43447" s="96"/>
    </row>
    <row r="43448" hidden="1">
      <c r="E43448" s="96"/>
    </row>
    <row r="43449" hidden="1">
      <c r="E43449" s="96"/>
    </row>
    <row r="43450" hidden="1">
      <c r="E43450" s="96"/>
    </row>
    <row r="43451" hidden="1">
      <c r="E43451" s="96"/>
    </row>
    <row r="43452" hidden="1">
      <c r="E43452" s="96"/>
    </row>
    <row r="43453" hidden="1">
      <c r="E43453" s="96"/>
    </row>
    <row r="43454" hidden="1">
      <c r="E43454" s="96"/>
    </row>
    <row r="43455" hidden="1">
      <c r="E43455" s="96"/>
    </row>
    <row r="43456" hidden="1">
      <c r="E43456" s="96"/>
    </row>
    <row r="43457" hidden="1">
      <c r="E43457" s="96"/>
    </row>
    <row r="43458" hidden="1">
      <c r="E43458" s="96"/>
    </row>
    <row r="43459" hidden="1">
      <c r="E43459" s="96"/>
    </row>
    <row r="43460" hidden="1">
      <c r="E43460" s="96"/>
    </row>
    <row r="43461" hidden="1">
      <c r="E43461" s="96"/>
    </row>
    <row r="43462" hidden="1">
      <c r="E43462" s="96"/>
    </row>
    <row r="43463" hidden="1">
      <c r="E43463" s="96"/>
    </row>
    <row r="43464" hidden="1">
      <c r="E43464" s="96"/>
    </row>
    <row r="43465" hidden="1">
      <c r="E43465" s="96"/>
    </row>
    <row r="43466" hidden="1">
      <c r="E43466" s="96"/>
    </row>
    <row r="43467" hidden="1">
      <c r="E43467" s="96"/>
    </row>
    <row r="43468" hidden="1">
      <c r="E43468" s="96"/>
    </row>
    <row r="43469" hidden="1">
      <c r="E43469" s="96"/>
    </row>
    <row r="43470" hidden="1">
      <c r="E43470" s="96"/>
    </row>
    <row r="43471" hidden="1">
      <c r="E43471" s="96"/>
    </row>
    <row r="43472" hidden="1">
      <c r="E43472" s="96"/>
    </row>
    <row r="43473" hidden="1">
      <c r="E43473" s="96"/>
    </row>
    <row r="43474" hidden="1">
      <c r="E43474" s="96"/>
    </row>
    <row r="43475" hidden="1">
      <c r="E43475" s="96"/>
    </row>
    <row r="43476" hidden="1">
      <c r="E43476" s="96"/>
    </row>
    <row r="43477" hidden="1">
      <c r="E43477" s="96"/>
    </row>
    <row r="43478" hidden="1">
      <c r="E43478" s="96"/>
    </row>
    <row r="43479" hidden="1">
      <c r="E43479" s="96"/>
    </row>
    <row r="43480" hidden="1">
      <c r="E43480" s="96"/>
    </row>
    <row r="43481" hidden="1">
      <c r="E43481" s="96"/>
    </row>
    <row r="43482" hidden="1">
      <c r="E43482" s="96"/>
    </row>
    <row r="43483" hidden="1">
      <c r="E43483" s="96"/>
    </row>
    <row r="43484" hidden="1">
      <c r="E43484" s="96"/>
    </row>
    <row r="43485" hidden="1">
      <c r="E43485" s="96"/>
    </row>
    <row r="43486" hidden="1">
      <c r="E43486" s="96"/>
    </row>
    <row r="43487" hidden="1">
      <c r="E43487" s="96"/>
    </row>
    <row r="43488" hidden="1">
      <c r="E43488" s="96"/>
    </row>
    <row r="43489" hidden="1">
      <c r="E43489" s="96"/>
    </row>
    <row r="43490" hidden="1">
      <c r="E43490" s="96"/>
    </row>
    <row r="43491" hidden="1">
      <c r="E43491" s="96"/>
    </row>
    <row r="43492" hidden="1">
      <c r="E43492" s="96"/>
    </row>
    <row r="43493" hidden="1">
      <c r="E43493" s="96"/>
    </row>
    <row r="43494" hidden="1">
      <c r="E43494" s="96"/>
    </row>
    <row r="43495" hidden="1">
      <c r="E43495" s="96"/>
    </row>
    <row r="43496" hidden="1">
      <c r="E43496" s="96"/>
    </row>
    <row r="43497" hidden="1">
      <c r="E43497" s="96"/>
    </row>
    <row r="43498" hidden="1">
      <c r="E43498" s="96"/>
    </row>
    <row r="43499" hidden="1">
      <c r="E43499" s="96"/>
    </row>
    <row r="43500" hidden="1">
      <c r="E43500" s="96"/>
    </row>
    <row r="43501" hidden="1">
      <c r="E43501" s="96"/>
    </row>
    <row r="43502" hidden="1">
      <c r="E43502" s="96"/>
    </row>
    <row r="43503" hidden="1">
      <c r="E43503" s="96"/>
    </row>
    <row r="43504" hidden="1">
      <c r="E43504" s="96"/>
    </row>
    <row r="43505" hidden="1">
      <c r="E43505" s="96"/>
    </row>
    <row r="43506" hidden="1">
      <c r="E43506" s="96"/>
    </row>
    <row r="43507" hidden="1">
      <c r="E43507" s="96"/>
    </row>
    <row r="43508" hidden="1">
      <c r="E43508" s="96"/>
    </row>
    <row r="43509" hidden="1">
      <c r="E43509" s="96"/>
    </row>
    <row r="43510" hidden="1">
      <c r="E43510" s="96"/>
    </row>
    <row r="43511" hidden="1">
      <c r="E43511" s="96"/>
    </row>
    <row r="43512" hidden="1">
      <c r="E43512" s="96"/>
    </row>
    <row r="43513" hidden="1">
      <c r="E43513" s="96"/>
    </row>
    <row r="43514" hidden="1">
      <c r="E43514" s="96"/>
    </row>
    <row r="43515" hidden="1">
      <c r="E43515" s="96"/>
    </row>
    <row r="43516" hidden="1">
      <c r="E43516" s="96"/>
    </row>
    <row r="43517" hidden="1">
      <c r="E43517" s="96"/>
    </row>
    <row r="43518" hidden="1">
      <c r="E43518" s="96"/>
    </row>
    <row r="43519" hidden="1">
      <c r="E43519" s="96"/>
    </row>
    <row r="43520" hidden="1">
      <c r="E43520" s="96"/>
    </row>
    <row r="43521" hidden="1">
      <c r="E43521" s="96"/>
    </row>
    <row r="43522" hidden="1">
      <c r="E43522" s="96"/>
    </row>
    <row r="43523" hidden="1">
      <c r="E43523" s="96"/>
    </row>
    <row r="43524" hidden="1">
      <c r="E43524" s="96"/>
    </row>
    <row r="43525" hidden="1">
      <c r="E43525" s="96"/>
    </row>
    <row r="43526" hidden="1">
      <c r="E43526" s="96"/>
    </row>
    <row r="43527" hidden="1">
      <c r="E43527" s="96"/>
    </row>
    <row r="43528" hidden="1">
      <c r="E43528" s="96"/>
    </row>
    <row r="43529" hidden="1">
      <c r="E43529" s="96"/>
    </row>
    <row r="43530" hidden="1">
      <c r="E43530" s="96"/>
    </row>
    <row r="43531" hidden="1">
      <c r="E43531" s="96"/>
    </row>
    <row r="43532" hidden="1">
      <c r="E43532" s="96"/>
    </row>
    <row r="43533" hidden="1">
      <c r="E43533" s="96"/>
    </row>
    <row r="43534" hidden="1">
      <c r="E43534" s="96"/>
    </row>
    <row r="43535" hidden="1">
      <c r="E43535" s="96"/>
    </row>
    <row r="43536" hidden="1">
      <c r="E43536" s="96"/>
    </row>
    <row r="43537" hidden="1">
      <c r="E43537" s="96"/>
    </row>
    <row r="43538" hidden="1">
      <c r="E43538" s="96"/>
    </row>
    <row r="43539" hidden="1">
      <c r="E43539" s="96"/>
    </row>
    <row r="43540" hidden="1">
      <c r="E43540" s="96"/>
    </row>
    <row r="43541" hidden="1">
      <c r="E43541" s="96"/>
    </row>
    <row r="43542" hidden="1">
      <c r="E43542" s="96"/>
    </row>
    <row r="43543" hidden="1">
      <c r="E43543" s="96"/>
    </row>
    <row r="43544" hidden="1">
      <c r="E43544" s="96"/>
    </row>
    <row r="43545" hidden="1">
      <c r="E43545" s="96"/>
    </row>
    <row r="43546" hidden="1">
      <c r="E43546" s="96"/>
    </row>
    <row r="43547" hidden="1">
      <c r="E43547" s="96"/>
    </row>
    <row r="43548" hidden="1">
      <c r="E43548" s="96"/>
    </row>
    <row r="43549" hidden="1">
      <c r="E43549" s="96"/>
    </row>
    <row r="43550" hidden="1">
      <c r="E43550" s="96"/>
    </row>
    <row r="43551" hidden="1">
      <c r="E43551" s="96"/>
    </row>
    <row r="43552" hidden="1">
      <c r="E43552" s="96"/>
    </row>
    <row r="43553" hidden="1">
      <c r="E43553" s="96"/>
    </row>
    <row r="43554" hidden="1">
      <c r="E43554" s="96"/>
    </row>
    <row r="43555" hidden="1">
      <c r="E43555" s="96"/>
    </row>
    <row r="43556" hidden="1">
      <c r="E43556" s="96"/>
    </row>
    <row r="43557" hidden="1">
      <c r="E43557" s="96"/>
    </row>
    <row r="43558" hidden="1">
      <c r="E43558" s="96"/>
    </row>
    <row r="43559" hidden="1">
      <c r="E43559" s="96"/>
    </row>
    <row r="43560" hidden="1">
      <c r="E43560" s="96"/>
    </row>
    <row r="43561" hidden="1">
      <c r="E43561" s="96"/>
    </row>
    <row r="43562" hidden="1">
      <c r="E43562" s="96"/>
    </row>
    <row r="43563" hidden="1">
      <c r="E43563" s="96"/>
    </row>
    <row r="43564" hidden="1">
      <c r="E43564" s="96"/>
    </row>
    <row r="43565" hidden="1">
      <c r="E43565" s="96"/>
    </row>
    <row r="43566" hidden="1">
      <c r="E43566" s="96"/>
    </row>
    <row r="43567" hidden="1">
      <c r="E43567" s="96"/>
    </row>
    <row r="43568" hidden="1">
      <c r="E43568" s="96"/>
    </row>
    <row r="43569" hidden="1">
      <c r="E43569" s="96"/>
    </row>
    <row r="43570" hidden="1">
      <c r="E43570" s="96"/>
    </row>
    <row r="43571" hidden="1">
      <c r="E43571" s="96"/>
    </row>
    <row r="43572" hidden="1">
      <c r="E43572" s="96"/>
    </row>
    <row r="43573" hidden="1">
      <c r="E43573" s="96"/>
    </row>
    <row r="43574" hidden="1">
      <c r="E43574" s="96"/>
    </row>
    <row r="43575" hidden="1">
      <c r="E43575" s="96"/>
    </row>
    <row r="43576" hidden="1">
      <c r="E43576" s="96"/>
    </row>
    <row r="43577" hidden="1">
      <c r="E43577" s="96"/>
    </row>
    <row r="43578" hidden="1">
      <c r="E43578" s="96"/>
    </row>
    <row r="43579" hidden="1">
      <c r="E43579" s="96"/>
    </row>
    <row r="43580" hidden="1">
      <c r="E43580" s="96"/>
    </row>
    <row r="43581" hidden="1">
      <c r="E43581" s="96"/>
    </row>
    <row r="43582" hidden="1">
      <c r="E43582" s="96"/>
    </row>
    <row r="43583" hidden="1">
      <c r="E43583" s="96"/>
    </row>
    <row r="43584" hidden="1">
      <c r="E43584" s="96"/>
    </row>
    <row r="43585" hidden="1">
      <c r="E43585" s="96"/>
    </row>
    <row r="43586" hidden="1">
      <c r="E43586" s="96"/>
    </row>
    <row r="43587" hidden="1">
      <c r="E43587" s="96"/>
    </row>
    <row r="43588" hidden="1">
      <c r="E43588" s="96"/>
    </row>
    <row r="43589" hidden="1">
      <c r="E43589" s="96"/>
    </row>
    <row r="43590" hidden="1">
      <c r="E43590" s="96"/>
    </row>
    <row r="43591" hidden="1">
      <c r="E43591" s="96"/>
    </row>
    <row r="43592" hidden="1">
      <c r="E43592" s="96"/>
    </row>
    <row r="43593" hidden="1">
      <c r="E43593" s="96"/>
    </row>
    <row r="43594" hidden="1">
      <c r="E43594" s="96"/>
    </row>
    <row r="43595" hidden="1">
      <c r="E43595" s="96"/>
    </row>
    <row r="43596" hidden="1">
      <c r="E43596" s="96"/>
    </row>
    <row r="43597" hidden="1">
      <c r="E43597" s="96"/>
    </row>
    <row r="43598" hidden="1">
      <c r="E43598" s="96"/>
    </row>
    <row r="43599" hidden="1">
      <c r="E43599" s="96"/>
    </row>
    <row r="43600" hidden="1">
      <c r="E43600" s="96"/>
    </row>
    <row r="43601" hidden="1">
      <c r="E43601" s="96"/>
    </row>
    <row r="43602" hidden="1">
      <c r="E43602" s="96"/>
    </row>
    <row r="43603" hidden="1">
      <c r="E43603" s="96"/>
    </row>
    <row r="43604" hidden="1">
      <c r="E43604" s="96"/>
    </row>
    <row r="43605" hidden="1">
      <c r="E43605" s="96"/>
    </row>
    <row r="43606" hidden="1">
      <c r="E43606" s="96"/>
    </row>
    <row r="43607" hidden="1">
      <c r="E43607" s="96"/>
    </row>
    <row r="43608" hidden="1">
      <c r="E43608" s="96"/>
    </row>
    <row r="43609" hidden="1">
      <c r="E43609" s="96"/>
    </row>
    <row r="43610" hidden="1">
      <c r="E43610" s="96"/>
    </row>
    <row r="43611" hidden="1">
      <c r="E43611" s="96"/>
    </row>
    <row r="43612" hidden="1">
      <c r="E43612" s="96"/>
    </row>
    <row r="43613" hidden="1">
      <c r="E43613" s="96"/>
    </row>
    <row r="43614" hidden="1">
      <c r="E43614" s="96"/>
    </row>
    <row r="43615" hidden="1">
      <c r="E43615" s="96"/>
    </row>
    <row r="43616" hidden="1">
      <c r="E43616" s="96"/>
    </row>
    <row r="43617" hidden="1">
      <c r="E43617" s="96"/>
    </row>
    <row r="43618" hidden="1">
      <c r="E43618" s="96"/>
    </row>
    <row r="43619" hidden="1">
      <c r="E43619" s="96"/>
    </row>
    <row r="43620" hidden="1">
      <c r="E43620" s="96"/>
    </row>
    <row r="43621" hidden="1">
      <c r="E43621" s="96"/>
    </row>
    <row r="43622" hidden="1">
      <c r="E43622" s="96"/>
    </row>
    <row r="43623" hidden="1">
      <c r="E43623" s="96"/>
    </row>
    <row r="43624" hidden="1">
      <c r="E43624" s="96"/>
    </row>
    <row r="43625" hidden="1">
      <c r="E43625" s="96"/>
    </row>
    <row r="43626" hidden="1">
      <c r="E43626" s="96"/>
    </row>
    <row r="43627" hidden="1">
      <c r="E43627" s="96"/>
    </row>
    <row r="43628" hidden="1">
      <c r="E43628" s="96"/>
    </row>
    <row r="43629" hidden="1">
      <c r="E43629" s="96"/>
    </row>
    <row r="43630" hidden="1">
      <c r="E43630" s="96"/>
    </row>
    <row r="43631" hidden="1">
      <c r="E43631" s="96"/>
    </row>
    <row r="43632" hidden="1">
      <c r="E43632" s="96"/>
    </row>
    <row r="43633" hidden="1">
      <c r="E43633" s="96"/>
    </row>
    <row r="43634" hidden="1">
      <c r="E43634" s="96"/>
    </row>
    <row r="43635" hidden="1">
      <c r="E43635" s="96"/>
    </row>
    <row r="43636" hidden="1">
      <c r="E43636" s="96"/>
    </row>
    <row r="43637" hidden="1">
      <c r="E43637" s="96"/>
    </row>
    <row r="43638" hidden="1">
      <c r="E43638" s="96"/>
    </row>
    <row r="43639" hidden="1">
      <c r="E43639" s="96"/>
    </row>
    <row r="43640" hidden="1">
      <c r="E43640" s="96"/>
    </row>
    <row r="43641" hidden="1">
      <c r="E43641" s="96"/>
    </row>
    <row r="43642" hidden="1">
      <c r="E43642" s="96"/>
    </row>
    <row r="43643" hidden="1">
      <c r="E43643" s="96"/>
    </row>
    <row r="43644" hidden="1">
      <c r="E43644" s="96"/>
    </row>
    <row r="43645" hidden="1">
      <c r="E43645" s="96"/>
    </row>
    <row r="43646" hidden="1">
      <c r="E43646" s="96"/>
    </row>
    <row r="43647" hidden="1">
      <c r="E43647" s="96"/>
    </row>
    <row r="43648" hidden="1">
      <c r="E43648" s="96"/>
    </row>
    <row r="43649" hidden="1">
      <c r="E43649" s="96"/>
    </row>
    <row r="43650" hidden="1">
      <c r="E43650" s="96"/>
    </row>
    <row r="43651" hidden="1">
      <c r="E43651" s="96"/>
    </row>
    <row r="43652" hidden="1">
      <c r="E43652" s="96"/>
    </row>
    <row r="43653" hidden="1">
      <c r="E43653" s="96"/>
    </row>
    <row r="43654" hidden="1">
      <c r="E43654" s="96"/>
    </row>
    <row r="43655" hidden="1">
      <c r="E43655" s="96"/>
    </row>
    <row r="43656" hidden="1">
      <c r="E43656" s="96"/>
    </row>
    <row r="43657" hidden="1">
      <c r="E43657" s="96"/>
    </row>
    <row r="43658" hidden="1">
      <c r="E43658" s="96"/>
    </row>
    <row r="43659" hidden="1">
      <c r="E43659" s="96"/>
    </row>
    <row r="43660" hidden="1">
      <c r="E43660" s="96"/>
    </row>
    <row r="43661" hidden="1">
      <c r="E43661" s="96"/>
    </row>
    <row r="43662" hidden="1">
      <c r="E43662" s="96"/>
    </row>
    <row r="43663" hidden="1">
      <c r="E43663" s="96"/>
    </row>
    <row r="43664" hidden="1">
      <c r="E43664" s="96"/>
    </row>
    <row r="43665" hidden="1">
      <c r="E43665" s="96"/>
    </row>
    <row r="43666" hidden="1">
      <c r="E43666" s="96"/>
    </row>
    <row r="43667" hidden="1">
      <c r="E43667" s="96"/>
    </row>
    <row r="43668" hidden="1">
      <c r="E43668" s="96"/>
    </row>
    <row r="43669" hidden="1">
      <c r="E43669" s="96"/>
    </row>
    <row r="43670" hidden="1">
      <c r="E43670" s="96"/>
    </row>
    <row r="43671" hidden="1">
      <c r="E43671" s="96"/>
    </row>
    <row r="43672" hidden="1">
      <c r="E43672" s="96"/>
    </row>
    <row r="43673" hidden="1">
      <c r="E43673" s="96"/>
    </row>
    <row r="43674" hidden="1">
      <c r="E43674" s="96"/>
    </row>
    <row r="43675" hidden="1">
      <c r="E43675" s="96"/>
    </row>
    <row r="43676" hidden="1">
      <c r="E43676" s="96"/>
    </row>
    <row r="43677" hidden="1">
      <c r="E43677" s="96"/>
    </row>
    <row r="43678" hidden="1">
      <c r="E43678" s="96"/>
    </row>
    <row r="43679" hidden="1">
      <c r="E43679" s="96"/>
    </row>
    <row r="43680" hidden="1">
      <c r="E43680" s="96"/>
    </row>
    <row r="43681" hidden="1">
      <c r="E43681" s="96"/>
    </row>
    <row r="43682" hidden="1">
      <c r="E43682" s="96"/>
    </row>
    <row r="43683" hidden="1">
      <c r="E43683" s="96"/>
    </row>
    <row r="43684" hidden="1">
      <c r="E43684" s="96"/>
    </row>
    <row r="43685" hidden="1">
      <c r="E43685" s="96"/>
    </row>
    <row r="43686" hidden="1">
      <c r="E43686" s="96"/>
    </row>
    <row r="43687" hidden="1">
      <c r="E43687" s="96"/>
    </row>
    <row r="43688" hidden="1">
      <c r="E43688" s="96"/>
    </row>
    <row r="43689" hidden="1">
      <c r="E43689" s="96"/>
    </row>
    <row r="43690" hidden="1">
      <c r="E43690" s="96"/>
    </row>
    <row r="43691" hidden="1">
      <c r="E43691" s="96"/>
    </row>
    <row r="43692" hidden="1">
      <c r="E43692" s="96"/>
    </row>
    <row r="43693" hidden="1">
      <c r="E43693" s="96"/>
    </row>
    <row r="43694" hidden="1">
      <c r="E43694" s="96"/>
    </row>
    <row r="43695" hidden="1">
      <c r="E43695" s="96"/>
    </row>
    <row r="43696" hidden="1">
      <c r="E43696" s="96"/>
    </row>
    <row r="43697" hidden="1">
      <c r="E43697" s="96"/>
    </row>
    <row r="43698" hidden="1">
      <c r="E43698" s="96"/>
    </row>
    <row r="43699" hidden="1">
      <c r="E43699" s="96"/>
    </row>
    <row r="43700" hidden="1">
      <c r="E43700" s="96"/>
    </row>
    <row r="43701" hidden="1">
      <c r="E43701" s="96"/>
    </row>
    <row r="43702" hidden="1">
      <c r="E43702" s="96"/>
    </row>
    <row r="43703" hidden="1">
      <c r="E43703" s="96"/>
    </row>
    <row r="43704" hidden="1">
      <c r="E43704" s="96"/>
    </row>
    <row r="43705" hidden="1">
      <c r="E43705" s="96"/>
    </row>
    <row r="43706" hidden="1">
      <c r="E43706" s="96"/>
    </row>
    <row r="43707" hidden="1">
      <c r="E43707" s="96"/>
    </row>
    <row r="43708" hidden="1">
      <c r="E43708" s="96"/>
    </row>
    <row r="43709" hidden="1">
      <c r="E43709" s="96"/>
    </row>
    <row r="43710" hidden="1">
      <c r="E43710" s="96"/>
    </row>
    <row r="43711" hidden="1">
      <c r="E43711" s="96"/>
    </row>
    <row r="43712" hidden="1">
      <c r="E43712" s="96"/>
    </row>
    <row r="43713" hidden="1">
      <c r="E43713" s="96"/>
    </row>
    <row r="43714" hidden="1">
      <c r="E43714" s="96"/>
    </row>
    <row r="43715" hidden="1">
      <c r="E43715" s="96"/>
    </row>
    <row r="43716" hidden="1">
      <c r="E43716" s="96"/>
    </row>
    <row r="43717" hidden="1">
      <c r="E43717" s="96"/>
    </row>
    <row r="43718" hidden="1">
      <c r="E43718" s="96"/>
    </row>
    <row r="43719" hidden="1">
      <c r="E43719" s="96"/>
    </row>
    <row r="43720" hidden="1">
      <c r="E43720" s="96"/>
    </row>
    <row r="43721" hidden="1">
      <c r="E43721" s="96"/>
    </row>
    <row r="43722" hidden="1">
      <c r="E43722" s="96"/>
    </row>
    <row r="43723" hidden="1">
      <c r="E43723" s="96"/>
    </row>
    <row r="43724" hidden="1">
      <c r="E43724" s="96"/>
    </row>
    <row r="43725" hidden="1">
      <c r="E43725" s="96"/>
    </row>
    <row r="43726" hidden="1">
      <c r="E43726" s="96"/>
    </row>
    <row r="43727" hidden="1">
      <c r="E43727" s="96"/>
    </row>
    <row r="43728" hidden="1">
      <c r="E43728" s="96"/>
    </row>
    <row r="43729" hidden="1">
      <c r="E43729" s="96"/>
    </row>
    <row r="43730" hidden="1">
      <c r="E43730" s="96"/>
    </row>
    <row r="43731" hidden="1">
      <c r="E43731" s="96"/>
    </row>
    <row r="43732" hidden="1">
      <c r="E43732" s="96"/>
    </row>
    <row r="43733" hidden="1">
      <c r="E43733" s="96"/>
    </row>
    <row r="43734" hidden="1">
      <c r="E43734" s="96"/>
    </row>
    <row r="43735" hidden="1">
      <c r="E43735" s="96"/>
    </row>
    <row r="43736" hidden="1">
      <c r="E43736" s="96"/>
    </row>
    <row r="43737" hidden="1">
      <c r="E43737" s="96"/>
    </row>
    <row r="43738" hidden="1">
      <c r="E43738" s="96"/>
    </row>
    <row r="43739" hidden="1">
      <c r="E43739" s="96"/>
    </row>
    <row r="43740" hidden="1">
      <c r="E43740" s="96"/>
    </row>
    <row r="43741" hidden="1">
      <c r="E43741" s="96"/>
    </row>
    <row r="43742" hidden="1">
      <c r="E43742" s="96"/>
    </row>
    <row r="43743" hidden="1">
      <c r="E43743" s="96"/>
    </row>
    <row r="43744" hidden="1">
      <c r="E43744" s="96"/>
    </row>
    <row r="43745" hidden="1">
      <c r="E43745" s="96"/>
    </row>
    <row r="43746" hidden="1">
      <c r="E43746" s="96"/>
    </row>
    <row r="43747" hidden="1">
      <c r="E43747" s="96"/>
    </row>
    <row r="43748" hidden="1">
      <c r="E43748" s="96"/>
    </row>
    <row r="43749" hidden="1">
      <c r="E43749" s="96"/>
    </row>
    <row r="43750" hidden="1">
      <c r="E43750" s="96"/>
    </row>
    <row r="43751" hidden="1">
      <c r="E43751" s="96"/>
    </row>
    <row r="43752" hidden="1">
      <c r="E43752" s="96"/>
    </row>
    <row r="43753" hidden="1">
      <c r="E43753" s="96"/>
    </row>
    <row r="43754" hidden="1">
      <c r="E43754" s="96"/>
    </row>
    <row r="43755" hidden="1">
      <c r="E43755" s="96"/>
    </row>
    <row r="43756" hidden="1">
      <c r="E43756" s="96"/>
    </row>
    <row r="43757" hidden="1">
      <c r="E43757" s="96"/>
    </row>
    <row r="43758" hidden="1">
      <c r="E43758" s="96"/>
    </row>
    <row r="43759" hidden="1">
      <c r="E43759" s="96"/>
    </row>
    <row r="43760" hidden="1">
      <c r="E43760" s="96"/>
    </row>
    <row r="43761" hidden="1">
      <c r="E43761" s="96"/>
    </row>
    <row r="43762" hidden="1">
      <c r="E43762" s="96"/>
    </row>
    <row r="43763" hidden="1">
      <c r="E43763" s="96"/>
    </row>
    <row r="43764" hidden="1">
      <c r="E43764" s="96"/>
    </row>
    <row r="43765" hidden="1">
      <c r="E43765" s="96"/>
    </row>
    <row r="43766" hidden="1">
      <c r="E43766" s="96"/>
    </row>
    <row r="43767" hidden="1">
      <c r="E43767" s="96"/>
    </row>
    <row r="43768" hidden="1">
      <c r="E43768" s="96"/>
    </row>
    <row r="43769" hidden="1">
      <c r="E43769" s="96"/>
    </row>
    <row r="43770" hidden="1">
      <c r="E43770" s="96"/>
    </row>
    <row r="43771" hidden="1">
      <c r="E43771" s="96"/>
    </row>
    <row r="43772" hidden="1">
      <c r="E43772" s="96"/>
    </row>
    <row r="43773" hidden="1">
      <c r="E43773" s="96"/>
    </row>
    <row r="43774" hidden="1">
      <c r="E43774" s="96"/>
    </row>
    <row r="43775" hidden="1">
      <c r="E43775" s="96"/>
    </row>
    <row r="43776" hidden="1">
      <c r="E43776" s="96"/>
    </row>
    <row r="43777" hidden="1">
      <c r="E43777" s="96"/>
    </row>
    <row r="43778" hidden="1">
      <c r="E43778" s="96"/>
    </row>
    <row r="43779" hidden="1">
      <c r="E43779" s="96"/>
    </row>
    <row r="43780" hidden="1">
      <c r="E43780" s="96"/>
    </row>
    <row r="43781" hidden="1">
      <c r="E43781" s="96"/>
    </row>
    <row r="43782" hidden="1">
      <c r="E43782" s="96"/>
    </row>
    <row r="43783" hidden="1">
      <c r="E43783" s="96"/>
    </row>
    <row r="43784" hidden="1">
      <c r="E43784" s="96"/>
    </row>
    <row r="43785" hidden="1">
      <c r="E43785" s="96"/>
    </row>
    <row r="43786" hidden="1">
      <c r="E43786" s="96"/>
    </row>
    <row r="43787" hidden="1">
      <c r="E43787" s="96"/>
    </row>
    <row r="43788" hidden="1">
      <c r="E43788" s="96"/>
    </row>
    <row r="43789" hidden="1">
      <c r="E43789" s="96"/>
    </row>
    <row r="43790" hidden="1">
      <c r="E43790" s="96"/>
    </row>
    <row r="43791" hidden="1">
      <c r="E43791" s="96"/>
    </row>
    <row r="43792" hidden="1">
      <c r="E43792" s="96"/>
    </row>
    <row r="43793" hidden="1">
      <c r="E43793" s="96"/>
    </row>
    <row r="43794" hidden="1">
      <c r="E43794" s="96"/>
    </row>
    <row r="43795" hidden="1">
      <c r="E43795" s="96"/>
    </row>
    <row r="43796" hidden="1">
      <c r="E43796" s="96"/>
    </row>
    <row r="43797" hidden="1">
      <c r="E43797" s="96"/>
    </row>
    <row r="43798" hidden="1">
      <c r="E43798" s="96"/>
    </row>
    <row r="43799" hidden="1">
      <c r="E43799" s="96"/>
    </row>
    <row r="43800" hidden="1">
      <c r="E43800" s="96"/>
    </row>
    <row r="43801" hidden="1">
      <c r="E43801" s="96"/>
    </row>
    <row r="43802" hidden="1">
      <c r="E43802" s="96"/>
    </row>
    <row r="43803" hidden="1">
      <c r="E43803" s="96"/>
    </row>
    <row r="43804" hidden="1">
      <c r="E43804" s="96"/>
    </row>
    <row r="43805" hidden="1">
      <c r="E43805" s="96"/>
    </row>
    <row r="43806" hidden="1">
      <c r="E43806" s="96"/>
    </row>
    <row r="43807" hidden="1">
      <c r="E43807" s="96"/>
    </row>
    <row r="43808" hidden="1">
      <c r="E43808" s="96"/>
    </row>
    <row r="43809" hidden="1">
      <c r="E43809" s="96"/>
    </row>
    <row r="43810" hidden="1">
      <c r="E43810" s="96"/>
    </row>
    <row r="43811" hidden="1">
      <c r="E43811" s="96"/>
    </row>
    <row r="43812" hidden="1">
      <c r="E43812" s="96"/>
    </row>
    <row r="43813" hidden="1">
      <c r="E43813" s="96"/>
    </row>
    <row r="43814" hidden="1">
      <c r="E43814" s="96"/>
    </row>
    <row r="43815" hidden="1">
      <c r="E43815" s="96"/>
    </row>
    <row r="43816" hidden="1">
      <c r="E43816" s="96"/>
    </row>
    <row r="43817" hidden="1">
      <c r="E43817" s="96"/>
    </row>
    <row r="43818" hidden="1">
      <c r="E43818" s="96"/>
    </row>
    <row r="43819" hidden="1">
      <c r="E43819" s="96"/>
    </row>
    <row r="43820" hidden="1">
      <c r="E43820" s="96"/>
    </row>
    <row r="43821" hidden="1">
      <c r="E43821" s="96"/>
    </row>
    <row r="43822" hidden="1">
      <c r="E43822" s="96"/>
    </row>
    <row r="43823" hidden="1">
      <c r="E43823" s="96"/>
    </row>
    <row r="43824" hidden="1">
      <c r="E43824" s="96"/>
    </row>
    <row r="43825" hidden="1">
      <c r="E43825" s="96"/>
    </row>
    <row r="43826" hidden="1">
      <c r="E43826" s="96"/>
    </row>
    <row r="43827" hidden="1">
      <c r="E43827" s="96"/>
    </row>
    <row r="43828" hidden="1">
      <c r="E43828" s="96"/>
    </row>
    <row r="43829" hidden="1">
      <c r="E43829" s="96"/>
    </row>
    <row r="43830" hidden="1">
      <c r="E43830" s="96"/>
    </row>
    <row r="43831" hidden="1">
      <c r="E43831" s="96"/>
    </row>
    <row r="43832" hidden="1">
      <c r="E43832" s="96"/>
    </row>
    <row r="43833" hidden="1">
      <c r="E43833" s="96"/>
    </row>
    <row r="43834" hidden="1">
      <c r="E43834" s="96"/>
    </row>
    <row r="43835" hidden="1">
      <c r="E43835" s="96"/>
    </row>
    <row r="43836" hidden="1">
      <c r="E43836" s="96"/>
    </row>
    <row r="43837" hidden="1">
      <c r="E43837" s="96"/>
    </row>
    <row r="43838" hidden="1">
      <c r="E43838" s="96"/>
    </row>
    <row r="43839" hidden="1">
      <c r="E43839" s="96"/>
    </row>
    <row r="43840" hidden="1">
      <c r="E43840" s="96"/>
    </row>
    <row r="43841" hidden="1">
      <c r="E43841" s="96"/>
    </row>
    <row r="43842" hidden="1">
      <c r="E43842" s="96"/>
    </row>
    <row r="43843" hidden="1">
      <c r="E43843" s="96"/>
    </row>
    <row r="43844" hidden="1">
      <c r="E43844" s="96"/>
    </row>
    <row r="43845" hidden="1">
      <c r="E43845" s="96"/>
    </row>
    <row r="43846" hidden="1">
      <c r="E43846" s="96"/>
    </row>
    <row r="43847" hidden="1">
      <c r="E43847" s="96"/>
    </row>
    <row r="43848" hidden="1">
      <c r="E43848" s="96"/>
    </row>
    <row r="43849" hidden="1">
      <c r="E43849" s="96"/>
    </row>
    <row r="43850" hidden="1">
      <c r="E43850" s="96"/>
    </row>
    <row r="43851" hidden="1">
      <c r="E43851" s="96"/>
    </row>
    <row r="43852" hidden="1">
      <c r="E43852" s="96"/>
    </row>
    <row r="43853" hidden="1">
      <c r="E43853" s="96"/>
    </row>
    <row r="43854" hidden="1">
      <c r="E43854" s="96"/>
    </row>
    <row r="43855" hidden="1">
      <c r="E43855" s="96"/>
    </row>
    <row r="43856" hidden="1">
      <c r="E43856" s="96"/>
    </row>
    <row r="43857" hidden="1">
      <c r="E43857" s="96"/>
    </row>
    <row r="43858" hidden="1">
      <c r="E43858" s="96"/>
    </row>
    <row r="43859" hidden="1">
      <c r="E43859" s="96"/>
    </row>
    <row r="43860" hidden="1">
      <c r="E43860" s="96"/>
    </row>
    <row r="43861" hidden="1">
      <c r="E43861" s="96"/>
    </row>
    <row r="43862" hidden="1">
      <c r="E43862" s="96"/>
    </row>
    <row r="43863" hidden="1">
      <c r="E43863" s="96"/>
    </row>
    <row r="43864" hidden="1">
      <c r="E43864" s="96"/>
    </row>
    <row r="43865" hidden="1">
      <c r="E43865" s="96"/>
    </row>
    <row r="43866" hidden="1">
      <c r="E43866" s="96"/>
    </row>
    <row r="43867" hidden="1">
      <c r="E43867" s="96"/>
    </row>
    <row r="43868" hidden="1">
      <c r="E43868" s="96"/>
    </row>
    <row r="43869" hidden="1">
      <c r="E43869" s="96"/>
    </row>
    <row r="43870" hidden="1">
      <c r="E43870" s="96"/>
    </row>
    <row r="43871" hidden="1">
      <c r="E43871" s="96"/>
    </row>
    <row r="43872" hidden="1">
      <c r="E43872" s="96"/>
    </row>
    <row r="43873" hidden="1">
      <c r="E43873" s="96"/>
    </row>
    <row r="43874" hidden="1">
      <c r="E43874" s="96"/>
    </row>
    <row r="43875" hidden="1">
      <c r="E43875" s="96"/>
    </row>
    <row r="43876" hidden="1">
      <c r="E43876" s="96"/>
    </row>
    <row r="43877" hidden="1">
      <c r="E43877" s="96"/>
    </row>
    <row r="43878" hidden="1">
      <c r="E43878" s="96"/>
    </row>
    <row r="43879" hidden="1">
      <c r="E43879" s="96"/>
    </row>
    <row r="43880" hidden="1">
      <c r="E43880" s="96"/>
    </row>
    <row r="43881" hidden="1">
      <c r="E43881" s="96"/>
    </row>
    <row r="43882" hidden="1">
      <c r="E43882" s="96"/>
    </row>
    <row r="43883" hidden="1">
      <c r="E43883" s="96"/>
    </row>
    <row r="43884" hidden="1">
      <c r="E43884" s="96"/>
    </row>
    <row r="43885" hidden="1">
      <c r="E43885" s="96"/>
    </row>
    <row r="43886" hidden="1">
      <c r="E43886" s="96"/>
    </row>
    <row r="43887" hidden="1">
      <c r="E43887" s="96"/>
    </row>
    <row r="43888" hidden="1">
      <c r="E43888" s="96"/>
    </row>
    <row r="43889" hidden="1">
      <c r="E43889" s="96"/>
    </row>
    <row r="43890" hidden="1">
      <c r="E43890" s="96"/>
    </row>
    <row r="43891" hidden="1">
      <c r="E43891" s="96"/>
    </row>
    <row r="43892" hidden="1">
      <c r="E43892" s="96"/>
    </row>
    <row r="43893" hidden="1">
      <c r="E43893" s="96"/>
    </row>
    <row r="43894" hidden="1">
      <c r="E43894" s="96"/>
    </row>
    <row r="43895" hidden="1">
      <c r="E43895" s="96"/>
    </row>
    <row r="43896" hidden="1">
      <c r="E43896" s="96"/>
    </row>
    <row r="43897" hidden="1">
      <c r="E43897" s="96"/>
    </row>
    <row r="43898" hidden="1">
      <c r="E43898" s="96"/>
    </row>
    <row r="43899" hidden="1">
      <c r="E43899" s="96"/>
    </row>
    <row r="43900" hidden="1">
      <c r="E43900" s="96"/>
    </row>
    <row r="43901" hidden="1">
      <c r="E43901" s="96"/>
    </row>
    <row r="43902" hidden="1">
      <c r="E43902" s="96"/>
    </row>
    <row r="43903" hidden="1">
      <c r="E43903" s="96"/>
    </row>
    <row r="43904" hidden="1">
      <c r="E43904" s="96"/>
    </row>
    <row r="43905" hidden="1">
      <c r="E43905" s="96"/>
    </row>
    <row r="43906" hidden="1">
      <c r="E43906" s="96"/>
    </row>
    <row r="43907" hidden="1">
      <c r="E43907" s="96"/>
    </row>
    <row r="43908" hidden="1">
      <c r="E43908" s="96"/>
    </row>
    <row r="43909" hidden="1">
      <c r="E43909" s="96"/>
    </row>
    <row r="43910" hidden="1">
      <c r="E43910" s="96"/>
    </row>
    <row r="43911" hidden="1">
      <c r="E43911" s="96"/>
    </row>
    <row r="43912" hidden="1">
      <c r="E43912" s="96"/>
    </row>
    <row r="43913" hidden="1">
      <c r="E43913" s="96"/>
    </row>
    <row r="43914" hidden="1">
      <c r="E43914" s="96"/>
    </row>
    <row r="43915" hidden="1">
      <c r="E43915" s="96"/>
    </row>
    <row r="43916" hidden="1">
      <c r="E43916" s="96"/>
    </row>
    <row r="43917" hidden="1">
      <c r="E43917" s="96"/>
    </row>
    <row r="43918" hidden="1">
      <c r="E43918" s="96"/>
    </row>
    <row r="43919" hidden="1">
      <c r="E43919" s="96"/>
    </row>
    <row r="43920" hidden="1">
      <c r="E43920" s="96"/>
    </row>
    <row r="43921" hidden="1">
      <c r="E43921" s="96"/>
    </row>
    <row r="43922" hidden="1">
      <c r="E43922" s="96"/>
    </row>
    <row r="43923" hidden="1">
      <c r="E43923" s="96"/>
    </row>
    <row r="43924" hidden="1">
      <c r="E43924" s="96"/>
    </row>
    <row r="43925" hidden="1">
      <c r="E43925" s="96"/>
    </row>
    <row r="43926" hidden="1">
      <c r="E43926" s="96"/>
    </row>
    <row r="43927" hidden="1">
      <c r="E43927" s="96"/>
    </row>
    <row r="43928" hidden="1">
      <c r="E43928" s="96"/>
    </row>
    <row r="43929" hidden="1">
      <c r="E43929" s="96"/>
    </row>
    <row r="43930" hidden="1">
      <c r="E43930" s="96"/>
    </row>
    <row r="43931" hidden="1">
      <c r="E43931" s="96"/>
    </row>
    <row r="43932" hidden="1">
      <c r="E43932" s="96"/>
    </row>
    <row r="43933" hidden="1">
      <c r="E43933" s="96"/>
    </row>
    <row r="43934" hidden="1">
      <c r="E43934" s="96"/>
    </row>
    <row r="43935" hidden="1">
      <c r="E43935" s="96"/>
    </row>
    <row r="43936" hidden="1">
      <c r="E43936" s="96"/>
    </row>
    <row r="43937" hidden="1">
      <c r="E43937" s="96"/>
    </row>
    <row r="43938" hidden="1">
      <c r="E43938" s="96"/>
    </row>
    <row r="43939" hidden="1">
      <c r="E43939" s="96"/>
    </row>
    <row r="43940" hidden="1">
      <c r="E43940" s="96"/>
    </row>
    <row r="43941" hidden="1">
      <c r="E43941" s="96"/>
    </row>
    <row r="43942" hidden="1">
      <c r="E43942" s="96"/>
    </row>
    <row r="43943" hidden="1">
      <c r="E43943" s="96"/>
    </row>
    <row r="43944" hidden="1">
      <c r="E43944" s="96"/>
    </row>
    <row r="43945" hidden="1">
      <c r="E43945" s="96"/>
    </row>
    <row r="43946" hidden="1">
      <c r="E43946" s="96"/>
    </row>
    <row r="43947" hidden="1">
      <c r="E43947" s="96"/>
    </row>
    <row r="43948" hidden="1">
      <c r="E43948" s="96"/>
    </row>
    <row r="43949" hidden="1">
      <c r="E43949" s="96"/>
    </row>
    <row r="43950" hidden="1">
      <c r="E43950" s="96"/>
    </row>
    <row r="43951" hidden="1">
      <c r="E43951" s="96"/>
    </row>
    <row r="43952" hidden="1">
      <c r="E43952" s="96"/>
    </row>
    <row r="43953" hidden="1">
      <c r="E43953" s="96"/>
    </row>
    <row r="43954" hidden="1">
      <c r="E43954" s="96"/>
    </row>
    <row r="43955" hidden="1">
      <c r="E43955" s="96"/>
    </row>
    <row r="43956" hidden="1">
      <c r="E43956" s="96"/>
    </row>
    <row r="43957" hidden="1">
      <c r="E43957" s="96"/>
    </row>
    <row r="43958" hidden="1">
      <c r="E43958" s="96"/>
    </row>
    <row r="43959" hidden="1">
      <c r="E43959" s="96"/>
    </row>
    <row r="43960" hidden="1">
      <c r="E43960" s="96"/>
    </row>
    <row r="43961" hidden="1">
      <c r="E43961" s="96"/>
    </row>
    <row r="43962" hidden="1">
      <c r="E43962" s="96"/>
    </row>
    <row r="43963" hidden="1">
      <c r="E43963" s="96"/>
    </row>
    <row r="43964" hidden="1">
      <c r="E43964" s="96"/>
    </row>
    <row r="43965" hidden="1">
      <c r="E43965" s="96"/>
    </row>
    <row r="43966" hidden="1">
      <c r="E43966" s="96"/>
    </row>
    <row r="43967" hidden="1">
      <c r="E43967" s="96"/>
    </row>
    <row r="43968" hidden="1">
      <c r="E43968" s="96"/>
    </row>
    <row r="43969" hidden="1">
      <c r="E43969" s="96"/>
    </row>
    <row r="43970" hidden="1">
      <c r="E43970" s="96"/>
    </row>
    <row r="43971" hidden="1">
      <c r="E43971" s="96"/>
    </row>
    <row r="43972" hidden="1">
      <c r="E43972" s="96"/>
    </row>
    <row r="43973" hidden="1">
      <c r="E43973" s="96"/>
    </row>
    <row r="43974" hidden="1">
      <c r="E43974" s="96"/>
    </row>
    <row r="43975" hidden="1">
      <c r="E43975" s="96"/>
    </row>
    <row r="43976" hidden="1">
      <c r="E43976" s="96"/>
    </row>
    <row r="43977" hidden="1">
      <c r="E43977" s="96"/>
    </row>
    <row r="43978" hidden="1">
      <c r="E43978" s="96"/>
    </row>
    <row r="43979" hidden="1">
      <c r="E43979" s="96"/>
    </row>
    <row r="43980" hidden="1">
      <c r="E43980" s="96"/>
    </row>
    <row r="43981" hidden="1">
      <c r="E43981" s="96"/>
    </row>
    <row r="43982" hidden="1">
      <c r="E43982" s="96"/>
    </row>
    <row r="43983" hidden="1">
      <c r="E43983" s="96"/>
    </row>
    <row r="43984" hidden="1">
      <c r="E43984" s="96"/>
    </row>
    <row r="43985" hidden="1">
      <c r="E43985" s="96"/>
    </row>
    <row r="43986" hidden="1">
      <c r="E43986" s="96"/>
    </row>
    <row r="43987" hidden="1">
      <c r="E43987" s="96"/>
    </row>
    <row r="43988" hidden="1">
      <c r="E43988" s="96"/>
    </row>
    <row r="43989" hidden="1">
      <c r="E43989" s="96"/>
    </row>
    <row r="43990" hidden="1">
      <c r="E43990" s="96"/>
    </row>
    <row r="43991" hidden="1">
      <c r="E43991" s="96"/>
    </row>
    <row r="43992" hidden="1">
      <c r="E43992" s="96"/>
    </row>
    <row r="43993" hidden="1">
      <c r="E43993" s="96"/>
    </row>
    <row r="43994" hidden="1">
      <c r="E43994" s="96"/>
    </row>
    <row r="43995" hidden="1">
      <c r="E43995" s="96"/>
    </row>
    <row r="43996" hidden="1">
      <c r="E43996" s="96"/>
    </row>
    <row r="43997" hidden="1">
      <c r="E43997" s="96"/>
    </row>
    <row r="43998" hidden="1">
      <c r="E43998" s="96"/>
    </row>
    <row r="43999" hidden="1">
      <c r="E43999" s="96"/>
    </row>
    <row r="44000" hidden="1">
      <c r="E44000" s="96"/>
    </row>
    <row r="44001" hidden="1">
      <c r="E44001" s="96"/>
    </row>
    <row r="44002" hidden="1">
      <c r="E44002" s="96"/>
    </row>
    <row r="44003" hidden="1">
      <c r="E44003" s="96"/>
    </row>
    <row r="44004" hidden="1">
      <c r="E44004" s="96"/>
    </row>
    <row r="44005" hidden="1">
      <c r="E44005" s="96"/>
    </row>
    <row r="44006" hidden="1">
      <c r="E44006" s="96"/>
    </row>
    <row r="44007" hidden="1">
      <c r="E44007" s="96"/>
    </row>
    <row r="44008" hidden="1">
      <c r="E44008" s="96"/>
    </row>
    <row r="44009" hidden="1">
      <c r="E44009" s="96"/>
    </row>
    <row r="44010" hidden="1">
      <c r="E44010" s="96"/>
    </row>
    <row r="44011" hidden="1">
      <c r="E44011" s="96"/>
    </row>
    <row r="44012" hidden="1">
      <c r="E44012" s="96"/>
    </row>
    <row r="44013" hidden="1">
      <c r="E44013" s="96"/>
    </row>
    <row r="44014" hidden="1">
      <c r="E44014" s="96"/>
    </row>
    <row r="44015" hidden="1">
      <c r="E44015" s="96"/>
    </row>
    <row r="44016" hidden="1">
      <c r="E44016" s="96"/>
    </row>
    <row r="44017" hidden="1">
      <c r="E44017" s="96"/>
    </row>
    <row r="44018" hidden="1">
      <c r="E44018" s="96"/>
    </row>
    <row r="44019" hidden="1">
      <c r="E44019" s="96"/>
    </row>
    <row r="44020" hidden="1">
      <c r="E44020" s="96"/>
    </row>
    <row r="44021" hidden="1">
      <c r="E44021" s="96"/>
    </row>
    <row r="44022" hidden="1">
      <c r="E44022" s="96"/>
    </row>
    <row r="44023" hidden="1">
      <c r="E44023" s="96"/>
    </row>
    <row r="44024" hidden="1">
      <c r="E44024" s="96"/>
    </row>
    <row r="44025" hidden="1">
      <c r="E44025" s="96"/>
    </row>
    <row r="44026" hidden="1">
      <c r="E44026" s="96"/>
    </row>
    <row r="44027" hidden="1">
      <c r="E44027" s="96"/>
    </row>
    <row r="44028" hidden="1">
      <c r="E44028" s="96"/>
    </row>
    <row r="44029" hidden="1">
      <c r="E44029" s="96"/>
    </row>
    <row r="44030" hidden="1">
      <c r="E44030" s="96"/>
    </row>
    <row r="44031" hidden="1">
      <c r="E44031" s="96"/>
    </row>
    <row r="44032" hidden="1">
      <c r="E44032" s="96"/>
    </row>
    <row r="44033" hidden="1">
      <c r="E44033" s="96"/>
    </row>
    <row r="44034" hidden="1">
      <c r="E44034" s="96"/>
    </row>
    <row r="44035" hidden="1">
      <c r="E44035" s="96"/>
    </row>
    <row r="44036" hidden="1">
      <c r="E44036" s="96"/>
    </row>
    <row r="44037" hidden="1">
      <c r="E44037" s="96"/>
    </row>
    <row r="44038" hidden="1">
      <c r="E44038" s="96"/>
    </row>
    <row r="44039" hidden="1">
      <c r="E44039" s="96"/>
    </row>
    <row r="44040" hidden="1">
      <c r="E44040" s="96"/>
    </row>
    <row r="44041" hidden="1">
      <c r="E44041" s="96"/>
    </row>
    <row r="44042" hidden="1">
      <c r="E44042" s="96"/>
    </row>
    <row r="44043" hidden="1">
      <c r="E44043" s="96"/>
    </row>
    <row r="44044" hidden="1">
      <c r="E44044" s="96"/>
    </row>
    <row r="44045" hidden="1">
      <c r="E44045" s="96"/>
    </row>
    <row r="44046" hidden="1">
      <c r="E44046" s="96"/>
    </row>
    <row r="44047" hidden="1">
      <c r="E44047" s="96"/>
    </row>
    <row r="44048" hidden="1">
      <c r="E44048" s="96"/>
    </row>
    <row r="44049" hidden="1">
      <c r="E44049" s="96"/>
    </row>
    <row r="44050" hidden="1">
      <c r="E44050" s="96"/>
    </row>
    <row r="44051" hidden="1">
      <c r="E44051" s="96"/>
    </row>
    <row r="44052" hidden="1">
      <c r="E44052" s="96"/>
    </row>
    <row r="44053" hidden="1">
      <c r="E44053" s="96"/>
    </row>
    <row r="44054" hidden="1">
      <c r="E44054" s="96"/>
    </row>
    <row r="44055" hidden="1">
      <c r="E44055" s="96"/>
    </row>
    <row r="44056" hidden="1">
      <c r="E44056" s="96"/>
    </row>
    <row r="44057" hidden="1">
      <c r="E44057" s="96"/>
    </row>
    <row r="44058" hidden="1">
      <c r="E44058" s="96"/>
    </row>
    <row r="44059" hidden="1">
      <c r="E44059" s="96"/>
    </row>
    <row r="44060" hidden="1">
      <c r="E44060" s="96"/>
    </row>
    <row r="44061" hidden="1">
      <c r="E44061" s="96"/>
    </row>
    <row r="44062" hidden="1">
      <c r="E44062" s="96"/>
    </row>
    <row r="44063" hidden="1">
      <c r="E44063" s="96"/>
    </row>
    <row r="44064" hidden="1">
      <c r="E44064" s="96"/>
    </row>
    <row r="44065" hidden="1">
      <c r="E44065" s="96"/>
    </row>
    <row r="44066" hidden="1">
      <c r="E44066" s="96"/>
    </row>
    <row r="44067" hidden="1">
      <c r="E44067" s="96"/>
    </row>
    <row r="44068" hidden="1">
      <c r="E44068" s="96"/>
    </row>
    <row r="44069" hidden="1">
      <c r="E44069" s="96"/>
    </row>
    <row r="44070" hidden="1">
      <c r="E44070" s="96"/>
    </row>
    <row r="44071" hidden="1">
      <c r="E44071" s="96"/>
    </row>
    <row r="44072" hidden="1">
      <c r="E44072" s="96"/>
    </row>
    <row r="44073" hidden="1">
      <c r="E44073" s="96"/>
    </row>
    <row r="44074" hidden="1">
      <c r="E44074" s="96"/>
    </row>
    <row r="44075" hidden="1">
      <c r="E44075" s="96"/>
    </row>
    <row r="44076" hidden="1">
      <c r="E44076" s="96"/>
    </row>
    <row r="44077" hidden="1">
      <c r="E44077" s="96"/>
    </row>
    <row r="44078" hidden="1">
      <c r="E44078" s="96"/>
    </row>
    <row r="44079" hidden="1">
      <c r="E44079" s="96"/>
    </row>
    <row r="44080" hidden="1">
      <c r="E44080" s="96"/>
    </row>
    <row r="44081" hidden="1">
      <c r="E44081" s="96"/>
    </row>
    <row r="44082" hidden="1">
      <c r="E44082" s="96"/>
    </row>
    <row r="44083" hidden="1">
      <c r="E44083" s="96"/>
    </row>
    <row r="44084" hidden="1">
      <c r="E44084" s="96"/>
    </row>
    <row r="44085" hidden="1">
      <c r="E44085" s="96"/>
    </row>
    <row r="44086" hidden="1">
      <c r="E44086" s="96"/>
    </row>
    <row r="44087" hidden="1">
      <c r="E44087" s="96"/>
    </row>
    <row r="44088" hidden="1">
      <c r="E44088" s="96"/>
    </row>
    <row r="44089" hidden="1">
      <c r="E44089" s="96"/>
    </row>
    <row r="44090" hidden="1">
      <c r="E44090" s="96"/>
    </row>
    <row r="44091" hidden="1">
      <c r="E44091" s="96"/>
    </row>
    <row r="44092" hidden="1">
      <c r="E44092" s="96"/>
    </row>
    <row r="44093" hidden="1">
      <c r="E44093" s="96"/>
    </row>
    <row r="44094" hidden="1">
      <c r="E44094" s="96"/>
    </row>
    <row r="44095" hidden="1">
      <c r="E44095" s="96"/>
    </row>
    <row r="44096" hidden="1">
      <c r="E44096" s="96"/>
    </row>
    <row r="44097" hidden="1">
      <c r="E44097" s="96"/>
    </row>
    <row r="44098" hidden="1">
      <c r="E44098" s="96"/>
    </row>
    <row r="44099" hidden="1">
      <c r="E44099" s="96"/>
    </row>
    <row r="44100" hidden="1">
      <c r="E44100" s="96"/>
    </row>
    <row r="44101" hidden="1">
      <c r="E44101" s="96"/>
    </row>
    <row r="44102" hidden="1">
      <c r="E44102" s="96"/>
    </row>
    <row r="44103" hidden="1">
      <c r="E44103" s="96"/>
    </row>
    <row r="44104" hidden="1">
      <c r="E44104" s="96"/>
    </row>
    <row r="44105" hidden="1">
      <c r="E44105" s="96"/>
    </row>
    <row r="44106" hidden="1">
      <c r="E44106" s="96"/>
    </row>
    <row r="44107" hidden="1">
      <c r="E44107" s="96"/>
    </row>
    <row r="44108" hidden="1">
      <c r="E44108" s="96"/>
    </row>
    <row r="44109" hidden="1">
      <c r="E44109" s="96"/>
    </row>
    <row r="44110" hidden="1">
      <c r="E44110" s="96"/>
    </row>
    <row r="44111" hidden="1">
      <c r="E44111" s="96"/>
    </row>
    <row r="44112" hidden="1">
      <c r="E44112" s="96"/>
    </row>
    <row r="44113" hidden="1">
      <c r="E44113" s="96"/>
    </row>
    <row r="44114" hidden="1">
      <c r="E44114" s="96"/>
    </row>
    <row r="44115" hidden="1">
      <c r="E44115" s="96"/>
    </row>
    <row r="44116" hidden="1">
      <c r="E44116" s="96"/>
    </row>
    <row r="44117" hidden="1">
      <c r="E44117" s="96"/>
    </row>
    <row r="44118" hidden="1">
      <c r="E44118" s="96"/>
    </row>
    <row r="44119" hidden="1">
      <c r="E44119" s="96"/>
    </row>
    <row r="44120" hidden="1">
      <c r="E44120" s="96"/>
    </row>
    <row r="44121" hidden="1">
      <c r="E44121" s="96"/>
    </row>
    <row r="44122" hidden="1">
      <c r="E44122" s="96"/>
    </row>
    <row r="44123" hidden="1">
      <c r="E44123" s="96"/>
    </row>
    <row r="44124" hidden="1">
      <c r="E44124" s="96"/>
    </row>
    <row r="44125" hidden="1">
      <c r="E44125" s="96"/>
    </row>
    <row r="44126" hidden="1">
      <c r="E44126" s="96"/>
    </row>
    <row r="44127" hidden="1">
      <c r="E44127" s="96"/>
    </row>
    <row r="44128" hidden="1">
      <c r="E44128" s="96"/>
    </row>
    <row r="44129" hidden="1">
      <c r="E44129" s="96"/>
    </row>
    <row r="44130" hidden="1">
      <c r="E44130" s="96"/>
    </row>
    <row r="44131" hidden="1">
      <c r="E44131" s="96"/>
    </row>
    <row r="44132" hidden="1">
      <c r="E44132" s="96"/>
    </row>
    <row r="44133" hidden="1">
      <c r="E44133" s="96"/>
    </row>
    <row r="44134" hidden="1">
      <c r="E44134" s="96"/>
    </row>
    <row r="44135" hidden="1">
      <c r="E44135" s="96"/>
    </row>
    <row r="44136" hidden="1">
      <c r="E44136" s="96"/>
    </row>
    <row r="44137" hidden="1">
      <c r="E44137" s="96"/>
    </row>
    <row r="44138" hidden="1">
      <c r="E44138" s="96"/>
    </row>
    <row r="44139" hidden="1">
      <c r="E44139" s="96"/>
    </row>
    <row r="44140" hidden="1">
      <c r="E44140" s="96"/>
    </row>
    <row r="44141" hidden="1">
      <c r="E44141" s="96"/>
    </row>
    <row r="44142" hidden="1">
      <c r="E44142" s="96"/>
    </row>
    <row r="44143" hidden="1">
      <c r="E44143" s="96"/>
    </row>
    <row r="44144" hidden="1">
      <c r="E44144" s="96"/>
    </row>
    <row r="44145" hidden="1">
      <c r="E44145" s="96"/>
    </row>
    <row r="44146" hidden="1">
      <c r="E44146" s="96"/>
    </row>
    <row r="44147" hidden="1">
      <c r="E44147" s="96"/>
    </row>
    <row r="44148" hidden="1">
      <c r="E44148" s="96"/>
    </row>
    <row r="44149" hidden="1">
      <c r="E44149" s="96"/>
    </row>
    <row r="44150" hidden="1">
      <c r="E44150" s="96"/>
    </row>
    <row r="44151" hidden="1">
      <c r="E44151" s="96"/>
    </row>
    <row r="44152" hidden="1">
      <c r="E44152" s="96"/>
    </row>
    <row r="44153" hidden="1">
      <c r="E44153" s="96"/>
    </row>
    <row r="44154" hidden="1">
      <c r="E44154" s="96"/>
    </row>
    <row r="44155" hidden="1">
      <c r="E44155" s="96"/>
    </row>
    <row r="44156" hidden="1">
      <c r="E44156" s="96"/>
    </row>
    <row r="44157" hidden="1">
      <c r="E44157" s="96"/>
    </row>
    <row r="44158" hidden="1">
      <c r="E44158" s="96"/>
    </row>
    <row r="44159" hidden="1">
      <c r="E44159" s="96"/>
    </row>
    <row r="44160" hidden="1">
      <c r="E44160" s="96"/>
    </row>
    <row r="44161" hidden="1">
      <c r="E44161" s="96"/>
    </row>
    <row r="44162" hidden="1">
      <c r="E44162" s="96"/>
    </row>
    <row r="44163" hidden="1">
      <c r="E44163" s="96"/>
    </row>
    <row r="44164" hidden="1">
      <c r="E44164" s="96"/>
    </row>
    <row r="44165" hidden="1">
      <c r="E44165" s="96"/>
    </row>
    <row r="44166" hidden="1">
      <c r="E44166" s="96"/>
    </row>
    <row r="44167" hidden="1">
      <c r="E44167" s="96"/>
    </row>
    <row r="44168" hidden="1">
      <c r="E44168" s="96"/>
    </row>
    <row r="44169" hidden="1">
      <c r="E44169" s="96"/>
    </row>
    <row r="44170" hidden="1">
      <c r="E44170" s="96"/>
    </row>
    <row r="44171" hidden="1">
      <c r="E44171" s="96"/>
    </row>
    <row r="44172" hidden="1">
      <c r="E44172" s="96"/>
    </row>
    <row r="44173" hidden="1">
      <c r="E44173" s="96"/>
    </row>
    <row r="44174" hidden="1">
      <c r="E44174" s="96"/>
    </row>
    <row r="44175" hidden="1">
      <c r="E44175" s="96"/>
    </row>
    <row r="44176" hidden="1">
      <c r="E44176" s="96"/>
    </row>
    <row r="44177" hidden="1">
      <c r="E44177" s="96"/>
    </row>
    <row r="44178" hidden="1">
      <c r="E44178" s="96"/>
    </row>
    <row r="44179" hidden="1">
      <c r="E44179" s="96"/>
    </row>
    <row r="44180" hidden="1">
      <c r="E44180" s="96"/>
    </row>
    <row r="44181" hidden="1">
      <c r="E44181" s="96"/>
    </row>
    <row r="44182" hidden="1">
      <c r="E44182" s="96"/>
    </row>
    <row r="44183" hidden="1">
      <c r="E44183" s="96"/>
    </row>
    <row r="44184" hidden="1">
      <c r="E44184" s="96"/>
    </row>
    <row r="44185" hidden="1">
      <c r="E44185" s="96"/>
    </row>
    <row r="44186" hidden="1">
      <c r="E44186" s="96"/>
    </row>
    <row r="44187" hidden="1">
      <c r="E44187" s="96"/>
    </row>
    <row r="44188" hidden="1">
      <c r="E44188" s="96"/>
    </row>
    <row r="44189" hidden="1">
      <c r="E44189" s="96"/>
    </row>
    <row r="44190" hidden="1">
      <c r="E44190" s="96"/>
    </row>
    <row r="44191" hidden="1">
      <c r="E44191" s="96"/>
    </row>
    <row r="44192" hidden="1">
      <c r="E44192" s="96"/>
    </row>
    <row r="44193" hidden="1">
      <c r="E44193" s="96"/>
    </row>
    <row r="44194" hidden="1">
      <c r="E44194" s="96"/>
    </row>
    <row r="44195" hidden="1">
      <c r="E44195" s="96"/>
    </row>
    <row r="44196" hidden="1">
      <c r="E44196" s="96"/>
    </row>
    <row r="44197" hidden="1">
      <c r="E44197" s="96"/>
    </row>
    <row r="44198" hidden="1">
      <c r="E44198" s="96"/>
    </row>
    <row r="44199" hidden="1">
      <c r="E44199" s="96"/>
    </row>
    <row r="44200" hidden="1">
      <c r="E44200" s="96"/>
    </row>
    <row r="44201" hidden="1">
      <c r="E44201" s="96"/>
    </row>
    <row r="44202" hidden="1">
      <c r="E44202" s="96"/>
    </row>
    <row r="44203" hidden="1">
      <c r="E44203" s="96"/>
    </row>
    <row r="44204" hidden="1">
      <c r="E44204" s="96"/>
    </row>
    <row r="44205" hidden="1">
      <c r="E44205" s="96"/>
    </row>
    <row r="44206" hidden="1">
      <c r="E44206" s="96"/>
    </row>
    <row r="44207" hidden="1">
      <c r="E44207" s="96"/>
    </row>
    <row r="44208" hidden="1">
      <c r="E44208" s="96"/>
    </row>
    <row r="44209" hidden="1">
      <c r="E44209" s="96"/>
    </row>
    <row r="44210" hidden="1">
      <c r="E44210" s="96"/>
    </row>
    <row r="44211" hidden="1">
      <c r="E44211" s="96"/>
    </row>
    <row r="44212" hidden="1">
      <c r="E44212" s="96"/>
    </row>
    <row r="44213" hidden="1">
      <c r="E44213" s="96"/>
    </row>
    <row r="44214" hidden="1">
      <c r="E44214" s="96"/>
    </row>
    <row r="44215" hidden="1">
      <c r="E44215" s="96"/>
    </row>
    <row r="44216" hidden="1">
      <c r="E44216" s="96"/>
    </row>
    <row r="44217" hidden="1">
      <c r="E44217" s="96"/>
    </row>
    <row r="44218" hidden="1">
      <c r="E44218" s="96"/>
    </row>
    <row r="44219" hidden="1">
      <c r="E44219" s="96"/>
    </row>
    <row r="44220" hidden="1">
      <c r="E44220" s="96"/>
    </row>
    <row r="44221" hidden="1">
      <c r="E44221" s="96"/>
    </row>
    <row r="44222" hidden="1">
      <c r="E44222" s="96"/>
    </row>
    <row r="44223" hidden="1">
      <c r="E44223" s="96"/>
    </row>
    <row r="44224" hidden="1">
      <c r="E44224" s="96"/>
    </row>
    <row r="44225" hidden="1">
      <c r="E44225" s="96"/>
    </row>
    <row r="44226" hidden="1">
      <c r="E44226" s="96"/>
    </row>
    <row r="44227" hidden="1">
      <c r="E44227" s="96"/>
    </row>
    <row r="44228" hidden="1">
      <c r="E44228" s="96"/>
    </row>
    <row r="44229" hidden="1">
      <c r="E44229" s="96"/>
    </row>
    <row r="44230" hidden="1">
      <c r="E44230" s="96"/>
    </row>
    <row r="44231" hidden="1">
      <c r="E44231" s="96"/>
    </row>
    <row r="44232" hidden="1">
      <c r="E44232" s="96"/>
    </row>
    <row r="44233" hidden="1">
      <c r="E44233" s="96"/>
    </row>
    <row r="44234" hidden="1">
      <c r="E44234" s="96"/>
    </row>
    <row r="44235" hidden="1">
      <c r="E44235" s="96"/>
    </row>
    <row r="44236" hidden="1">
      <c r="E44236" s="96"/>
    </row>
    <row r="44237" hidden="1">
      <c r="E44237" s="96"/>
    </row>
    <row r="44238" hidden="1">
      <c r="E44238" s="96"/>
    </row>
    <row r="44239" hidden="1">
      <c r="E44239" s="96"/>
    </row>
    <row r="44240" hidden="1">
      <c r="E44240" s="96"/>
    </row>
    <row r="44241" hidden="1">
      <c r="E44241" s="96"/>
    </row>
    <row r="44242" hidden="1">
      <c r="E44242" s="96"/>
    </row>
    <row r="44243" hidden="1">
      <c r="E44243" s="96"/>
    </row>
    <row r="44244" hidden="1">
      <c r="E44244" s="96"/>
    </row>
    <row r="44245" hidden="1">
      <c r="E44245" s="96"/>
    </row>
    <row r="44246" hidden="1">
      <c r="E44246" s="96"/>
    </row>
    <row r="44247" hidden="1">
      <c r="E44247" s="96"/>
    </row>
    <row r="44248" hidden="1">
      <c r="E44248" s="96"/>
    </row>
    <row r="44249" hidden="1">
      <c r="E44249" s="96"/>
    </row>
    <row r="44250" hidden="1">
      <c r="E44250" s="96"/>
    </row>
    <row r="44251" hidden="1">
      <c r="E44251" s="96"/>
    </row>
    <row r="44252" hidden="1">
      <c r="E44252" s="96"/>
    </row>
    <row r="44253" hidden="1">
      <c r="E44253" s="96"/>
    </row>
    <row r="44254" hidden="1">
      <c r="E44254" s="96"/>
    </row>
    <row r="44255" hidden="1">
      <c r="E44255" s="96"/>
    </row>
    <row r="44256" hidden="1">
      <c r="E44256" s="96"/>
    </row>
    <row r="44257" hidden="1">
      <c r="E44257" s="96"/>
    </row>
    <row r="44258" hidden="1">
      <c r="E44258" s="96"/>
    </row>
    <row r="44259" hidden="1">
      <c r="E44259" s="96"/>
    </row>
    <row r="44260" hidden="1">
      <c r="E44260" s="96"/>
    </row>
    <row r="44261" hidden="1">
      <c r="E44261" s="96"/>
    </row>
    <row r="44262" hidden="1">
      <c r="E44262" s="96"/>
    </row>
    <row r="44263" hidden="1">
      <c r="E44263" s="96"/>
    </row>
    <row r="44264" hidden="1">
      <c r="E44264" s="96"/>
    </row>
    <row r="44265" hidden="1">
      <c r="E44265" s="96"/>
    </row>
    <row r="44266" hidden="1">
      <c r="E44266" s="96"/>
    </row>
    <row r="44267" hidden="1">
      <c r="E44267" s="96"/>
    </row>
    <row r="44268" hidden="1">
      <c r="E44268" s="96"/>
    </row>
    <row r="44269" hidden="1">
      <c r="E44269" s="96"/>
    </row>
    <row r="44270" hidden="1">
      <c r="E44270" s="96"/>
    </row>
    <row r="44271" hidden="1">
      <c r="E44271" s="96"/>
    </row>
    <row r="44272" hidden="1">
      <c r="E44272" s="96"/>
    </row>
    <row r="44273" hidden="1">
      <c r="E44273" s="96"/>
    </row>
    <row r="44274" hidden="1">
      <c r="E44274" s="96"/>
    </row>
    <row r="44275" hidden="1">
      <c r="E44275" s="96"/>
    </row>
    <row r="44276" hidden="1">
      <c r="E44276" s="96"/>
    </row>
    <row r="44277" hidden="1">
      <c r="E44277" s="96"/>
    </row>
    <row r="44278" hidden="1">
      <c r="E44278" s="96"/>
    </row>
    <row r="44279" hidden="1">
      <c r="E44279" s="96"/>
    </row>
    <row r="44280" hidden="1">
      <c r="E44280" s="96"/>
    </row>
    <row r="44281" hidden="1">
      <c r="E44281" s="96"/>
    </row>
    <row r="44282" hidden="1">
      <c r="E44282" s="96"/>
    </row>
    <row r="44283" hidden="1">
      <c r="E44283" s="96"/>
    </row>
    <row r="44284" hidden="1">
      <c r="E44284" s="96"/>
    </row>
    <row r="44285" hidden="1">
      <c r="E44285" s="96"/>
    </row>
    <row r="44286" hidden="1">
      <c r="E44286" s="96"/>
    </row>
    <row r="44287" hidden="1">
      <c r="E44287" s="96"/>
    </row>
    <row r="44288" hidden="1">
      <c r="E44288" s="96"/>
    </row>
    <row r="44289" hidden="1">
      <c r="E44289" s="96"/>
    </row>
    <row r="44290" hidden="1">
      <c r="E44290" s="96"/>
    </row>
    <row r="44291" hidden="1">
      <c r="E44291" s="96"/>
    </row>
    <row r="44292" hidden="1">
      <c r="E44292" s="96"/>
    </row>
    <row r="44293" hidden="1">
      <c r="E44293" s="96"/>
    </row>
    <row r="44294" hidden="1">
      <c r="E44294" s="96"/>
    </row>
    <row r="44295" hidden="1">
      <c r="E44295" s="96"/>
    </row>
    <row r="44296" hidden="1">
      <c r="E44296" s="96"/>
    </row>
    <row r="44297" hidden="1">
      <c r="E44297" s="96"/>
    </row>
    <row r="44298" hidden="1">
      <c r="E44298" s="96"/>
    </row>
    <row r="44299" hidden="1">
      <c r="E44299" s="96"/>
    </row>
    <row r="44300" hidden="1">
      <c r="E44300" s="96"/>
    </row>
    <row r="44301" hidden="1">
      <c r="E44301" s="96"/>
    </row>
    <row r="44302" hidden="1">
      <c r="E44302" s="96"/>
    </row>
    <row r="44303" hidden="1">
      <c r="E44303" s="96"/>
    </row>
    <row r="44304" hidden="1">
      <c r="E44304" s="96"/>
    </row>
    <row r="44305" hidden="1">
      <c r="E44305" s="96"/>
    </row>
    <row r="44306" hidden="1">
      <c r="E44306" s="96"/>
    </row>
    <row r="44307" hidden="1">
      <c r="E44307" s="96"/>
    </row>
    <row r="44308" hidden="1">
      <c r="E44308" s="96"/>
    </row>
    <row r="44309" hidden="1">
      <c r="E44309" s="96"/>
    </row>
    <row r="44310" hidden="1">
      <c r="E44310" s="96"/>
    </row>
    <row r="44311" hidden="1">
      <c r="E44311" s="96"/>
    </row>
    <row r="44312" hidden="1">
      <c r="E44312" s="96"/>
    </row>
    <row r="44313" hidden="1">
      <c r="E44313" s="96"/>
    </row>
    <row r="44314" hidden="1">
      <c r="E44314" s="96"/>
    </row>
    <row r="44315" hidden="1">
      <c r="E44315" s="96"/>
    </row>
    <row r="44316" hidden="1">
      <c r="E44316" s="96"/>
    </row>
    <row r="44317" hidden="1">
      <c r="E44317" s="96"/>
    </row>
    <row r="44318" hidden="1">
      <c r="E44318" s="96"/>
    </row>
    <row r="44319" hidden="1">
      <c r="E44319" s="96"/>
    </row>
    <row r="44320" hidden="1">
      <c r="E44320" s="96"/>
    </row>
    <row r="44321" hidden="1">
      <c r="E44321" s="96"/>
    </row>
    <row r="44322" hidden="1">
      <c r="E44322" s="96"/>
    </row>
    <row r="44323" hidden="1">
      <c r="E44323" s="96"/>
    </row>
    <row r="44324" hidden="1">
      <c r="E44324" s="96"/>
    </row>
    <row r="44325" hidden="1">
      <c r="E44325" s="96"/>
    </row>
    <row r="44326" hidden="1">
      <c r="E44326" s="96"/>
    </row>
    <row r="44327" hidden="1">
      <c r="E44327" s="96"/>
    </row>
    <row r="44328" hidden="1">
      <c r="E44328" s="96"/>
    </row>
    <row r="44329" hidden="1">
      <c r="E44329" s="96"/>
    </row>
    <row r="44330" hidden="1">
      <c r="E44330" s="96"/>
    </row>
    <row r="44331" hidden="1">
      <c r="E44331" s="96"/>
    </row>
    <row r="44332" hidden="1">
      <c r="E44332" s="96"/>
    </row>
    <row r="44333" hidden="1">
      <c r="E44333" s="96"/>
    </row>
    <row r="44334" hidden="1">
      <c r="E44334" s="96"/>
    </row>
    <row r="44335" hidden="1">
      <c r="E44335" s="96"/>
    </row>
    <row r="44336" hidden="1">
      <c r="E44336" s="96"/>
    </row>
    <row r="44337" hidden="1">
      <c r="E44337" s="96"/>
    </row>
    <row r="44338" hidden="1">
      <c r="E44338" s="96"/>
    </row>
    <row r="44339" hidden="1">
      <c r="E44339" s="96"/>
    </row>
    <row r="44340" hidden="1">
      <c r="E44340" s="96"/>
    </row>
    <row r="44341" hidden="1">
      <c r="E44341" s="96"/>
    </row>
    <row r="44342" hidden="1">
      <c r="E44342" s="96"/>
    </row>
    <row r="44343" hidden="1">
      <c r="E44343" s="96"/>
    </row>
    <row r="44344" hidden="1">
      <c r="E44344" s="96"/>
    </row>
    <row r="44345" hidden="1">
      <c r="E44345" s="96"/>
    </row>
    <row r="44346" hidden="1">
      <c r="E44346" s="96"/>
    </row>
    <row r="44347" hidden="1">
      <c r="E44347" s="96"/>
    </row>
    <row r="44348" hidden="1">
      <c r="E44348" s="96"/>
    </row>
    <row r="44349" hidden="1">
      <c r="E44349" s="96"/>
    </row>
    <row r="44350" hidden="1">
      <c r="E44350" s="96"/>
    </row>
    <row r="44351" hidden="1">
      <c r="E44351" s="96"/>
    </row>
    <row r="44352" hidden="1">
      <c r="E44352" s="96"/>
    </row>
    <row r="44353" hidden="1">
      <c r="E44353" s="96"/>
    </row>
    <row r="44354" hidden="1">
      <c r="E44354" s="96"/>
    </row>
    <row r="44355" hidden="1">
      <c r="E44355" s="96"/>
    </row>
    <row r="44356" hidden="1">
      <c r="E44356" s="96"/>
    </row>
    <row r="44357" hidden="1">
      <c r="E44357" s="96"/>
    </row>
    <row r="44358" hidden="1">
      <c r="E44358" s="96"/>
    </row>
    <row r="44359" hidden="1">
      <c r="E44359" s="96"/>
    </row>
    <row r="44360" hidden="1">
      <c r="E44360" s="96"/>
    </row>
    <row r="44361" hidden="1">
      <c r="E44361" s="96"/>
    </row>
    <row r="44362" hidden="1">
      <c r="E44362" s="96"/>
    </row>
    <row r="44363" hidden="1">
      <c r="E44363" s="96"/>
    </row>
    <row r="44364" hidden="1">
      <c r="E44364" s="96"/>
    </row>
    <row r="44365" hidden="1">
      <c r="E44365" s="96"/>
    </row>
    <row r="44366" hidden="1">
      <c r="E44366" s="96"/>
    </row>
    <row r="44367" hidden="1">
      <c r="E44367" s="96"/>
    </row>
    <row r="44368" hidden="1">
      <c r="E44368" s="96"/>
    </row>
    <row r="44369" hidden="1">
      <c r="E44369" s="96"/>
    </row>
    <row r="44370" hidden="1">
      <c r="E44370" s="96"/>
    </row>
    <row r="44371" hidden="1">
      <c r="E44371" s="96"/>
    </row>
    <row r="44372" hidden="1">
      <c r="E44372" s="96"/>
    </row>
    <row r="44373" hidden="1">
      <c r="E44373" s="96"/>
    </row>
    <row r="44374" hidden="1">
      <c r="E44374" s="96"/>
    </row>
    <row r="44375" hidden="1">
      <c r="E44375" s="96"/>
    </row>
    <row r="44376" hidden="1">
      <c r="E44376" s="96"/>
    </row>
    <row r="44377" hidden="1">
      <c r="E44377" s="96"/>
    </row>
    <row r="44378" hidden="1">
      <c r="E44378" s="96"/>
    </row>
    <row r="44379" hidden="1">
      <c r="E44379" s="96"/>
    </row>
    <row r="44380" hidden="1">
      <c r="E44380" s="96"/>
    </row>
    <row r="44381" hidden="1">
      <c r="E44381" s="96"/>
    </row>
    <row r="44382" hidden="1">
      <c r="E44382" s="96"/>
    </row>
    <row r="44383" hidden="1">
      <c r="E44383" s="96"/>
    </row>
    <row r="44384" hidden="1">
      <c r="E44384" s="96"/>
    </row>
    <row r="44385" hidden="1">
      <c r="E44385" s="96"/>
    </row>
    <row r="44386" hidden="1">
      <c r="E44386" s="96"/>
    </row>
    <row r="44387" hidden="1">
      <c r="E44387" s="96"/>
    </row>
    <row r="44388" hidden="1">
      <c r="E44388" s="96"/>
    </row>
    <row r="44389" hidden="1">
      <c r="E44389" s="96"/>
    </row>
    <row r="44390" hidden="1">
      <c r="E44390" s="96"/>
    </row>
    <row r="44391" hidden="1">
      <c r="E44391" s="96"/>
    </row>
    <row r="44392" hidden="1">
      <c r="E44392" s="96"/>
    </row>
    <row r="44393" hidden="1">
      <c r="E44393" s="96"/>
    </row>
    <row r="44394" hidden="1">
      <c r="E44394" s="96"/>
    </row>
    <row r="44395" hidden="1">
      <c r="E44395" s="96"/>
    </row>
    <row r="44396" hidden="1">
      <c r="E44396" s="96"/>
    </row>
    <row r="44397" hidden="1">
      <c r="E44397" s="96"/>
    </row>
    <row r="44398" hidden="1">
      <c r="E44398" s="96"/>
    </row>
    <row r="44399" hidden="1">
      <c r="E44399" s="96"/>
    </row>
    <row r="44400" hidden="1">
      <c r="E44400" s="96"/>
    </row>
    <row r="44401" hidden="1">
      <c r="E44401" s="96"/>
    </row>
    <row r="44402" hidden="1">
      <c r="E44402" s="96"/>
    </row>
    <row r="44403" hidden="1">
      <c r="E44403" s="96"/>
    </row>
    <row r="44404" hidden="1">
      <c r="E44404" s="96"/>
    </row>
    <row r="44405" hidden="1">
      <c r="E44405" s="96"/>
    </row>
    <row r="44406" hidden="1">
      <c r="E44406" s="96"/>
    </row>
    <row r="44407" hidden="1">
      <c r="E44407" s="96"/>
    </row>
    <row r="44408" hidden="1">
      <c r="E44408" s="96"/>
    </row>
    <row r="44409" hidden="1">
      <c r="E44409" s="96"/>
    </row>
    <row r="44410" hidden="1">
      <c r="E44410" s="96"/>
    </row>
    <row r="44411" hidden="1">
      <c r="E44411" s="96"/>
    </row>
    <row r="44412" hidden="1">
      <c r="E44412" s="96"/>
    </row>
    <row r="44413" hidden="1">
      <c r="E44413" s="96"/>
    </row>
    <row r="44414" hidden="1">
      <c r="E44414" s="96"/>
    </row>
    <row r="44415" hidden="1">
      <c r="E44415" s="96"/>
    </row>
    <row r="44416" hidden="1">
      <c r="E44416" s="96"/>
    </row>
    <row r="44417" hidden="1">
      <c r="E44417" s="96"/>
    </row>
    <row r="44418" hidden="1">
      <c r="E44418" s="96"/>
    </row>
    <row r="44419" hidden="1">
      <c r="E44419" s="96"/>
    </row>
    <row r="44420" hidden="1">
      <c r="E44420" s="96"/>
    </row>
    <row r="44421" hidden="1">
      <c r="E44421" s="96"/>
    </row>
    <row r="44422" hidden="1">
      <c r="E44422" s="96"/>
    </row>
    <row r="44423" hidden="1">
      <c r="E44423" s="96"/>
    </row>
    <row r="44424" hidden="1">
      <c r="E44424" s="96"/>
    </row>
    <row r="44425" hidden="1">
      <c r="E44425" s="96"/>
    </row>
    <row r="44426" hidden="1">
      <c r="E44426" s="96"/>
    </row>
    <row r="44427" hidden="1">
      <c r="E44427" s="96"/>
    </row>
    <row r="44428" hidden="1">
      <c r="E44428" s="96"/>
    </row>
    <row r="44429" hidden="1">
      <c r="E44429" s="96"/>
    </row>
    <row r="44430" hidden="1">
      <c r="E44430" s="96"/>
    </row>
    <row r="44431" hidden="1">
      <c r="E44431" s="96"/>
    </row>
    <row r="44432" hidden="1">
      <c r="E44432" s="96"/>
    </row>
    <row r="44433" hidden="1">
      <c r="E44433" s="96"/>
    </row>
    <row r="44434" hidden="1">
      <c r="E44434" s="96"/>
    </row>
    <row r="44435" hidden="1">
      <c r="E44435" s="96"/>
    </row>
    <row r="44436" hidden="1">
      <c r="E44436" s="96"/>
    </row>
    <row r="44437" hidden="1">
      <c r="E44437" s="96"/>
    </row>
    <row r="44438" hidden="1">
      <c r="E44438" s="96"/>
    </row>
    <row r="44439" hidden="1">
      <c r="E44439" s="96"/>
    </row>
    <row r="44440" hidden="1">
      <c r="E44440" s="96"/>
    </row>
    <row r="44441" hidden="1">
      <c r="E44441" s="96"/>
    </row>
    <row r="44442" hidden="1">
      <c r="E44442" s="96"/>
    </row>
    <row r="44443" hidden="1">
      <c r="E44443" s="96"/>
    </row>
    <row r="44444" hidden="1">
      <c r="E44444" s="96"/>
    </row>
    <row r="44445" hidden="1">
      <c r="E44445" s="96"/>
    </row>
    <row r="44446" hidden="1">
      <c r="E44446" s="96"/>
    </row>
    <row r="44447" hidden="1">
      <c r="E44447" s="96"/>
    </row>
    <row r="44448" hidden="1">
      <c r="E44448" s="96"/>
    </row>
    <row r="44449" hidden="1">
      <c r="E44449" s="96"/>
    </row>
    <row r="44450" hidden="1">
      <c r="E44450" s="96"/>
    </row>
    <row r="44451" hidden="1">
      <c r="E44451" s="96"/>
    </row>
    <row r="44452" hidden="1">
      <c r="E44452" s="96"/>
    </row>
    <row r="44453" hidden="1">
      <c r="E44453" s="96"/>
    </row>
    <row r="44454" hidden="1">
      <c r="E44454" s="96"/>
    </row>
    <row r="44455" hidden="1">
      <c r="E44455" s="96"/>
    </row>
    <row r="44456" hidden="1">
      <c r="E44456" s="96"/>
    </row>
    <row r="44457" hidden="1">
      <c r="E44457" s="96"/>
    </row>
    <row r="44458" hidden="1">
      <c r="E44458" s="96"/>
    </row>
    <row r="44459" hidden="1">
      <c r="E44459" s="96"/>
    </row>
    <row r="44460" hidden="1">
      <c r="E44460" s="96"/>
    </row>
    <row r="44461" hidden="1">
      <c r="E44461" s="96"/>
    </row>
    <row r="44462" hidden="1">
      <c r="E44462" s="96"/>
    </row>
    <row r="44463" hidden="1">
      <c r="E44463" s="96"/>
    </row>
    <row r="44464" hidden="1">
      <c r="E44464" s="96"/>
    </row>
    <row r="44465" hidden="1">
      <c r="E44465" s="96"/>
    </row>
    <row r="44466" hidden="1">
      <c r="E44466" s="96"/>
    </row>
    <row r="44467" hidden="1">
      <c r="E44467" s="96"/>
    </row>
    <row r="44468" hidden="1">
      <c r="E44468" s="96"/>
    </row>
    <row r="44469" hidden="1">
      <c r="E44469" s="96"/>
    </row>
    <row r="44470" hidden="1">
      <c r="E44470" s="96"/>
    </row>
    <row r="44471" hidden="1">
      <c r="E44471" s="96"/>
    </row>
    <row r="44472" hidden="1">
      <c r="E44472" s="96"/>
    </row>
    <row r="44473" hidden="1">
      <c r="E44473" s="96"/>
    </row>
    <row r="44474" hidden="1">
      <c r="E44474" s="96"/>
    </row>
    <row r="44475" hidden="1">
      <c r="E44475" s="96"/>
    </row>
    <row r="44476" hidden="1">
      <c r="E44476" s="96"/>
    </row>
    <row r="44477" hidden="1">
      <c r="E44477" s="96"/>
    </row>
    <row r="44478" hidden="1">
      <c r="E44478" s="96"/>
    </row>
    <row r="44479" hidden="1">
      <c r="E44479" s="96"/>
    </row>
    <row r="44480" hidden="1">
      <c r="E44480" s="96"/>
    </row>
    <row r="44481" hidden="1">
      <c r="E44481" s="96"/>
    </row>
    <row r="44482" hidden="1">
      <c r="E44482" s="96"/>
    </row>
    <row r="44483" hidden="1">
      <c r="E44483" s="96"/>
    </row>
    <row r="44484" hidden="1">
      <c r="E44484" s="96"/>
    </row>
    <row r="44485" hidden="1">
      <c r="E44485" s="96"/>
    </row>
    <row r="44486" hidden="1">
      <c r="E44486" s="96"/>
    </row>
    <row r="44487" hidden="1">
      <c r="E44487" s="96"/>
    </row>
    <row r="44488" hidden="1">
      <c r="E44488" s="96"/>
    </row>
    <row r="44489" hidden="1">
      <c r="E44489" s="96"/>
    </row>
    <row r="44490" hidden="1">
      <c r="E44490" s="96"/>
    </row>
    <row r="44491" hidden="1">
      <c r="E44491" s="96"/>
    </row>
    <row r="44492" hidden="1">
      <c r="E44492" s="96"/>
    </row>
    <row r="44493" hidden="1">
      <c r="E44493" s="96"/>
    </row>
    <row r="44494" hidden="1">
      <c r="E44494" s="96"/>
    </row>
    <row r="44495" hidden="1">
      <c r="E44495" s="96"/>
    </row>
    <row r="44496" hidden="1">
      <c r="E44496" s="96"/>
    </row>
    <row r="44497" hidden="1">
      <c r="E44497" s="96"/>
    </row>
    <row r="44498" hidden="1">
      <c r="E44498" s="96"/>
    </row>
    <row r="44499" hidden="1">
      <c r="E44499" s="96"/>
    </row>
    <row r="44500" hidden="1">
      <c r="E44500" s="96"/>
    </row>
    <row r="44501" hidden="1">
      <c r="E44501" s="96"/>
    </row>
    <row r="44502" hidden="1">
      <c r="E44502" s="96"/>
    </row>
    <row r="44503" hidden="1">
      <c r="E44503" s="96"/>
    </row>
    <row r="44504" hidden="1">
      <c r="E44504" s="96"/>
    </row>
    <row r="44505" hidden="1">
      <c r="E44505" s="96"/>
    </row>
    <row r="44506" hidden="1">
      <c r="E44506" s="96"/>
    </row>
    <row r="44507" hidden="1">
      <c r="E44507" s="96"/>
    </row>
    <row r="44508" hidden="1">
      <c r="E44508" s="96"/>
    </row>
    <row r="44509" hidden="1">
      <c r="E44509" s="96"/>
    </row>
    <row r="44510" hidden="1">
      <c r="E44510" s="96"/>
    </row>
    <row r="44511" hidden="1">
      <c r="E44511" s="96"/>
    </row>
    <row r="44512" hidden="1">
      <c r="E44512" s="96"/>
    </row>
    <row r="44513" hidden="1">
      <c r="E44513" s="96"/>
    </row>
    <row r="44514" hidden="1">
      <c r="E44514" s="96"/>
    </row>
    <row r="44515" hidden="1">
      <c r="E44515" s="96"/>
    </row>
    <row r="44516" hidden="1">
      <c r="E44516" s="96"/>
    </row>
    <row r="44517" hidden="1">
      <c r="E44517" s="96"/>
    </row>
    <row r="44518" hidden="1">
      <c r="E44518" s="96"/>
    </row>
    <row r="44519" hidden="1">
      <c r="E44519" s="96"/>
    </row>
    <row r="44520" hidden="1">
      <c r="E44520" s="96"/>
    </row>
    <row r="44521" hidden="1">
      <c r="E44521" s="96"/>
    </row>
    <row r="44522" hidden="1">
      <c r="E44522" s="96"/>
    </row>
    <row r="44523" hidden="1">
      <c r="E44523" s="96"/>
    </row>
    <row r="44524" hidden="1">
      <c r="E44524" s="96"/>
    </row>
    <row r="44525" hidden="1">
      <c r="E44525" s="96"/>
    </row>
    <row r="44526" hidden="1">
      <c r="E44526" s="96"/>
    </row>
    <row r="44527" hidden="1">
      <c r="E44527" s="96"/>
    </row>
    <row r="44528" hidden="1">
      <c r="E44528" s="96"/>
    </row>
    <row r="44529" hidden="1">
      <c r="E44529" s="96"/>
    </row>
    <row r="44530" hidden="1">
      <c r="E44530" s="96"/>
    </row>
    <row r="44531" hidden="1">
      <c r="E44531" s="96"/>
    </row>
    <row r="44532" hidden="1">
      <c r="E44532" s="96"/>
    </row>
    <row r="44533" hidden="1">
      <c r="E44533" s="96"/>
    </row>
    <row r="44534" hidden="1">
      <c r="E44534" s="96"/>
    </row>
    <row r="44535" hidden="1">
      <c r="E44535" s="96"/>
    </row>
    <row r="44536" hidden="1">
      <c r="E44536" s="96"/>
    </row>
    <row r="44537" hidden="1">
      <c r="E44537" s="96"/>
    </row>
    <row r="44538" hidden="1">
      <c r="E44538" s="96"/>
    </row>
    <row r="44539" hidden="1">
      <c r="E44539" s="96"/>
    </row>
    <row r="44540" hidden="1">
      <c r="E44540" s="96"/>
    </row>
    <row r="44541" hidden="1">
      <c r="E44541" s="96"/>
    </row>
    <row r="44542" hidden="1">
      <c r="E44542" s="96"/>
    </row>
    <row r="44543" hidden="1">
      <c r="E44543" s="96"/>
    </row>
    <row r="44544" hidden="1">
      <c r="E44544" s="96"/>
    </row>
    <row r="44545" hidden="1">
      <c r="E44545" s="96"/>
    </row>
    <row r="44546" hidden="1">
      <c r="E44546" s="96"/>
    </row>
    <row r="44547" hidden="1">
      <c r="E44547" s="96"/>
    </row>
    <row r="44548" hidden="1">
      <c r="E44548" s="96"/>
    </row>
    <row r="44549" hidden="1">
      <c r="E44549" s="96"/>
    </row>
    <row r="44550" hidden="1">
      <c r="E44550" s="96"/>
    </row>
    <row r="44551" hidden="1">
      <c r="E44551" s="96"/>
    </row>
    <row r="44552" hidden="1">
      <c r="E44552" s="96"/>
    </row>
    <row r="44553" hidden="1">
      <c r="E44553" s="96"/>
    </row>
    <row r="44554" hidden="1">
      <c r="E44554" s="96"/>
    </row>
    <row r="44555" hidden="1">
      <c r="E44555" s="96"/>
    </row>
    <row r="44556" hidden="1">
      <c r="E44556" s="96"/>
    </row>
    <row r="44557" hidden="1">
      <c r="E44557" s="96"/>
    </row>
    <row r="44558" hidden="1">
      <c r="E44558" s="96"/>
    </row>
    <row r="44559" hidden="1">
      <c r="E44559" s="96"/>
    </row>
    <row r="44560" hidden="1">
      <c r="E44560" s="96"/>
    </row>
    <row r="44561" hidden="1">
      <c r="E44561" s="96"/>
    </row>
    <row r="44562" hidden="1">
      <c r="E44562" s="96"/>
    </row>
    <row r="44563" hidden="1">
      <c r="E44563" s="96"/>
    </row>
    <row r="44564" hidden="1">
      <c r="E44564" s="96"/>
    </row>
    <row r="44565" hidden="1">
      <c r="E44565" s="96"/>
    </row>
    <row r="44566" hidden="1">
      <c r="E44566" s="96"/>
    </row>
    <row r="44567" hidden="1">
      <c r="E44567" s="96"/>
    </row>
    <row r="44568" hidden="1">
      <c r="E44568" s="96"/>
    </row>
    <row r="44569" hidden="1">
      <c r="E44569" s="96"/>
    </row>
    <row r="44570" hidden="1">
      <c r="E44570" s="96"/>
    </row>
    <row r="44571" hidden="1">
      <c r="E44571" s="96"/>
    </row>
    <row r="44572" hidden="1">
      <c r="E44572" s="96"/>
    </row>
    <row r="44573" hidden="1">
      <c r="E44573" s="96"/>
    </row>
    <row r="44574" hidden="1">
      <c r="E44574" s="96"/>
    </row>
    <row r="44575" hidden="1">
      <c r="E44575" s="96"/>
    </row>
    <row r="44576" hidden="1">
      <c r="E44576" s="96"/>
    </row>
    <row r="44577" hidden="1">
      <c r="E44577" s="96"/>
    </row>
    <row r="44578" hidden="1">
      <c r="E44578" s="96"/>
    </row>
    <row r="44579" hidden="1">
      <c r="E44579" s="96"/>
    </row>
    <row r="44580" hidden="1">
      <c r="E44580" s="96"/>
    </row>
    <row r="44581" hidden="1">
      <c r="E44581" s="96"/>
    </row>
    <row r="44582" hidden="1">
      <c r="E44582" s="96"/>
    </row>
    <row r="44583" hidden="1">
      <c r="E44583" s="96"/>
    </row>
    <row r="44584" hidden="1">
      <c r="E44584" s="96"/>
    </row>
    <row r="44585" hidden="1">
      <c r="E44585" s="96"/>
    </row>
    <row r="44586" hidden="1">
      <c r="E44586" s="96"/>
    </row>
    <row r="44587" hidden="1">
      <c r="E44587" s="96"/>
    </row>
    <row r="44588" hidden="1">
      <c r="E44588" s="96"/>
    </row>
    <row r="44589" hidden="1">
      <c r="E44589" s="96"/>
    </row>
    <row r="44590" hidden="1">
      <c r="E44590" s="96"/>
    </row>
    <row r="44591" hidden="1">
      <c r="E44591" s="96"/>
    </row>
    <row r="44592" hidden="1">
      <c r="E44592" s="96"/>
    </row>
    <row r="44593" hidden="1">
      <c r="E44593" s="96"/>
    </row>
    <row r="44594" hidden="1">
      <c r="E44594" s="96"/>
    </row>
    <row r="44595" hidden="1">
      <c r="E44595" s="96"/>
    </row>
    <row r="44596" hidden="1">
      <c r="E44596" s="96"/>
    </row>
    <row r="44597" hidden="1">
      <c r="E44597" s="96"/>
    </row>
    <row r="44598" hidden="1">
      <c r="E44598" s="96"/>
    </row>
    <row r="44599" hidden="1">
      <c r="E44599" s="96"/>
    </row>
    <row r="44600" hidden="1">
      <c r="E44600" s="96"/>
    </row>
    <row r="44601" hidden="1">
      <c r="E44601" s="96"/>
    </row>
    <row r="44602" hidden="1">
      <c r="E44602" s="96"/>
    </row>
    <row r="44603" hidden="1">
      <c r="E44603" s="96"/>
    </row>
    <row r="44604" hidden="1">
      <c r="E44604" s="96"/>
    </row>
    <row r="44605" hidden="1">
      <c r="E44605" s="96"/>
    </row>
    <row r="44606" hidden="1">
      <c r="E44606" s="96"/>
    </row>
    <row r="44607" hidden="1">
      <c r="E44607" s="96"/>
    </row>
    <row r="44608" hidden="1">
      <c r="E44608" s="96"/>
    </row>
    <row r="44609" hidden="1">
      <c r="E44609" s="96"/>
    </row>
    <row r="44610" hidden="1">
      <c r="E44610" s="96"/>
    </row>
    <row r="44611" hidden="1">
      <c r="E44611" s="96"/>
    </row>
    <row r="44612" hidden="1">
      <c r="E44612" s="96"/>
    </row>
    <row r="44613" hidden="1">
      <c r="E44613" s="96"/>
    </row>
    <row r="44614" hidden="1">
      <c r="E44614" s="96"/>
    </row>
    <row r="44615" hidden="1">
      <c r="E44615" s="96"/>
    </row>
    <row r="44616" hidden="1">
      <c r="E44616" s="96"/>
    </row>
    <row r="44617" hidden="1">
      <c r="E44617" s="96"/>
    </row>
    <row r="44618" hidden="1">
      <c r="E44618" s="96"/>
    </row>
    <row r="44619" hidden="1">
      <c r="E44619" s="96"/>
    </row>
    <row r="44620" hidden="1">
      <c r="E44620" s="96"/>
    </row>
    <row r="44621" hidden="1">
      <c r="E44621" s="96"/>
    </row>
    <row r="44622" hidden="1">
      <c r="E44622" s="96"/>
    </row>
    <row r="44623" hidden="1">
      <c r="E44623" s="96"/>
    </row>
    <row r="44624" hidden="1">
      <c r="E44624" s="96"/>
    </row>
    <row r="44625" hidden="1">
      <c r="E44625" s="96"/>
    </row>
    <row r="44626" hidden="1">
      <c r="E44626" s="96"/>
    </row>
    <row r="44627" hidden="1">
      <c r="E44627" s="96"/>
    </row>
    <row r="44628" hidden="1">
      <c r="E44628" s="96"/>
    </row>
    <row r="44629" hidden="1">
      <c r="E44629" s="96"/>
    </row>
    <row r="44630" hidden="1">
      <c r="E44630" s="96"/>
    </row>
    <row r="44631" hidden="1">
      <c r="E44631" s="96"/>
    </row>
    <row r="44632" hidden="1">
      <c r="E44632" s="96"/>
    </row>
    <row r="44633" hidden="1">
      <c r="E44633" s="96"/>
    </row>
    <row r="44634" hidden="1">
      <c r="E44634" s="96"/>
    </row>
    <row r="44635" hidden="1">
      <c r="E44635" s="96"/>
    </row>
    <row r="44636" hidden="1">
      <c r="E44636" s="96"/>
    </row>
    <row r="44637" hidden="1">
      <c r="E44637" s="96"/>
    </row>
    <row r="44638" hidden="1">
      <c r="E44638" s="96"/>
    </row>
    <row r="44639" hidden="1">
      <c r="E44639" s="96"/>
    </row>
    <row r="44640" hidden="1">
      <c r="E44640" s="96"/>
    </row>
    <row r="44641" hidden="1">
      <c r="E44641" s="96"/>
    </row>
    <row r="44642" hidden="1">
      <c r="E44642" s="96"/>
    </row>
    <row r="44643" hidden="1">
      <c r="E44643" s="96"/>
    </row>
    <row r="44644" hidden="1">
      <c r="E44644" s="96"/>
    </row>
    <row r="44645" hidden="1">
      <c r="E44645" s="96"/>
    </row>
    <row r="44646" hidden="1">
      <c r="E44646" s="96"/>
    </row>
    <row r="44647" hidden="1">
      <c r="E44647" s="96"/>
    </row>
    <row r="44648" hidden="1">
      <c r="E44648" s="96"/>
    </row>
    <row r="44649" hidden="1">
      <c r="E44649" s="96"/>
    </row>
    <row r="44650" hidden="1">
      <c r="E44650" s="96"/>
    </row>
    <row r="44651" hidden="1">
      <c r="E44651" s="96"/>
    </row>
    <row r="44652" hidden="1">
      <c r="E44652" s="96"/>
    </row>
    <row r="44653" hidden="1">
      <c r="E44653" s="96"/>
    </row>
    <row r="44654" hidden="1">
      <c r="E44654" s="96"/>
    </row>
    <row r="44655" hidden="1">
      <c r="E44655" s="96"/>
    </row>
    <row r="44656" hidden="1">
      <c r="E44656" s="96"/>
    </row>
    <row r="44657" hidden="1">
      <c r="E44657" s="96"/>
    </row>
    <row r="44658" hidden="1">
      <c r="E44658" s="96"/>
    </row>
    <row r="44659" hidden="1">
      <c r="E44659" s="96"/>
    </row>
    <row r="44660" hidden="1">
      <c r="E44660" s="96"/>
    </row>
    <row r="44661" hidden="1">
      <c r="E44661" s="96"/>
    </row>
    <row r="44662" hidden="1">
      <c r="E44662" s="96"/>
    </row>
    <row r="44663" hidden="1">
      <c r="E44663" s="96"/>
    </row>
    <row r="44664" hidden="1">
      <c r="E44664" s="96"/>
    </row>
    <row r="44665" hidden="1">
      <c r="E44665" s="96"/>
    </row>
    <row r="44666" hidden="1">
      <c r="E44666" s="96"/>
    </row>
    <row r="44667" hidden="1">
      <c r="E44667" s="96"/>
    </row>
    <row r="44668" hidden="1">
      <c r="E44668" s="96"/>
    </row>
    <row r="44669" hidden="1">
      <c r="E44669" s="96"/>
    </row>
    <row r="44670" hidden="1">
      <c r="E44670" s="96"/>
    </row>
    <row r="44671" hidden="1">
      <c r="E44671" s="96"/>
    </row>
    <row r="44672" hidden="1">
      <c r="E44672" s="96"/>
    </row>
    <row r="44673" hidden="1">
      <c r="E44673" s="96"/>
    </row>
    <row r="44674" hidden="1">
      <c r="E44674" s="96"/>
    </row>
    <row r="44675" hidden="1">
      <c r="E44675" s="96"/>
    </row>
    <row r="44676" hidden="1">
      <c r="E44676" s="96"/>
    </row>
    <row r="44677" hidden="1">
      <c r="E44677" s="96"/>
    </row>
    <row r="44678" hidden="1">
      <c r="E44678" s="96"/>
    </row>
    <row r="44679" hidden="1">
      <c r="E44679" s="96"/>
    </row>
    <row r="44680" hidden="1">
      <c r="E44680" s="96"/>
    </row>
    <row r="44681" hidden="1">
      <c r="E44681" s="96"/>
    </row>
    <row r="44682" hidden="1">
      <c r="E44682" s="96"/>
    </row>
    <row r="44683" hidden="1">
      <c r="E44683" s="96"/>
    </row>
    <row r="44684" hidden="1">
      <c r="E44684" s="96"/>
    </row>
    <row r="44685" hidden="1">
      <c r="E44685" s="96"/>
    </row>
    <row r="44686" hidden="1">
      <c r="E44686" s="96"/>
    </row>
    <row r="44687" hidden="1">
      <c r="E44687" s="96"/>
    </row>
    <row r="44688" hidden="1">
      <c r="E44688" s="96"/>
    </row>
    <row r="44689" hidden="1">
      <c r="E44689" s="96"/>
    </row>
    <row r="44690" hidden="1">
      <c r="E44690" s="96"/>
    </row>
    <row r="44691" hidden="1">
      <c r="E44691" s="96"/>
    </row>
    <row r="44692" hidden="1">
      <c r="E44692" s="96"/>
    </row>
    <row r="44693" hidden="1">
      <c r="E44693" s="96"/>
    </row>
    <row r="44694" hidden="1">
      <c r="E44694" s="96"/>
    </row>
    <row r="44695" hidden="1">
      <c r="E44695" s="96"/>
    </row>
    <row r="44696" hidden="1">
      <c r="E44696" s="96"/>
    </row>
    <row r="44697" hidden="1">
      <c r="E44697" s="96"/>
    </row>
    <row r="44698" hidden="1">
      <c r="E44698" s="96"/>
    </row>
    <row r="44699" hidden="1">
      <c r="E44699" s="96"/>
    </row>
    <row r="44700" hidden="1">
      <c r="E44700" s="96"/>
    </row>
    <row r="44701" hidden="1">
      <c r="E44701" s="96"/>
    </row>
    <row r="44702" hidden="1">
      <c r="E44702" s="96"/>
    </row>
    <row r="44703" hidden="1">
      <c r="E44703" s="96"/>
    </row>
    <row r="44704" hidden="1">
      <c r="E44704" s="96"/>
    </row>
    <row r="44705" hidden="1">
      <c r="E44705" s="96"/>
    </row>
    <row r="44706" hidden="1">
      <c r="E44706" s="96"/>
    </row>
    <row r="44707" hidden="1">
      <c r="E44707" s="96"/>
    </row>
    <row r="44708" hidden="1">
      <c r="E44708" s="96"/>
    </row>
    <row r="44709" hidden="1">
      <c r="E44709" s="96"/>
    </row>
    <row r="44710" hidden="1">
      <c r="E44710" s="96"/>
    </row>
    <row r="44711" hidden="1">
      <c r="E44711" s="96"/>
    </row>
    <row r="44712" hidden="1">
      <c r="E44712" s="96"/>
    </row>
    <row r="44713" hidden="1">
      <c r="E44713" s="96"/>
    </row>
    <row r="44714" hidden="1">
      <c r="E44714" s="96"/>
    </row>
    <row r="44715" hidden="1">
      <c r="E44715" s="96"/>
    </row>
    <row r="44716" hidden="1">
      <c r="E44716" s="96"/>
    </row>
    <row r="44717" hidden="1">
      <c r="E44717" s="96"/>
    </row>
    <row r="44718" hidden="1">
      <c r="E44718" s="96"/>
    </row>
    <row r="44719" hidden="1">
      <c r="E44719" s="96"/>
    </row>
    <row r="44720" hidden="1">
      <c r="E44720" s="96"/>
    </row>
    <row r="44721" hidden="1">
      <c r="E44721" s="96"/>
    </row>
    <row r="44722" hidden="1">
      <c r="E44722" s="96"/>
    </row>
    <row r="44723" hidden="1">
      <c r="E44723" s="96"/>
    </row>
    <row r="44724" hidden="1">
      <c r="E44724" s="96"/>
    </row>
    <row r="44725" hidden="1">
      <c r="E44725" s="96"/>
    </row>
    <row r="44726" hidden="1">
      <c r="E44726" s="96"/>
    </row>
    <row r="44727" hidden="1">
      <c r="E44727" s="96"/>
    </row>
    <row r="44728" hidden="1">
      <c r="E44728" s="96"/>
    </row>
    <row r="44729" hidden="1">
      <c r="E44729" s="96"/>
    </row>
    <row r="44730" hidden="1">
      <c r="E44730" s="96"/>
    </row>
    <row r="44731" hidden="1">
      <c r="E44731" s="96"/>
    </row>
    <row r="44732" hidden="1">
      <c r="E44732" s="96"/>
    </row>
    <row r="44733" hidden="1">
      <c r="E44733" s="96"/>
    </row>
    <row r="44734" hidden="1">
      <c r="E44734" s="96"/>
    </row>
    <row r="44735" hidden="1">
      <c r="E44735" s="96"/>
    </row>
    <row r="44736" hidden="1">
      <c r="E44736" s="96"/>
    </row>
    <row r="44737" hidden="1">
      <c r="E44737" s="96"/>
    </row>
    <row r="44738" hidden="1">
      <c r="E44738" s="96"/>
    </row>
    <row r="44739" hidden="1">
      <c r="E44739" s="96"/>
    </row>
    <row r="44740" hidden="1">
      <c r="E44740" s="96"/>
    </row>
    <row r="44741" hidden="1">
      <c r="E44741" s="96"/>
    </row>
    <row r="44742" hidden="1">
      <c r="E44742" s="96"/>
    </row>
    <row r="44743" hidden="1">
      <c r="E44743" s="96"/>
    </row>
    <row r="44744" hidden="1">
      <c r="E44744" s="96"/>
    </row>
    <row r="44745" hidden="1">
      <c r="E44745" s="96"/>
    </row>
    <row r="44746" hidden="1">
      <c r="E44746" s="96"/>
    </row>
    <row r="44747" hidden="1">
      <c r="E44747" s="96"/>
    </row>
    <row r="44748" hidden="1">
      <c r="E44748" s="96"/>
    </row>
    <row r="44749" hidden="1">
      <c r="E44749" s="96"/>
    </row>
    <row r="44750" hidden="1">
      <c r="E44750" s="96"/>
    </row>
    <row r="44751" hidden="1">
      <c r="E44751" s="96"/>
    </row>
    <row r="44752" hidden="1">
      <c r="E44752" s="96"/>
    </row>
    <row r="44753" hidden="1">
      <c r="E44753" s="96"/>
    </row>
    <row r="44754" hidden="1">
      <c r="E44754" s="96"/>
    </row>
    <row r="44755" hidden="1">
      <c r="E44755" s="96"/>
    </row>
    <row r="44756" hidden="1">
      <c r="E44756" s="96"/>
    </row>
    <row r="44757" hidden="1">
      <c r="E44757" s="96"/>
    </row>
    <row r="44758" hidden="1">
      <c r="E44758" s="96"/>
    </row>
    <row r="44759" hidden="1">
      <c r="E44759" s="96"/>
    </row>
    <row r="44760" hidden="1">
      <c r="E44760" s="96"/>
    </row>
    <row r="44761" hidden="1">
      <c r="E44761" s="96"/>
    </row>
    <row r="44762" hidden="1">
      <c r="E44762" s="96"/>
    </row>
    <row r="44763" hidden="1">
      <c r="E44763" s="96"/>
    </row>
    <row r="44764" hidden="1">
      <c r="E44764" s="96"/>
    </row>
    <row r="44765" hidden="1">
      <c r="E44765" s="96"/>
    </row>
    <row r="44766" hidden="1">
      <c r="E44766" s="96"/>
    </row>
    <row r="44767" hidden="1">
      <c r="E44767" s="96"/>
    </row>
    <row r="44768" hidden="1">
      <c r="E44768" s="96"/>
    </row>
    <row r="44769" hidden="1">
      <c r="E44769" s="96"/>
    </row>
    <row r="44770" hidden="1">
      <c r="E44770" s="96"/>
    </row>
    <row r="44771" hidden="1">
      <c r="E44771" s="96"/>
    </row>
    <row r="44772" hidden="1">
      <c r="E44772" s="96"/>
    </row>
    <row r="44773" hidden="1">
      <c r="E44773" s="96"/>
    </row>
    <row r="44774" hidden="1">
      <c r="E44774" s="96"/>
    </row>
    <row r="44775" hidden="1">
      <c r="E44775" s="96"/>
    </row>
    <row r="44776" hidden="1">
      <c r="E44776" s="96"/>
    </row>
    <row r="44777" hidden="1">
      <c r="E44777" s="96"/>
    </row>
    <row r="44778" hidden="1">
      <c r="E44778" s="96"/>
    </row>
    <row r="44779" hidden="1">
      <c r="E44779" s="96"/>
    </row>
    <row r="44780" hidden="1">
      <c r="E44780" s="96"/>
    </row>
    <row r="44781" hidden="1">
      <c r="E44781" s="96"/>
    </row>
    <row r="44782" hidden="1">
      <c r="E44782" s="96"/>
    </row>
    <row r="44783" hidden="1">
      <c r="E44783" s="96"/>
    </row>
    <row r="44784" hidden="1">
      <c r="E44784" s="96"/>
    </row>
    <row r="44785" hidden="1">
      <c r="E44785" s="96"/>
    </row>
    <row r="44786" hidden="1">
      <c r="E44786" s="96"/>
    </row>
    <row r="44787" hidden="1">
      <c r="E44787" s="96"/>
    </row>
    <row r="44788" hidden="1">
      <c r="E44788" s="96"/>
    </row>
    <row r="44789" hidden="1">
      <c r="E44789" s="96"/>
    </row>
    <row r="44790" hidden="1">
      <c r="E44790" s="96"/>
    </row>
    <row r="44791" hidden="1">
      <c r="E44791" s="96"/>
    </row>
    <row r="44792" hidden="1">
      <c r="E44792" s="96"/>
    </row>
    <row r="44793" hidden="1">
      <c r="E44793" s="96"/>
    </row>
    <row r="44794" hidden="1">
      <c r="E44794" s="96"/>
    </row>
    <row r="44795" hidden="1">
      <c r="E44795" s="96"/>
    </row>
    <row r="44796" hidden="1">
      <c r="E44796" s="96"/>
    </row>
    <row r="44797" hidden="1">
      <c r="E44797" s="96"/>
    </row>
    <row r="44798" hidden="1">
      <c r="E44798" s="96"/>
    </row>
    <row r="44799" hidden="1">
      <c r="E44799" s="96"/>
    </row>
    <row r="44800" hidden="1">
      <c r="E44800" s="96"/>
    </row>
    <row r="44801" hidden="1">
      <c r="E44801" s="96"/>
    </row>
    <row r="44802" hidden="1">
      <c r="E44802" s="96"/>
    </row>
    <row r="44803" hidden="1">
      <c r="E44803" s="96"/>
    </row>
    <row r="44804" hidden="1">
      <c r="E44804" s="96"/>
    </row>
    <row r="44805" hidden="1">
      <c r="E44805" s="96"/>
    </row>
    <row r="44806" hidden="1">
      <c r="E44806" s="96"/>
    </row>
    <row r="44807" hidden="1">
      <c r="E44807" s="96"/>
    </row>
    <row r="44808" hidden="1">
      <c r="E44808" s="96"/>
    </row>
    <row r="44809" hidden="1">
      <c r="E44809" s="96"/>
    </row>
    <row r="44810" hidden="1">
      <c r="E44810" s="96"/>
    </row>
    <row r="44811" hidden="1">
      <c r="E44811" s="96"/>
    </row>
    <row r="44812" hidden="1">
      <c r="E44812" s="96"/>
    </row>
    <row r="44813" hidden="1">
      <c r="E44813" s="96"/>
    </row>
    <row r="44814" hidden="1">
      <c r="E44814" s="96"/>
    </row>
    <row r="44815" hidden="1">
      <c r="E44815" s="96"/>
    </row>
    <row r="44816" hidden="1">
      <c r="E44816" s="96"/>
    </row>
    <row r="44817" hidden="1">
      <c r="E44817" s="96"/>
    </row>
    <row r="44818" hidden="1">
      <c r="E44818" s="96"/>
    </row>
    <row r="44819" hidden="1">
      <c r="E44819" s="96"/>
    </row>
    <row r="44820" hidden="1">
      <c r="E44820" s="96"/>
    </row>
    <row r="44821" hidden="1">
      <c r="E44821" s="96"/>
    </row>
    <row r="44822" hidden="1">
      <c r="E44822" s="96"/>
    </row>
    <row r="44823" hidden="1">
      <c r="E44823" s="96"/>
    </row>
    <row r="44824" hidden="1">
      <c r="E44824" s="96"/>
    </row>
    <row r="44825" hidden="1">
      <c r="E44825" s="96"/>
    </row>
    <row r="44826" hidden="1">
      <c r="E44826" s="96"/>
    </row>
    <row r="44827" hidden="1">
      <c r="E44827" s="96"/>
    </row>
    <row r="44828" hidden="1">
      <c r="E44828" s="96"/>
    </row>
    <row r="44829" hidden="1">
      <c r="E44829" s="96"/>
    </row>
    <row r="44830" hidden="1">
      <c r="E44830" s="96"/>
    </row>
    <row r="44831" hidden="1">
      <c r="E44831" s="96"/>
    </row>
    <row r="44832" hidden="1">
      <c r="E44832" s="96"/>
    </row>
    <row r="44833" hidden="1">
      <c r="E44833" s="96"/>
    </row>
    <row r="44834" hidden="1">
      <c r="E44834" s="96"/>
    </row>
    <row r="44835" hidden="1">
      <c r="E44835" s="96"/>
    </row>
    <row r="44836" hidden="1">
      <c r="E44836" s="96"/>
    </row>
    <row r="44837" hidden="1">
      <c r="E44837" s="96"/>
    </row>
    <row r="44838" hidden="1">
      <c r="E44838" s="96"/>
    </row>
    <row r="44839" hidden="1">
      <c r="E44839" s="96"/>
    </row>
    <row r="44840" hidden="1">
      <c r="E44840" s="96"/>
    </row>
    <row r="44841" hidden="1">
      <c r="E44841" s="96"/>
    </row>
    <row r="44842" hidden="1">
      <c r="E44842" s="96"/>
    </row>
    <row r="44843" hidden="1">
      <c r="E44843" s="96"/>
    </row>
    <row r="44844" hidden="1">
      <c r="E44844" s="96"/>
    </row>
    <row r="44845" hidden="1">
      <c r="E44845" s="96"/>
    </row>
    <row r="44846" hidden="1">
      <c r="E44846" s="96"/>
    </row>
    <row r="44847" hidden="1">
      <c r="E44847" s="96"/>
    </row>
    <row r="44848" hidden="1">
      <c r="E44848" s="96"/>
    </row>
    <row r="44849" hidden="1">
      <c r="E44849" s="96"/>
    </row>
    <row r="44850" hidden="1">
      <c r="E44850" s="96"/>
    </row>
    <row r="44851" hidden="1">
      <c r="E44851" s="96"/>
    </row>
    <row r="44852" hidden="1">
      <c r="E44852" s="96"/>
    </row>
    <row r="44853" hidden="1">
      <c r="E44853" s="96"/>
    </row>
    <row r="44854" hidden="1">
      <c r="E44854" s="96"/>
    </row>
    <row r="44855" hidden="1">
      <c r="E44855" s="96"/>
    </row>
    <row r="44856" hidden="1">
      <c r="E44856" s="96"/>
    </row>
    <row r="44857" hidden="1">
      <c r="E44857" s="96"/>
    </row>
    <row r="44858" hidden="1">
      <c r="E44858" s="96"/>
    </row>
    <row r="44859" hidden="1">
      <c r="E44859" s="96"/>
    </row>
    <row r="44860" hidden="1">
      <c r="E44860" s="96"/>
    </row>
    <row r="44861" hidden="1">
      <c r="E44861" s="96"/>
    </row>
    <row r="44862" hidden="1">
      <c r="E44862" s="96"/>
    </row>
    <row r="44863" hidden="1">
      <c r="E44863" s="96"/>
    </row>
    <row r="44864" hidden="1">
      <c r="E44864" s="96"/>
    </row>
    <row r="44865" hidden="1">
      <c r="E44865" s="96"/>
    </row>
    <row r="44866" hidden="1">
      <c r="E44866" s="96"/>
    </row>
    <row r="44867" hidden="1">
      <c r="E44867" s="96"/>
    </row>
    <row r="44868" hidden="1">
      <c r="E44868" s="96"/>
    </row>
    <row r="44869" hidden="1">
      <c r="E44869" s="96"/>
    </row>
    <row r="44870" hidden="1">
      <c r="E44870" s="96"/>
    </row>
    <row r="44871" hidden="1">
      <c r="E44871" s="96"/>
    </row>
    <row r="44872" hidden="1">
      <c r="E44872" s="96"/>
    </row>
    <row r="44873" hidden="1">
      <c r="E44873" s="96"/>
    </row>
    <row r="44874" hidden="1">
      <c r="E44874" s="96"/>
    </row>
    <row r="44875" hidden="1">
      <c r="E44875" s="96"/>
    </row>
    <row r="44876" hidden="1">
      <c r="E44876" s="96"/>
    </row>
    <row r="44877" hidden="1">
      <c r="E44877" s="96"/>
    </row>
    <row r="44878" hidden="1">
      <c r="E44878" s="96"/>
    </row>
    <row r="44879" hidden="1">
      <c r="E44879" s="96"/>
    </row>
    <row r="44880" hidden="1">
      <c r="E44880" s="96"/>
    </row>
    <row r="44881" hidden="1">
      <c r="E44881" s="96"/>
    </row>
    <row r="44882" hidden="1">
      <c r="E44882" s="96"/>
    </row>
    <row r="44883" hidden="1">
      <c r="E44883" s="96"/>
    </row>
    <row r="44884" hidden="1">
      <c r="E44884" s="96"/>
    </row>
    <row r="44885" hidden="1">
      <c r="E44885" s="96"/>
    </row>
    <row r="44886" hidden="1">
      <c r="E44886" s="96"/>
    </row>
    <row r="44887" hidden="1">
      <c r="E44887" s="96"/>
    </row>
    <row r="44888" hidden="1">
      <c r="E44888" s="96"/>
    </row>
    <row r="44889" hidden="1">
      <c r="E44889" s="96"/>
    </row>
    <row r="44890" hidden="1">
      <c r="E44890" s="96"/>
    </row>
    <row r="44891" hidden="1">
      <c r="E44891" s="96"/>
    </row>
    <row r="44892" hidden="1">
      <c r="E44892" s="96"/>
    </row>
    <row r="44893" hidden="1">
      <c r="E44893" s="96"/>
    </row>
    <row r="44894" hidden="1">
      <c r="E44894" s="96"/>
    </row>
    <row r="44895" hidden="1">
      <c r="E44895" s="96"/>
    </row>
    <row r="44896" hidden="1">
      <c r="E44896" s="96"/>
    </row>
    <row r="44897" hidden="1">
      <c r="E44897" s="96"/>
    </row>
    <row r="44898" hidden="1">
      <c r="E44898" s="96"/>
    </row>
    <row r="44899" hidden="1">
      <c r="E44899" s="96"/>
    </row>
    <row r="44900" hidden="1">
      <c r="E44900" s="96"/>
    </row>
    <row r="44901" hidden="1">
      <c r="E44901" s="96"/>
    </row>
    <row r="44902" hidden="1">
      <c r="E44902" s="96"/>
    </row>
    <row r="44903" hidden="1">
      <c r="E44903" s="96"/>
    </row>
    <row r="44904" hidden="1">
      <c r="E44904" s="96"/>
    </row>
    <row r="44905" hidden="1">
      <c r="E44905" s="96"/>
    </row>
    <row r="44906" hidden="1">
      <c r="E44906" s="96"/>
    </row>
    <row r="44907" hidden="1">
      <c r="E44907" s="96"/>
    </row>
    <row r="44908" hidden="1">
      <c r="E44908" s="96"/>
    </row>
    <row r="44909" hidden="1">
      <c r="E44909" s="96"/>
    </row>
    <row r="44910" hidden="1">
      <c r="E44910" s="96"/>
    </row>
    <row r="44911" hidden="1">
      <c r="E44911" s="96"/>
    </row>
    <row r="44912" hidden="1">
      <c r="E44912" s="96"/>
    </row>
    <row r="44913" hidden="1">
      <c r="E44913" s="96"/>
    </row>
    <row r="44914" hidden="1">
      <c r="E44914" s="96"/>
    </row>
    <row r="44915" hidden="1">
      <c r="E44915" s="96"/>
    </row>
    <row r="44916" hidden="1">
      <c r="E44916" s="96"/>
    </row>
    <row r="44917" hidden="1">
      <c r="E44917" s="96"/>
    </row>
    <row r="44918" hidden="1">
      <c r="E44918" s="96"/>
    </row>
    <row r="44919" hidden="1">
      <c r="E44919" s="96"/>
    </row>
    <row r="44920" hidden="1">
      <c r="E44920" s="96"/>
    </row>
    <row r="44921" hidden="1">
      <c r="E44921" s="96"/>
    </row>
    <row r="44922" hidden="1">
      <c r="E44922" s="96"/>
    </row>
    <row r="44923" hidden="1">
      <c r="E44923" s="96"/>
    </row>
    <row r="44924" hidden="1">
      <c r="E44924" s="96"/>
    </row>
    <row r="44925" hidden="1">
      <c r="E44925" s="96"/>
    </row>
    <row r="44926" hidden="1">
      <c r="E44926" s="96"/>
    </row>
    <row r="44927" hidden="1">
      <c r="E44927" s="96"/>
    </row>
    <row r="44928" hidden="1">
      <c r="E44928" s="96"/>
    </row>
    <row r="44929" hidden="1">
      <c r="E44929" s="96"/>
    </row>
    <row r="44930" hidden="1">
      <c r="E44930" s="96"/>
    </row>
    <row r="44931" hidden="1">
      <c r="E44931" s="96"/>
    </row>
    <row r="44932" hidden="1">
      <c r="E44932" s="96"/>
    </row>
    <row r="44933" hidden="1">
      <c r="E44933" s="96"/>
    </row>
    <row r="44934" hidden="1">
      <c r="E44934" s="96"/>
    </row>
    <row r="44935" hidden="1">
      <c r="E44935" s="96"/>
    </row>
    <row r="44936" hidden="1">
      <c r="E44936" s="96"/>
    </row>
    <row r="44937" hidden="1">
      <c r="E44937" s="96"/>
    </row>
    <row r="44938" hidden="1">
      <c r="E44938" s="96"/>
    </row>
    <row r="44939" hidden="1">
      <c r="E44939" s="96"/>
    </row>
    <row r="44940" hidden="1">
      <c r="E44940" s="96"/>
    </row>
    <row r="44941" hidden="1">
      <c r="E44941" s="96"/>
    </row>
    <row r="44942" hidden="1">
      <c r="E44942" s="96"/>
    </row>
    <row r="44943" hidden="1">
      <c r="E44943" s="96"/>
    </row>
    <row r="44944" hidden="1">
      <c r="E44944" s="96"/>
    </row>
    <row r="44945" hidden="1">
      <c r="E44945" s="96"/>
    </row>
    <row r="44946" hidden="1">
      <c r="E44946" s="96"/>
    </row>
    <row r="44947" hidden="1">
      <c r="E44947" s="96"/>
    </row>
    <row r="44948" hidden="1">
      <c r="E44948" s="96"/>
    </row>
    <row r="44949" hidden="1">
      <c r="E44949" s="96"/>
    </row>
    <row r="44950" hidden="1">
      <c r="E44950" s="96"/>
    </row>
    <row r="44951" hidden="1">
      <c r="E44951" s="96"/>
    </row>
    <row r="44952" hidden="1">
      <c r="E44952" s="96"/>
    </row>
    <row r="44953" hidden="1">
      <c r="E44953" s="96"/>
    </row>
    <row r="44954" hidden="1">
      <c r="E44954" s="96"/>
    </row>
    <row r="44955" hidden="1">
      <c r="E44955" s="96"/>
    </row>
    <row r="44956" hidden="1">
      <c r="E44956" s="96"/>
    </row>
    <row r="44957" hidden="1">
      <c r="E44957" s="96"/>
    </row>
    <row r="44958" hidden="1">
      <c r="E44958" s="96"/>
    </row>
    <row r="44959" hidden="1">
      <c r="E44959" s="96"/>
    </row>
    <row r="44960" hidden="1">
      <c r="E44960" s="96"/>
    </row>
    <row r="44961" hidden="1">
      <c r="E44961" s="96"/>
    </row>
    <row r="44962" hidden="1">
      <c r="E44962" s="96"/>
    </row>
    <row r="44963" hidden="1">
      <c r="E44963" s="96"/>
    </row>
    <row r="44964" hidden="1">
      <c r="E44964" s="96"/>
    </row>
    <row r="44965" hidden="1">
      <c r="E44965" s="96"/>
    </row>
    <row r="44966" hidden="1">
      <c r="E44966" s="96"/>
    </row>
    <row r="44967" hidden="1">
      <c r="E44967" s="96"/>
    </row>
    <row r="44968" hidden="1">
      <c r="E44968" s="96"/>
    </row>
    <row r="44969" hidden="1">
      <c r="E44969" s="96"/>
    </row>
    <row r="44970" hidden="1">
      <c r="E44970" s="96"/>
    </row>
    <row r="44971" hidden="1">
      <c r="E44971" s="96"/>
    </row>
    <row r="44972" hidden="1">
      <c r="E44972" s="96"/>
    </row>
    <row r="44973" hidden="1">
      <c r="E44973" s="96"/>
    </row>
    <row r="44974" hidden="1">
      <c r="E44974" s="96"/>
    </row>
    <row r="44975" hidden="1">
      <c r="E44975" s="96"/>
    </row>
    <row r="44976" hidden="1">
      <c r="E44976" s="96"/>
    </row>
    <row r="44977" hidden="1">
      <c r="E44977" s="96"/>
    </row>
    <row r="44978" hidden="1">
      <c r="E44978" s="96"/>
    </row>
    <row r="44979" hidden="1">
      <c r="E44979" s="96"/>
    </row>
    <row r="44980" hidden="1">
      <c r="E44980" s="96"/>
    </row>
    <row r="44981" hidden="1">
      <c r="E44981" s="96"/>
    </row>
    <row r="44982" hidden="1">
      <c r="E44982" s="96"/>
    </row>
    <row r="44983" hidden="1">
      <c r="E44983" s="96"/>
    </row>
    <row r="44984" hidden="1">
      <c r="E44984" s="96"/>
    </row>
    <row r="44985" hidden="1">
      <c r="E44985" s="96"/>
    </row>
    <row r="44986" hidden="1">
      <c r="E44986" s="96"/>
    </row>
    <row r="44987" hidden="1">
      <c r="E44987" s="96"/>
    </row>
    <row r="44988" hidden="1">
      <c r="E44988" s="96"/>
    </row>
    <row r="44989" hidden="1">
      <c r="E44989" s="96"/>
    </row>
    <row r="44990" hidden="1">
      <c r="E44990" s="96"/>
    </row>
    <row r="44991" hidden="1">
      <c r="E44991" s="96"/>
    </row>
    <row r="44992" hidden="1">
      <c r="E44992" s="96"/>
    </row>
    <row r="44993" hidden="1">
      <c r="E44993" s="96"/>
    </row>
    <row r="44994" hidden="1">
      <c r="E44994" s="96"/>
    </row>
    <row r="44995" hidden="1">
      <c r="E44995" s="96"/>
    </row>
    <row r="44996" hidden="1">
      <c r="E44996" s="96"/>
    </row>
    <row r="44997" hidden="1">
      <c r="E44997" s="96"/>
    </row>
    <row r="44998" hidden="1">
      <c r="E44998" s="96"/>
    </row>
    <row r="44999" hidden="1">
      <c r="E44999" s="96"/>
    </row>
    <row r="45000" hidden="1">
      <c r="E45000" s="96"/>
    </row>
    <row r="45001" hidden="1">
      <c r="E45001" s="96"/>
    </row>
    <row r="45002" hidden="1">
      <c r="E45002" s="96"/>
    </row>
    <row r="45003" hidden="1">
      <c r="E45003" s="96"/>
    </row>
    <row r="45004" hidden="1">
      <c r="E45004" s="96"/>
    </row>
    <row r="45005" hidden="1">
      <c r="E45005" s="96"/>
    </row>
    <row r="45006" hidden="1">
      <c r="E45006" s="96"/>
    </row>
    <row r="45007" hidden="1">
      <c r="E45007" s="96"/>
    </row>
    <row r="45008" hidden="1">
      <c r="E45008" s="96"/>
    </row>
    <row r="45009" hidden="1">
      <c r="E45009" s="96"/>
    </row>
    <row r="45010" hidden="1">
      <c r="E45010" s="96"/>
    </row>
    <row r="45011" hidden="1">
      <c r="E45011" s="96"/>
    </row>
    <row r="45012" hidden="1">
      <c r="E45012" s="96"/>
    </row>
    <row r="45013" hidden="1">
      <c r="E45013" s="96"/>
    </row>
    <row r="45014" hidden="1">
      <c r="E45014" s="96"/>
    </row>
    <row r="45015" hidden="1">
      <c r="E45015" s="96"/>
    </row>
    <row r="45016" hidden="1">
      <c r="E45016" s="96"/>
    </row>
    <row r="45017" hidden="1">
      <c r="E45017" s="96"/>
    </row>
    <row r="45018" hidden="1">
      <c r="E45018" s="96"/>
    </row>
    <row r="45019" hidden="1">
      <c r="E45019" s="96"/>
    </row>
    <row r="45020" hidden="1">
      <c r="E45020" s="96"/>
    </row>
    <row r="45021" hidden="1">
      <c r="E45021" s="96"/>
    </row>
    <row r="45022" hidden="1">
      <c r="E45022" s="96"/>
    </row>
    <row r="45023" hidden="1">
      <c r="E45023" s="96"/>
    </row>
    <row r="45024" hidden="1">
      <c r="E45024" s="96"/>
    </row>
    <row r="45025" hidden="1">
      <c r="E45025" s="96"/>
    </row>
    <row r="45026" hidden="1">
      <c r="E45026" s="96"/>
    </row>
    <row r="45027" hidden="1">
      <c r="E45027" s="96"/>
    </row>
    <row r="45028" hidden="1">
      <c r="E45028" s="96"/>
    </row>
    <row r="45029" hidden="1">
      <c r="E45029" s="96"/>
    </row>
    <row r="45030" hidden="1">
      <c r="E45030" s="96"/>
    </row>
    <row r="45031" hidden="1">
      <c r="E45031" s="96"/>
    </row>
    <row r="45032" hidden="1">
      <c r="E45032" s="96"/>
    </row>
    <row r="45033" hidden="1">
      <c r="E45033" s="96"/>
    </row>
    <row r="45034" hidden="1">
      <c r="E45034" s="96"/>
    </row>
    <row r="45035" hidden="1">
      <c r="E45035" s="96"/>
    </row>
    <row r="45036" hidden="1">
      <c r="E45036" s="96"/>
    </row>
    <row r="45037" hidden="1">
      <c r="E45037" s="96"/>
    </row>
    <row r="45038" hidden="1">
      <c r="E45038" s="96"/>
    </row>
    <row r="45039" hidden="1">
      <c r="E45039" s="96"/>
    </row>
    <row r="45040" hidden="1">
      <c r="E45040" s="96"/>
    </row>
    <row r="45041" hidden="1">
      <c r="E45041" s="96"/>
    </row>
    <row r="45042" hidden="1">
      <c r="E45042" s="96"/>
    </row>
    <row r="45043" hidden="1">
      <c r="E45043" s="96"/>
    </row>
    <row r="45044" hidden="1">
      <c r="E45044" s="96"/>
    </row>
    <row r="45045" hidden="1">
      <c r="E45045" s="96"/>
    </row>
    <row r="45046" hidden="1">
      <c r="E45046" s="96"/>
    </row>
    <row r="45047" hidden="1">
      <c r="E45047" s="96"/>
    </row>
    <row r="45048" hidden="1">
      <c r="E45048" s="96"/>
    </row>
    <row r="45049" hidden="1">
      <c r="E45049" s="96"/>
    </row>
    <row r="45050" hidden="1">
      <c r="E45050" s="96"/>
    </row>
    <row r="45051" hidden="1">
      <c r="E45051" s="96"/>
    </row>
    <row r="45052" hidden="1">
      <c r="E45052" s="96"/>
    </row>
    <row r="45053" hidden="1">
      <c r="E45053" s="96"/>
    </row>
    <row r="45054" hidden="1">
      <c r="E45054" s="96"/>
    </row>
    <row r="45055" hidden="1">
      <c r="E45055" s="96"/>
    </row>
    <row r="45056" hidden="1">
      <c r="E45056" s="96"/>
    </row>
    <row r="45057" hidden="1">
      <c r="E45057" s="96"/>
    </row>
    <row r="45058" hidden="1">
      <c r="E45058" s="96"/>
    </row>
    <row r="45059" hidden="1">
      <c r="E45059" s="96"/>
    </row>
    <row r="45060" hidden="1">
      <c r="E45060" s="96"/>
    </row>
    <row r="45061" hidden="1">
      <c r="E45061" s="96"/>
    </row>
    <row r="45062" hidden="1">
      <c r="E45062" s="96"/>
    </row>
    <row r="45063" hidden="1">
      <c r="E45063" s="96"/>
    </row>
    <row r="45064" hidden="1">
      <c r="E45064" s="96"/>
    </row>
    <row r="45065" hidden="1">
      <c r="E45065" s="96"/>
    </row>
    <row r="45066" hidden="1">
      <c r="E45066" s="96"/>
    </row>
    <row r="45067" hidden="1">
      <c r="E45067" s="96"/>
    </row>
    <row r="45068" hidden="1">
      <c r="E45068" s="96"/>
    </row>
    <row r="45069" hidden="1">
      <c r="E45069" s="96"/>
    </row>
    <row r="45070" hidden="1">
      <c r="E45070" s="96"/>
    </row>
    <row r="45071" hidden="1">
      <c r="E45071" s="96"/>
    </row>
    <row r="45072" hidden="1">
      <c r="E45072" s="96"/>
    </row>
    <row r="45073" hidden="1">
      <c r="E45073" s="96"/>
    </row>
    <row r="45074" hidden="1">
      <c r="E45074" s="96"/>
    </row>
    <row r="45075" hidden="1">
      <c r="E45075" s="96"/>
    </row>
    <row r="45076" hidden="1">
      <c r="E45076" s="96"/>
    </row>
    <row r="45077" hidden="1">
      <c r="E45077" s="96"/>
    </row>
    <row r="45078" hidden="1">
      <c r="E45078" s="96"/>
    </row>
    <row r="45079" hidden="1">
      <c r="E45079" s="96"/>
    </row>
    <row r="45080" hidden="1">
      <c r="E45080" s="96"/>
    </row>
    <row r="45081" hidden="1">
      <c r="E45081" s="96"/>
    </row>
    <row r="45082" hidden="1">
      <c r="E45082" s="96"/>
    </row>
    <row r="45083" hidden="1">
      <c r="E45083" s="96"/>
    </row>
    <row r="45084" hidden="1">
      <c r="E45084" s="96"/>
    </row>
    <row r="45085" hidden="1">
      <c r="E45085" s="96"/>
    </row>
    <row r="45086" hidden="1">
      <c r="E45086" s="96"/>
    </row>
    <row r="45087" hidden="1">
      <c r="E45087" s="96"/>
    </row>
    <row r="45088" hidden="1">
      <c r="E45088" s="96"/>
    </row>
    <row r="45089" hidden="1">
      <c r="E45089" s="96"/>
    </row>
    <row r="45090" hidden="1">
      <c r="E45090" s="96"/>
    </row>
    <row r="45091" hidden="1">
      <c r="E45091" s="96"/>
    </row>
    <row r="45092" hidden="1">
      <c r="E45092" s="96"/>
    </row>
    <row r="45093" hidden="1">
      <c r="E45093" s="96"/>
    </row>
    <row r="45094" hidden="1">
      <c r="E45094" s="96"/>
    </row>
    <row r="45095" hidden="1">
      <c r="E45095" s="96"/>
    </row>
    <row r="45096" hidden="1">
      <c r="E45096" s="96"/>
    </row>
    <row r="45097" hidden="1">
      <c r="E45097" s="96"/>
    </row>
    <row r="45098" hidden="1">
      <c r="E45098" s="96"/>
    </row>
    <row r="45099" hidden="1">
      <c r="E45099" s="96"/>
    </row>
    <row r="45100" hidden="1">
      <c r="E45100" s="96"/>
    </row>
    <row r="45101" hidden="1">
      <c r="E45101" s="96"/>
    </row>
    <row r="45102" hidden="1">
      <c r="E45102" s="96"/>
    </row>
    <row r="45103" hidden="1">
      <c r="E45103" s="96"/>
    </row>
    <row r="45104" hidden="1">
      <c r="E45104" s="96"/>
    </row>
    <row r="45105" hidden="1">
      <c r="E45105" s="96"/>
    </row>
    <row r="45106" hidden="1">
      <c r="E45106" s="96"/>
    </row>
    <row r="45107" hidden="1">
      <c r="E45107" s="96"/>
    </row>
    <row r="45108" hidden="1">
      <c r="E45108" s="96"/>
    </row>
    <row r="45109" hidden="1">
      <c r="E45109" s="96"/>
    </row>
    <row r="45110" hidden="1">
      <c r="E45110" s="96"/>
    </row>
    <row r="45111" hidden="1">
      <c r="E45111" s="96"/>
    </row>
    <row r="45112" hidden="1">
      <c r="E45112" s="96"/>
    </row>
    <row r="45113" hidden="1">
      <c r="E45113" s="96"/>
    </row>
    <row r="45114" hidden="1">
      <c r="E45114" s="96"/>
    </row>
    <row r="45115" hidden="1">
      <c r="E45115" s="96"/>
    </row>
    <row r="45116" hidden="1">
      <c r="E45116" s="96"/>
    </row>
    <row r="45117" hidden="1">
      <c r="E45117" s="96"/>
    </row>
    <row r="45118" hidden="1">
      <c r="E45118" s="96"/>
    </row>
    <row r="45119" hidden="1">
      <c r="E45119" s="96"/>
    </row>
    <row r="45120" hidden="1">
      <c r="E45120" s="96"/>
    </row>
    <row r="45121" hidden="1">
      <c r="E45121" s="96"/>
    </row>
    <row r="45122" hidden="1">
      <c r="E45122" s="96"/>
    </row>
    <row r="45123" hidden="1">
      <c r="E45123" s="96"/>
    </row>
    <row r="45124" hidden="1">
      <c r="E45124" s="96"/>
    </row>
    <row r="45125" hidden="1">
      <c r="E45125" s="96"/>
    </row>
    <row r="45126" hidden="1">
      <c r="E45126" s="96"/>
    </row>
    <row r="45127" hidden="1">
      <c r="E45127" s="96"/>
    </row>
    <row r="45128" hidden="1">
      <c r="E45128" s="96"/>
    </row>
    <row r="45129" hidden="1">
      <c r="E45129" s="96"/>
    </row>
    <row r="45130" hidden="1">
      <c r="E45130" s="96"/>
    </row>
    <row r="45131" hidden="1">
      <c r="E45131" s="96"/>
    </row>
    <row r="45132" hidden="1">
      <c r="E45132" s="96"/>
    </row>
    <row r="45133" hidden="1">
      <c r="E45133" s="96"/>
    </row>
    <row r="45134" hidden="1">
      <c r="E45134" s="96"/>
    </row>
    <row r="45135" hidden="1">
      <c r="E45135" s="96"/>
    </row>
    <row r="45136" hidden="1">
      <c r="E45136" s="96"/>
    </row>
    <row r="45137" hidden="1">
      <c r="E45137" s="96"/>
    </row>
    <row r="45138" hidden="1">
      <c r="E45138" s="96"/>
    </row>
    <row r="45139" hidden="1">
      <c r="E45139" s="96"/>
    </row>
    <row r="45140" hidden="1">
      <c r="E45140" s="96"/>
    </row>
    <row r="45141" hidden="1">
      <c r="E45141" s="96"/>
    </row>
    <row r="45142" hidden="1">
      <c r="E45142" s="96"/>
    </row>
    <row r="45143" hidden="1">
      <c r="E45143" s="96"/>
    </row>
    <row r="45144" hidden="1">
      <c r="E45144" s="96"/>
    </row>
    <row r="45145" hidden="1">
      <c r="E45145" s="96"/>
    </row>
    <row r="45146" hidden="1">
      <c r="E45146" s="96"/>
    </row>
    <row r="45147" hidden="1">
      <c r="E45147" s="96"/>
    </row>
    <row r="45148" hidden="1">
      <c r="E45148" s="96"/>
    </row>
    <row r="45149" hidden="1">
      <c r="E45149" s="96"/>
    </row>
    <row r="45150" hidden="1">
      <c r="E45150" s="96"/>
    </row>
    <row r="45151" hidden="1">
      <c r="E45151" s="96"/>
    </row>
    <row r="45152" hidden="1">
      <c r="E45152" s="96"/>
    </row>
    <row r="45153" hidden="1">
      <c r="E45153" s="96"/>
    </row>
    <row r="45154" hidden="1">
      <c r="E45154" s="96"/>
    </row>
    <row r="45155" hidden="1">
      <c r="E45155" s="96"/>
    </row>
    <row r="45156" hidden="1">
      <c r="E45156" s="96"/>
    </row>
    <row r="45157" hidden="1">
      <c r="E45157" s="96"/>
    </row>
    <row r="45158" hidden="1">
      <c r="E45158" s="96"/>
    </row>
    <row r="45159" hidden="1">
      <c r="E45159" s="96"/>
    </row>
    <row r="45160" hidden="1">
      <c r="E45160" s="96"/>
    </row>
    <row r="45161" hidden="1">
      <c r="E45161" s="96"/>
    </row>
    <row r="45162" hidden="1">
      <c r="E45162" s="96"/>
    </row>
    <row r="45163" hidden="1">
      <c r="E45163" s="96"/>
    </row>
    <row r="45164" hidden="1">
      <c r="E45164" s="96"/>
    </row>
    <row r="45165" hidden="1">
      <c r="E45165" s="96"/>
    </row>
    <row r="45166" hidden="1">
      <c r="E45166" s="96"/>
    </row>
    <row r="45167" hidden="1">
      <c r="E45167" s="96"/>
    </row>
    <row r="45168" hidden="1">
      <c r="E45168" s="96"/>
    </row>
    <row r="45169" hidden="1">
      <c r="E45169" s="96"/>
    </row>
    <row r="45170" hidden="1">
      <c r="E45170" s="96"/>
    </row>
    <row r="45171" hidden="1">
      <c r="E45171" s="96"/>
    </row>
    <row r="45172" hidden="1">
      <c r="E45172" s="96"/>
    </row>
    <row r="45173" hidden="1">
      <c r="E45173" s="96"/>
    </row>
    <row r="45174" hidden="1">
      <c r="E45174" s="96"/>
    </row>
    <row r="45175" hidden="1">
      <c r="E45175" s="96"/>
    </row>
    <row r="45176" hidden="1">
      <c r="E45176" s="96"/>
    </row>
    <row r="45177" hidden="1">
      <c r="E45177" s="96"/>
    </row>
    <row r="45178" hidden="1">
      <c r="E45178" s="96"/>
    </row>
    <row r="45179" hidden="1">
      <c r="E45179" s="96"/>
    </row>
    <row r="45180" hidden="1">
      <c r="E45180" s="96"/>
    </row>
    <row r="45181" hidden="1">
      <c r="E45181" s="96"/>
    </row>
    <row r="45182" hidden="1">
      <c r="E45182" s="96"/>
    </row>
    <row r="45183" hidden="1">
      <c r="E45183" s="96"/>
    </row>
    <row r="45184" hidden="1">
      <c r="E45184" s="96"/>
    </row>
    <row r="45185" hidden="1">
      <c r="E45185" s="96"/>
    </row>
    <row r="45186" hidden="1">
      <c r="E45186" s="96"/>
    </row>
    <row r="45187" hidden="1">
      <c r="E45187" s="96"/>
    </row>
    <row r="45188" hidden="1">
      <c r="E45188" s="96"/>
    </row>
    <row r="45189" hidden="1">
      <c r="E45189" s="96"/>
    </row>
    <row r="45190" hidden="1">
      <c r="E45190" s="96"/>
    </row>
    <row r="45191" hidden="1">
      <c r="E45191" s="96"/>
    </row>
    <row r="45192" hidden="1">
      <c r="E45192" s="96"/>
    </row>
    <row r="45193" hidden="1">
      <c r="E45193" s="96"/>
    </row>
    <row r="45194" hidden="1">
      <c r="E45194" s="96"/>
    </row>
    <row r="45195" hidden="1">
      <c r="E45195" s="96"/>
    </row>
    <row r="45196" hidden="1">
      <c r="E45196" s="96"/>
    </row>
    <row r="45197" hidden="1">
      <c r="E45197" s="96"/>
    </row>
    <row r="45198" hidden="1">
      <c r="E45198" s="96"/>
    </row>
    <row r="45199" hidden="1">
      <c r="E45199" s="96"/>
    </row>
    <row r="45200" hidden="1">
      <c r="E45200" s="96"/>
    </row>
    <row r="45201" hidden="1">
      <c r="E45201" s="96"/>
    </row>
    <row r="45202" hidden="1">
      <c r="E45202" s="96"/>
    </row>
    <row r="45203" hidden="1">
      <c r="E45203" s="96"/>
    </row>
    <row r="45204" hidden="1">
      <c r="E45204" s="96"/>
    </row>
    <row r="45205" hidden="1">
      <c r="E45205" s="96"/>
    </row>
    <row r="45206" hidden="1">
      <c r="E45206" s="96"/>
    </row>
    <row r="45207" hidden="1">
      <c r="E45207" s="96"/>
    </row>
    <row r="45208" hidden="1">
      <c r="E45208" s="96"/>
    </row>
    <row r="45209" hidden="1">
      <c r="E45209" s="96"/>
    </row>
    <row r="45210" hidden="1">
      <c r="E45210" s="96"/>
    </row>
    <row r="45211" hidden="1">
      <c r="E45211" s="96"/>
    </row>
    <row r="45212" hidden="1">
      <c r="E45212" s="96"/>
    </row>
    <row r="45213" hidden="1">
      <c r="E45213" s="96"/>
    </row>
    <row r="45214" hidden="1">
      <c r="E45214" s="96"/>
    </row>
    <row r="45215" hidden="1">
      <c r="E45215" s="96"/>
    </row>
    <row r="45216" hidden="1">
      <c r="E45216" s="96"/>
    </row>
    <row r="45217" hidden="1">
      <c r="E45217" s="96"/>
    </row>
    <row r="45218" hidden="1">
      <c r="E45218" s="96"/>
    </row>
    <row r="45219" hidden="1">
      <c r="E45219" s="96"/>
    </row>
    <row r="45220" hidden="1">
      <c r="E45220" s="96"/>
    </row>
    <row r="45221" hidden="1">
      <c r="E45221" s="96"/>
    </row>
    <row r="45222" hidden="1">
      <c r="E45222" s="96"/>
    </row>
    <row r="45223" hidden="1">
      <c r="E45223" s="96"/>
    </row>
    <row r="45224" hidden="1">
      <c r="E45224" s="96"/>
    </row>
    <row r="45225" hidden="1">
      <c r="E45225" s="96"/>
    </row>
    <row r="45226" hidden="1">
      <c r="E45226" s="96"/>
    </row>
    <row r="45227" hidden="1">
      <c r="E45227" s="96"/>
    </row>
    <row r="45228" hidden="1">
      <c r="E45228" s="96"/>
    </row>
    <row r="45229" hidden="1">
      <c r="E45229" s="96"/>
    </row>
    <row r="45230" hidden="1">
      <c r="E45230" s="96"/>
    </row>
    <row r="45231" hidden="1">
      <c r="E45231" s="96"/>
    </row>
    <row r="45232" hidden="1">
      <c r="E45232" s="96"/>
    </row>
    <row r="45233" hidden="1">
      <c r="E45233" s="96"/>
    </row>
    <row r="45234" hidden="1">
      <c r="E45234" s="96"/>
    </row>
    <row r="45235" hidden="1">
      <c r="E45235" s="96"/>
    </row>
    <row r="45236" hidden="1">
      <c r="E45236" s="96"/>
    </row>
    <row r="45237" hidden="1">
      <c r="E45237" s="96"/>
    </row>
    <row r="45238" hidden="1">
      <c r="E45238" s="96"/>
    </row>
    <row r="45239" hidden="1">
      <c r="E45239" s="96"/>
    </row>
    <row r="45240" hidden="1">
      <c r="E45240" s="96"/>
    </row>
    <row r="45241" hidden="1">
      <c r="E45241" s="96"/>
    </row>
    <row r="45242" hidden="1">
      <c r="E45242" s="96"/>
    </row>
    <row r="45243" hidden="1">
      <c r="E45243" s="96"/>
    </row>
    <row r="45244" hidden="1">
      <c r="E45244" s="96"/>
    </row>
    <row r="45245" hidden="1">
      <c r="E45245" s="96"/>
    </row>
    <row r="45246" hidden="1">
      <c r="E45246" s="96"/>
    </row>
    <row r="45247" hidden="1">
      <c r="E45247" s="96"/>
    </row>
    <row r="45248" hidden="1">
      <c r="E45248" s="96"/>
    </row>
    <row r="45249" hidden="1">
      <c r="E45249" s="96"/>
    </row>
    <row r="45250" hidden="1">
      <c r="E45250" s="96"/>
    </row>
    <row r="45251" hidden="1">
      <c r="E45251" s="96"/>
    </row>
    <row r="45252" hidden="1">
      <c r="E45252" s="96"/>
    </row>
    <row r="45253" hidden="1">
      <c r="E45253" s="96"/>
    </row>
    <row r="45254" hidden="1">
      <c r="E45254" s="96"/>
    </row>
    <row r="45255" hidden="1">
      <c r="E45255" s="96"/>
    </row>
    <row r="45256" hidden="1">
      <c r="E45256" s="96"/>
    </row>
    <row r="45257" hidden="1">
      <c r="E45257" s="96"/>
    </row>
    <row r="45258" hidden="1">
      <c r="E45258" s="96"/>
    </row>
    <row r="45259" hidden="1">
      <c r="E45259" s="96"/>
    </row>
    <row r="45260" hidden="1">
      <c r="E45260" s="96"/>
    </row>
    <row r="45261" hidden="1">
      <c r="E45261" s="96"/>
    </row>
    <row r="45262" hidden="1">
      <c r="E45262" s="96"/>
    </row>
    <row r="45263" hidden="1">
      <c r="E45263" s="96"/>
    </row>
    <row r="45264" hidden="1">
      <c r="E45264" s="96"/>
    </row>
    <row r="45265" hidden="1">
      <c r="E45265" s="96"/>
    </row>
    <row r="45266" hidden="1">
      <c r="E45266" s="96"/>
    </row>
    <row r="45267" hidden="1">
      <c r="E45267" s="96"/>
    </row>
    <row r="45268" hidden="1">
      <c r="E45268" s="96"/>
    </row>
    <row r="45269" hidden="1">
      <c r="E45269" s="96"/>
    </row>
    <row r="45270" hidden="1">
      <c r="E45270" s="96"/>
    </row>
    <row r="45271" hidden="1">
      <c r="E45271" s="96"/>
    </row>
    <row r="45272" hidden="1">
      <c r="E45272" s="96"/>
    </row>
    <row r="45273" hidden="1">
      <c r="E45273" s="96"/>
    </row>
    <row r="45274" hidden="1">
      <c r="E45274" s="96"/>
    </row>
    <row r="45275" hidden="1">
      <c r="E45275" s="96"/>
    </row>
    <row r="45276" hidden="1">
      <c r="E45276" s="96"/>
    </row>
    <row r="45277" hidden="1">
      <c r="E45277" s="96"/>
    </row>
    <row r="45278" hidden="1">
      <c r="E45278" s="96"/>
    </row>
    <row r="45279" hidden="1">
      <c r="E45279" s="96"/>
    </row>
    <row r="45280" hidden="1">
      <c r="E45280" s="96"/>
    </row>
    <row r="45281" hidden="1">
      <c r="E45281" s="96"/>
    </row>
    <row r="45282" hidden="1">
      <c r="E45282" s="96"/>
    </row>
    <row r="45283" hidden="1">
      <c r="E45283" s="96"/>
    </row>
    <row r="45284" hidden="1">
      <c r="E45284" s="96"/>
    </row>
    <row r="45285" hidden="1">
      <c r="E45285" s="96"/>
    </row>
    <row r="45286" hidden="1">
      <c r="E45286" s="96"/>
    </row>
    <row r="45287" hidden="1">
      <c r="E45287" s="96"/>
    </row>
    <row r="45288" hidden="1">
      <c r="E45288" s="96"/>
    </row>
    <row r="45289" hidden="1">
      <c r="E45289" s="96"/>
    </row>
    <row r="45290" hidden="1">
      <c r="E45290" s="96"/>
    </row>
    <row r="45291" hidden="1">
      <c r="E45291" s="96"/>
    </row>
    <row r="45292" hidden="1">
      <c r="E45292" s="96"/>
    </row>
    <row r="45293" hidden="1">
      <c r="E45293" s="96"/>
    </row>
    <row r="45294" hidden="1">
      <c r="E45294" s="96"/>
    </row>
    <row r="45295" hidden="1">
      <c r="E45295" s="96"/>
    </row>
    <row r="45296" hidden="1">
      <c r="E45296" s="96"/>
    </row>
    <row r="45297" hidden="1">
      <c r="E45297" s="96"/>
    </row>
    <row r="45298" hidden="1">
      <c r="E45298" s="96"/>
    </row>
    <row r="45299" hidden="1">
      <c r="E45299" s="96"/>
    </row>
    <row r="45300" hidden="1">
      <c r="E45300" s="96"/>
    </row>
    <row r="45301" hidden="1">
      <c r="E45301" s="96"/>
    </row>
    <row r="45302" hidden="1">
      <c r="E45302" s="96"/>
    </row>
    <row r="45303" hidden="1">
      <c r="E45303" s="96"/>
    </row>
    <row r="45304" hidden="1">
      <c r="E45304" s="96"/>
    </row>
    <row r="45305" hidden="1">
      <c r="E45305" s="96"/>
    </row>
    <row r="45306" hidden="1">
      <c r="E45306" s="96"/>
    </row>
    <row r="45307" hidden="1">
      <c r="E45307" s="96"/>
    </row>
    <row r="45308" hidden="1">
      <c r="E45308" s="96"/>
    </row>
    <row r="45309" hidden="1">
      <c r="E45309" s="96"/>
    </row>
    <row r="45310" hidden="1">
      <c r="E45310" s="96"/>
    </row>
    <row r="45311" hidden="1">
      <c r="E45311" s="96"/>
    </row>
    <row r="45312" hidden="1">
      <c r="E45312" s="96"/>
    </row>
    <row r="45313" hidden="1">
      <c r="E45313" s="96"/>
    </row>
    <row r="45314" hidden="1">
      <c r="E45314" s="96"/>
    </row>
    <row r="45315" hidden="1">
      <c r="E45315" s="96"/>
    </row>
    <row r="45316" hidden="1">
      <c r="E45316" s="96"/>
    </row>
    <row r="45317" hidden="1">
      <c r="E45317" s="96"/>
    </row>
    <row r="45318" hidden="1">
      <c r="E45318" s="96"/>
    </row>
    <row r="45319" hidden="1">
      <c r="E45319" s="96"/>
    </row>
    <row r="45320" hidden="1">
      <c r="E45320" s="96"/>
    </row>
    <row r="45321" hidden="1">
      <c r="E45321" s="96"/>
    </row>
    <row r="45322" hidden="1">
      <c r="E45322" s="96"/>
    </row>
    <row r="45323" hidden="1">
      <c r="E45323" s="96"/>
    </row>
    <row r="45324" hidden="1">
      <c r="E45324" s="96"/>
    </row>
    <row r="45325" hidden="1">
      <c r="E45325" s="96"/>
    </row>
    <row r="45326" hidden="1">
      <c r="E45326" s="96"/>
    </row>
    <row r="45327" hidden="1">
      <c r="E45327" s="96"/>
    </row>
    <row r="45328" hidden="1">
      <c r="E45328" s="96"/>
    </row>
    <row r="45329" hidden="1">
      <c r="E45329" s="96"/>
    </row>
    <row r="45330" hidden="1">
      <c r="E45330" s="96"/>
    </row>
    <row r="45331" hidden="1">
      <c r="E45331" s="96"/>
    </row>
    <row r="45332" hidden="1">
      <c r="E45332" s="96"/>
    </row>
    <row r="45333" hidden="1">
      <c r="E45333" s="96"/>
    </row>
    <row r="45334" hidden="1">
      <c r="E45334" s="96"/>
    </row>
    <row r="45335" hidden="1">
      <c r="E45335" s="96"/>
    </row>
    <row r="45336" hidden="1">
      <c r="E45336" s="96"/>
    </row>
    <row r="45337" hidden="1">
      <c r="E45337" s="96"/>
    </row>
    <row r="45338" hidden="1">
      <c r="E45338" s="96"/>
    </row>
    <row r="45339" hidden="1">
      <c r="E45339" s="96"/>
    </row>
    <row r="45340" hidden="1">
      <c r="E45340" s="96"/>
    </row>
    <row r="45341" hidden="1">
      <c r="E45341" s="96"/>
    </row>
    <row r="45342" hidden="1">
      <c r="E45342" s="96"/>
    </row>
    <row r="45343" hidden="1">
      <c r="E45343" s="96"/>
    </row>
    <row r="45344" hidden="1">
      <c r="E45344" s="96"/>
    </row>
    <row r="45345" hidden="1">
      <c r="E45345" s="96"/>
    </row>
    <row r="45346" hidden="1">
      <c r="E45346" s="96"/>
    </row>
    <row r="45347" hidden="1">
      <c r="E45347" s="96"/>
    </row>
    <row r="45348" hidden="1">
      <c r="E45348" s="96"/>
    </row>
    <row r="45349" hidden="1">
      <c r="E45349" s="96"/>
    </row>
    <row r="45350" hidden="1">
      <c r="E45350" s="96"/>
    </row>
    <row r="45351" hidden="1">
      <c r="E45351" s="96"/>
    </row>
    <row r="45352" hidden="1">
      <c r="E45352" s="96"/>
    </row>
    <row r="45353" hidden="1">
      <c r="E45353" s="96"/>
    </row>
    <row r="45354" hidden="1">
      <c r="E45354" s="96"/>
    </row>
    <row r="45355" hidden="1">
      <c r="E45355" s="96"/>
    </row>
    <row r="45356" hidden="1">
      <c r="E45356" s="96"/>
    </row>
    <row r="45357" hidden="1">
      <c r="E45357" s="96"/>
    </row>
    <row r="45358" hidden="1">
      <c r="E45358" s="96"/>
    </row>
    <row r="45359" hidden="1">
      <c r="E45359" s="96"/>
    </row>
    <row r="45360" hidden="1">
      <c r="E45360" s="96"/>
    </row>
    <row r="45361" hidden="1">
      <c r="E45361" s="96"/>
    </row>
    <row r="45362" hidden="1">
      <c r="E45362" s="96"/>
    </row>
    <row r="45363" hidden="1">
      <c r="E45363" s="96"/>
    </row>
    <row r="45364" hidden="1">
      <c r="E45364" s="96"/>
    </row>
    <row r="45365" hidden="1">
      <c r="E45365" s="96"/>
    </row>
    <row r="45366" hidden="1">
      <c r="E45366" s="96"/>
    </row>
    <row r="45367" hidden="1">
      <c r="E45367" s="96"/>
    </row>
    <row r="45368" hidden="1">
      <c r="E45368" s="96"/>
    </row>
    <row r="45369" hidden="1">
      <c r="E45369" s="96"/>
    </row>
    <row r="45370" hidden="1">
      <c r="E45370" s="96"/>
    </row>
    <row r="45371" hidden="1">
      <c r="E45371" s="96"/>
    </row>
    <row r="45372" hidden="1">
      <c r="E45372" s="96"/>
    </row>
    <row r="45373" hidden="1">
      <c r="E45373" s="96"/>
    </row>
    <row r="45374" hidden="1">
      <c r="E45374" s="96"/>
    </row>
    <row r="45375" hidden="1">
      <c r="E45375" s="96"/>
    </row>
    <row r="45376" hidden="1">
      <c r="E45376" s="96"/>
    </row>
    <row r="45377" hidden="1">
      <c r="E45377" s="96"/>
    </row>
    <row r="45378" hidden="1">
      <c r="E45378" s="96"/>
    </row>
    <row r="45379" hidden="1">
      <c r="E45379" s="96"/>
    </row>
    <row r="45380" hidden="1">
      <c r="E45380" s="96"/>
    </row>
    <row r="45381" hidden="1">
      <c r="E45381" s="96"/>
    </row>
    <row r="45382" hidden="1">
      <c r="E45382" s="96"/>
    </row>
    <row r="45383" hidden="1">
      <c r="E45383" s="96"/>
    </row>
    <row r="45384" hidden="1">
      <c r="E45384" s="96"/>
    </row>
    <row r="45385" hidden="1">
      <c r="E45385" s="96"/>
    </row>
    <row r="45386" hidden="1">
      <c r="E45386" s="96"/>
    </row>
    <row r="45387" hidden="1">
      <c r="E45387" s="96"/>
    </row>
    <row r="45388" hidden="1">
      <c r="E45388" s="96"/>
    </row>
    <row r="45389" hidden="1">
      <c r="E45389" s="96"/>
    </row>
    <row r="45390" hidden="1">
      <c r="E45390" s="96"/>
    </row>
    <row r="45391" hidden="1">
      <c r="E45391" s="96"/>
    </row>
    <row r="45392" hidden="1">
      <c r="E45392" s="96"/>
    </row>
    <row r="45393" hidden="1">
      <c r="E45393" s="96"/>
    </row>
    <row r="45394" hidden="1">
      <c r="E45394" s="96"/>
    </row>
    <row r="45395" hidden="1">
      <c r="E45395" s="96"/>
    </row>
    <row r="45396" hidden="1">
      <c r="E45396" s="96"/>
    </row>
    <row r="45397" hidden="1">
      <c r="E45397" s="96"/>
    </row>
    <row r="45398" hidden="1">
      <c r="E45398" s="96"/>
    </row>
    <row r="45399" hidden="1">
      <c r="E45399" s="96"/>
    </row>
    <row r="45400" hidden="1">
      <c r="E45400" s="96"/>
    </row>
    <row r="45401" hidden="1">
      <c r="E45401" s="96"/>
    </row>
    <row r="45402" hidden="1">
      <c r="E45402" s="96"/>
    </row>
    <row r="45403" hidden="1">
      <c r="E45403" s="96"/>
    </row>
    <row r="45404" hidden="1">
      <c r="E45404" s="96"/>
    </row>
    <row r="45405" hidden="1">
      <c r="E45405" s="96"/>
    </row>
    <row r="45406" hidden="1">
      <c r="E45406" s="96"/>
    </row>
    <row r="45407" hidden="1">
      <c r="E45407" s="96"/>
    </row>
    <row r="45408" hidden="1">
      <c r="E45408" s="96"/>
    </row>
    <row r="45409" hidden="1">
      <c r="E45409" s="96"/>
    </row>
    <row r="45410" hidden="1">
      <c r="E45410" s="96"/>
    </row>
    <row r="45411" hidden="1">
      <c r="E45411" s="96"/>
    </row>
    <row r="45412" hidden="1">
      <c r="E45412" s="96"/>
    </row>
    <row r="45413" hidden="1">
      <c r="E45413" s="96"/>
    </row>
    <row r="45414" hidden="1">
      <c r="E45414" s="96"/>
    </row>
    <row r="45415" hidden="1">
      <c r="E45415" s="96"/>
    </row>
    <row r="45416" hidden="1">
      <c r="E45416" s="96"/>
    </row>
    <row r="45417" hidden="1">
      <c r="E45417" s="96"/>
    </row>
    <row r="45418" hidden="1">
      <c r="E45418" s="96"/>
    </row>
    <row r="45419" hidden="1">
      <c r="E45419" s="96"/>
    </row>
    <row r="45420" hidden="1">
      <c r="E45420" s="96"/>
    </row>
    <row r="45421" hidden="1">
      <c r="E45421" s="96"/>
    </row>
    <row r="45422" hidden="1">
      <c r="E45422" s="96"/>
    </row>
    <row r="45423" hidden="1">
      <c r="E45423" s="96"/>
    </row>
    <row r="45424" hidden="1">
      <c r="E45424" s="96"/>
    </row>
    <row r="45425" hidden="1">
      <c r="E45425" s="96"/>
    </row>
    <row r="45426" hidden="1">
      <c r="E45426" s="96"/>
    </row>
    <row r="45427" hidden="1">
      <c r="E45427" s="96"/>
    </row>
    <row r="45428" hidden="1">
      <c r="E45428" s="96"/>
    </row>
    <row r="45429" hidden="1">
      <c r="E45429" s="96"/>
    </row>
    <row r="45430" hidden="1">
      <c r="E45430" s="96"/>
    </row>
    <row r="45431" hidden="1">
      <c r="E45431" s="96"/>
    </row>
    <row r="45432" hidden="1">
      <c r="E45432" s="96"/>
    </row>
    <row r="45433" hidden="1">
      <c r="E45433" s="96"/>
    </row>
    <row r="45434" hidden="1">
      <c r="E45434" s="96"/>
    </row>
    <row r="45435" hidden="1">
      <c r="E45435" s="96"/>
    </row>
    <row r="45436" hidden="1">
      <c r="E45436" s="96"/>
    </row>
    <row r="45437" hidden="1">
      <c r="E45437" s="96"/>
    </row>
    <row r="45438" hidden="1">
      <c r="E45438" s="96"/>
    </row>
    <row r="45439" hidden="1">
      <c r="E45439" s="96"/>
    </row>
    <row r="45440" hidden="1">
      <c r="E45440" s="96"/>
    </row>
    <row r="45441" hidden="1">
      <c r="E45441" s="96"/>
    </row>
    <row r="45442" hidden="1">
      <c r="E45442" s="96"/>
    </row>
    <row r="45443" hidden="1">
      <c r="E45443" s="96"/>
    </row>
    <row r="45444" hidden="1">
      <c r="E45444" s="96"/>
    </row>
    <row r="45445" hidden="1">
      <c r="E45445" s="96"/>
    </row>
    <row r="45446" hidden="1">
      <c r="E45446" s="96"/>
    </row>
    <row r="45447" hidden="1">
      <c r="E45447" s="96"/>
    </row>
    <row r="45448" hidden="1">
      <c r="E45448" s="96"/>
    </row>
    <row r="45449" hidden="1">
      <c r="E45449" s="96"/>
    </row>
    <row r="45450" hidden="1">
      <c r="E45450" s="96"/>
    </row>
    <row r="45451" hidden="1">
      <c r="E45451" s="96"/>
    </row>
    <row r="45452" hidden="1">
      <c r="E45452" s="96"/>
    </row>
    <row r="45453" hidden="1">
      <c r="E45453" s="96"/>
    </row>
    <row r="45454" hidden="1">
      <c r="E45454" s="96"/>
    </row>
    <row r="45455" hidden="1">
      <c r="E45455" s="96"/>
    </row>
    <row r="45456" hidden="1">
      <c r="E45456" s="96"/>
    </row>
    <row r="45457" hidden="1">
      <c r="E45457" s="96"/>
    </row>
    <row r="45458" hidden="1">
      <c r="E45458" s="96"/>
    </row>
    <row r="45459" hidden="1">
      <c r="E45459" s="96"/>
    </row>
    <row r="45460" hidden="1">
      <c r="E45460" s="96"/>
    </row>
    <row r="45461" hidden="1">
      <c r="E45461" s="96"/>
    </row>
    <row r="45462" hidden="1">
      <c r="E45462" s="96"/>
    </row>
    <row r="45463" hidden="1">
      <c r="E45463" s="96"/>
    </row>
    <row r="45464" hidden="1">
      <c r="E45464" s="96"/>
    </row>
    <row r="45465" hidden="1">
      <c r="E45465" s="96"/>
    </row>
    <row r="45466" hidden="1">
      <c r="E45466" s="96"/>
    </row>
    <row r="45467" hidden="1">
      <c r="E45467" s="96"/>
    </row>
    <row r="45468" hidden="1">
      <c r="E45468" s="96"/>
    </row>
    <row r="45469" hidden="1">
      <c r="E45469" s="96"/>
    </row>
    <row r="45470" hidden="1">
      <c r="E45470" s="96"/>
    </row>
    <row r="45471" hidden="1">
      <c r="E45471" s="96"/>
    </row>
    <row r="45472" hidden="1">
      <c r="E45472" s="96"/>
    </row>
    <row r="45473" hidden="1">
      <c r="E45473" s="96"/>
    </row>
    <row r="45474" hidden="1">
      <c r="E45474" s="96"/>
    </row>
    <row r="45475" hidden="1">
      <c r="E45475" s="96"/>
    </row>
    <row r="45476" hidden="1">
      <c r="E45476" s="96"/>
    </row>
    <row r="45477" hidden="1">
      <c r="E45477" s="96"/>
    </row>
    <row r="45478" hidden="1">
      <c r="E45478" s="96"/>
    </row>
    <row r="45479" hidden="1">
      <c r="E45479" s="96"/>
    </row>
    <row r="45480" hidden="1">
      <c r="E45480" s="96"/>
    </row>
    <row r="45481" hidden="1">
      <c r="E45481" s="96"/>
    </row>
    <row r="45482" hidden="1">
      <c r="E45482" s="96"/>
    </row>
    <row r="45483" hidden="1">
      <c r="E45483" s="96"/>
    </row>
    <row r="45484" hidden="1">
      <c r="E45484" s="96"/>
    </row>
    <row r="45485" hidden="1">
      <c r="E45485" s="96"/>
    </row>
    <row r="45486" hidden="1">
      <c r="E45486" s="96"/>
    </row>
    <row r="45487" hidden="1">
      <c r="E45487" s="96"/>
    </row>
    <row r="45488" hidden="1">
      <c r="E45488" s="96"/>
    </row>
    <row r="45489" hidden="1">
      <c r="E45489" s="96"/>
    </row>
    <row r="45490" hidden="1">
      <c r="E45490" s="96"/>
    </row>
    <row r="45491" hidden="1">
      <c r="E45491" s="96"/>
    </row>
    <row r="45492" hidden="1">
      <c r="E45492" s="96"/>
    </row>
    <row r="45493" hidden="1">
      <c r="E45493" s="96"/>
    </row>
    <row r="45494" hidden="1">
      <c r="E45494" s="96"/>
    </row>
    <row r="45495" hidden="1">
      <c r="E45495" s="96"/>
    </row>
    <row r="45496" hidden="1">
      <c r="E45496" s="96"/>
    </row>
    <row r="45497" hidden="1">
      <c r="E45497" s="96"/>
    </row>
    <row r="45498" hidden="1">
      <c r="E45498" s="96"/>
    </row>
    <row r="45499" hidden="1">
      <c r="E45499" s="96"/>
    </row>
    <row r="45500" hidden="1">
      <c r="E45500" s="96"/>
    </row>
    <row r="45501" hidden="1">
      <c r="E45501" s="96"/>
    </row>
    <row r="45502" hidden="1">
      <c r="E45502" s="96"/>
    </row>
    <row r="45503" hidden="1">
      <c r="E45503" s="96"/>
    </row>
    <row r="45504" hidden="1">
      <c r="E45504" s="96"/>
    </row>
    <row r="45505" hidden="1">
      <c r="E45505" s="96"/>
    </row>
    <row r="45506" hidden="1">
      <c r="E45506" s="96"/>
    </row>
    <row r="45507" hidden="1">
      <c r="E45507" s="96"/>
    </row>
    <row r="45508" hidden="1">
      <c r="E45508" s="96"/>
    </row>
    <row r="45509" hidden="1">
      <c r="E45509" s="96"/>
    </row>
    <row r="45510" hidden="1">
      <c r="E45510" s="96"/>
    </row>
    <row r="45511" hidden="1">
      <c r="E45511" s="96"/>
    </row>
    <row r="45512" hidden="1">
      <c r="E45512" s="96"/>
    </row>
    <row r="45513" hidden="1">
      <c r="E45513" s="96"/>
    </row>
    <row r="45514" hidden="1">
      <c r="E45514" s="96"/>
    </row>
    <row r="45515" hidden="1">
      <c r="E45515" s="96"/>
    </row>
    <row r="45516" hidden="1">
      <c r="E45516" s="96"/>
    </row>
    <row r="45517" hidden="1">
      <c r="E45517" s="96"/>
    </row>
    <row r="45518" hidden="1">
      <c r="E45518" s="96"/>
    </row>
    <row r="45519" hidden="1">
      <c r="E45519" s="96"/>
    </row>
    <row r="45520" hidden="1">
      <c r="E45520" s="96"/>
    </row>
    <row r="45521" hidden="1">
      <c r="E45521" s="96"/>
    </row>
    <row r="45522" hidden="1">
      <c r="E45522" s="96"/>
    </row>
    <row r="45523" hidden="1">
      <c r="E45523" s="96"/>
    </row>
    <row r="45524" hidden="1">
      <c r="E45524" s="96"/>
    </row>
    <row r="45525" hidden="1">
      <c r="E45525" s="96"/>
    </row>
    <row r="45526" hidden="1">
      <c r="E45526" s="96"/>
    </row>
    <row r="45527" hidden="1">
      <c r="E45527" s="96"/>
    </row>
    <row r="45528" hidden="1">
      <c r="E45528" s="96"/>
    </row>
    <row r="45529" hidden="1">
      <c r="E45529" s="96"/>
    </row>
    <row r="45530" hidden="1">
      <c r="E45530" s="96"/>
    </row>
    <row r="45531" hidden="1">
      <c r="E45531" s="96"/>
    </row>
    <row r="45532" hidden="1">
      <c r="E45532" s="96"/>
    </row>
    <row r="45533" hidden="1">
      <c r="E45533" s="96"/>
    </row>
    <row r="45534" hidden="1">
      <c r="E45534" s="96"/>
    </row>
    <row r="45535" hidden="1">
      <c r="E45535" s="96"/>
    </row>
    <row r="45536" hidden="1">
      <c r="E45536" s="96"/>
    </row>
    <row r="45537" hidden="1">
      <c r="E45537" s="96"/>
    </row>
    <row r="45538" hidden="1">
      <c r="E45538" s="96"/>
    </row>
    <row r="45539" hidden="1">
      <c r="E45539" s="96"/>
    </row>
    <row r="45540" hidden="1">
      <c r="E45540" s="96"/>
    </row>
    <row r="45541" hidden="1">
      <c r="E45541" s="96"/>
    </row>
    <row r="45542" hidden="1">
      <c r="E45542" s="96"/>
    </row>
    <row r="45543" hidden="1">
      <c r="E45543" s="96"/>
    </row>
    <row r="45544" hidden="1">
      <c r="E45544" s="96"/>
    </row>
    <row r="45545" hidden="1">
      <c r="E45545" s="96"/>
    </row>
    <row r="45546" hidden="1">
      <c r="E45546" s="96"/>
    </row>
    <row r="45547" hidden="1">
      <c r="E45547" s="96"/>
    </row>
    <row r="45548" hidden="1">
      <c r="E45548" s="96"/>
    </row>
    <row r="45549" hidden="1">
      <c r="E45549" s="96"/>
    </row>
    <row r="45550" hidden="1">
      <c r="E45550" s="96"/>
    </row>
    <row r="45551" hidden="1">
      <c r="E45551" s="96"/>
    </row>
    <row r="45552" hidden="1">
      <c r="E45552" s="96"/>
    </row>
    <row r="45553" hidden="1">
      <c r="E45553" s="96"/>
    </row>
    <row r="45554" hidden="1">
      <c r="E45554" s="96"/>
    </row>
    <row r="45555" hidden="1">
      <c r="E45555" s="96"/>
    </row>
    <row r="45556" hidden="1">
      <c r="E45556" s="96"/>
    </row>
    <row r="45557" hidden="1">
      <c r="E45557" s="96"/>
    </row>
    <row r="45558" hidden="1">
      <c r="E45558" s="96"/>
    </row>
    <row r="45559" hidden="1">
      <c r="E45559" s="96"/>
    </row>
    <row r="45560" hidden="1">
      <c r="E45560" s="96"/>
    </row>
    <row r="45561" hidden="1">
      <c r="E45561" s="96"/>
    </row>
    <row r="45562" hidden="1">
      <c r="E45562" s="96"/>
    </row>
    <row r="45563" hidden="1">
      <c r="E45563" s="96"/>
    </row>
    <row r="45564" hidden="1">
      <c r="E45564" s="96"/>
    </row>
    <row r="45565" hidden="1">
      <c r="E45565" s="96"/>
    </row>
    <row r="45566" hidden="1">
      <c r="E45566" s="96"/>
    </row>
    <row r="45567" hidden="1">
      <c r="E45567" s="96"/>
    </row>
    <row r="45568" hidden="1">
      <c r="E45568" s="96"/>
    </row>
    <row r="45569" hidden="1">
      <c r="E45569" s="96"/>
    </row>
    <row r="45570" hidden="1">
      <c r="E45570" s="96"/>
    </row>
    <row r="45571" hidden="1">
      <c r="E45571" s="96"/>
    </row>
    <row r="45572" hidden="1">
      <c r="E45572" s="96"/>
    </row>
    <row r="45573" hidden="1">
      <c r="E45573" s="96"/>
    </row>
    <row r="45574" hidden="1">
      <c r="E45574" s="96"/>
    </row>
    <row r="45575" hidden="1">
      <c r="E45575" s="96"/>
    </row>
    <row r="45576" hidden="1">
      <c r="E45576" s="96"/>
    </row>
    <row r="45577" hidden="1">
      <c r="E45577" s="96"/>
    </row>
    <row r="45578" hidden="1">
      <c r="E45578" s="96"/>
    </row>
    <row r="45579" hidden="1">
      <c r="E45579" s="96"/>
    </row>
    <row r="45580" hidden="1">
      <c r="E45580" s="96"/>
    </row>
    <row r="45581" hidden="1">
      <c r="E45581" s="96"/>
    </row>
    <row r="45582" hidden="1">
      <c r="E45582" s="96"/>
    </row>
    <row r="45583" hidden="1">
      <c r="E45583" s="96"/>
    </row>
    <row r="45584" hidden="1">
      <c r="E45584" s="96"/>
    </row>
    <row r="45585" hidden="1">
      <c r="E45585" s="96"/>
    </row>
    <row r="45586" hidden="1">
      <c r="E45586" s="96"/>
    </row>
    <row r="45587" hidden="1">
      <c r="E45587" s="96"/>
    </row>
    <row r="45588" hidden="1">
      <c r="E45588" s="96"/>
    </row>
    <row r="45589" hidden="1">
      <c r="E45589" s="96"/>
    </row>
    <row r="45590" hidden="1">
      <c r="E45590" s="96"/>
    </row>
    <row r="45591" hidden="1">
      <c r="E45591" s="96"/>
    </row>
    <row r="45592" hidden="1">
      <c r="E45592" s="96"/>
    </row>
    <row r="45593" hidden="1">
      <c r="E45593" s="96"/>
    </row>
    <row r="45594" hidden="1">
      <c r="E45594" s="96"/>
    </row>
    <row r="45595" hidden="1">
      <c r="E45595" s="96"/>
    </row>
    <row r="45596" hidden="1">
      <c r="E45596" s="96"/>
    </row>
    <row r="45597" hidden="1">
      <c r="E45597" s="96"/>
    </row>
    <row r="45598" hidden="1">
      <c r="E45598" s="96"/>
    </row>
    <row r="45599" hidden="1">
      <c r="E45599" s="96"/>
    </row>
    <row r="45600" hidden="1">
      <c r="E45600" s="96"/>
    </row>
    <row r="45601" hidden="1">
      <c r="E45601" s="96"/>
    </row>
    <row r="45602" hidden="1">
      <c r="E45602" s="96"/>
    </row>
    <row r="45603" hidden="1">
      <c r="E45603" s="96"/>
    </row>
    <row r="45604" hidden="1">
      <c r="E45604" s="96"/>
    </row>
    <row r="45605" hidden="1">
      <c r="E45605" s="96"/>
    </row>
    <row r="45606" hidden="1">
      <c r="E45606" s="96"/>
    </row>
    <row r="45607" hidden="1">
      <c r="E45607" s="96"/>
    </row>
    <row r="45608" hidden="1">
      <c r="E45608" s="96"/>
    </row>
    <row r="45609" hidden="1">
      <c r="E45609" s="96"/>
    </row>
    <row r="45610" hidden="1">
      <c r="E45610" s="96"/>
    </row>
    <row r="45611" hidden="1">
      <c r="E45611" s="96"/>
    </row>
    <row r="45612" hidden="1">
      <c r="E45612" s="96"/>
    </row>
    <row r="45613" hidden="1">
      <c r="E45613" s="96"/>
    </row>
    <row r="45614" hidden="1">
      <c r="E45614" s="96"/>
    </row>
    <row r="45615" hidden="1">
      <c r="E45615" s="96"/>
    </row>
    <row r="45616" hidden="1">
      <c r="E45616" s="96"/>
    </row>
    <row r="45617" hidden="1">
      <c r="E45617" s="96"/>
    </row>
    <row r="45618" hidden="1">
      <c r="E45618" s="96"/>
    </row>
    <row r="45619" hidden="1">
      <c r="E45619" s="96"/>
    </row>
    <row r="45620" hidden="1">
      <c r="E45620" s="96"/>
    </row>
    <row r="45621" hidden="1">
      <c r="E45621" s="96"/>
    </row>
    <row r="45622" hidden="1">
      <c r="E45622" s="96"/>
    </row>
    <row r="45623" hidden="1">
      <c r="E45623" s="96"/>
    </row>
    <row r="45624" hidden="1">
      <c r="E45624" s="96"/>
    </row>
    <row r="45625" hidden="1">
      <c r="E45625" s="96"/>
    </row>
    <row r="45626" hidden="1">
      <c r="E45626" s="96"/>
    </row>
    <row r="45627" hidden="1">
      <c r="E45627" s="96"/>
    </row>
    <row r="45628" hidden="1">
      <c r="E45628" s="96"/>
    </row>
    <row r="45629" hidden="1">
      <c r="E45629" s="96"/>
    </row>
    <row r="45630" hidden="1">
      <c r="E45630" s="96"/>
    </row>
    <row r="45631" hidden="1">
      <c r="E45631" s="96"/>
    </row>
    <row r="45632" hidden="1">
      <c r="E45632" s="96"/>
    </row>
    <row r="45633" hidden="1">
      <c r="E45633" s="96"/>
    </row>
    <row r="45634" hidden="1">
      <c r="E45634" s="96"/>
    </row>
    <row r="45635" hidden="1">
      <c r="E45635" s="96"/>
    </row>
    <row r="45636" hidden="1">
      <c r="E45636" s="96"/>
    </row>
    <row r="45637" hidden="1">
      <c r="E45637" s="96"/>
    </row>
    <row r="45638" hidden="1">
      <c r="E45638" s="96"/>
    </row>
    <row r="45639" hidden="1">
      <c r="E45639" s="96"/>
    </row>
    <row r="45640" hidden="1">
      <c r="E45640" s="96"/>
    </row>
    <row r="45641" hidden="1">
      <c r="E45641" s="96"/>
    </row>
    <row r="45642" hidden="1">
      <c r="E45642" s="96"/>
    </row>
    <row r="45643" hidden="1">
      <c r="E45643" s="96"/>
    </row>
    <row r="45644" hidden="1">
      <c r="E45644" s="96"/>
    </row>
    <row r="45645" hidden="1">
      <c r="E45645" s="96"/>
    </row>
    <row r="45646" hidden="1">
      <c r="E45646" s="96"/>
    </row>
    <row r="45647" hidden="1">
      <c r="E45647" s="96"/>
    </row>
    <row r="45648" hidden="1">
      <c r="E45648" s="96"/>
    </row>
    <row r="45649" hidden="1">
      <c r="E45649" s="96"/>
    </row>
    <row r="45650" hidden="1">
      <c r="E45650" s="96"/>
    </row>
    <row r="45651" hidden="1">
      <c r="E45651" s="96"/>
    </row>
    <row r="45652" hidden="1">
      <c r="E45652" s="96"/>
    </row>
    <row r="45653" hidden="1">
      <c r="E45653" s="96"/>
    </row>
    <row r="45654" hidden="1">
      <c r="E45654" s="96"/>
    </row>
    <row r="45655" hidden="1">
      <c r="E45655" s="96"/>
    </row>
    <row r="45656" hidden="1">
      <c r="E45656" s="96"/>
    </row>
    <row r="45657" hidden="1">
      <c r="E45657" s="96"/>
    </row>
    <row r="45658" hidden="1">
      <c r="E45658" s="96"/>
    </row>
    <row r="45659" hidden="1">
      <c r="E45659" s="96"/>
    </row>
    <row r="45660" hidden="1">
      <c r="E45660" s="96"/>
    </row>
    <row r="45661" hidden="1">
      <c r="E45661" s="96"/>
    </row>
    <row r="45662" hidden="1">
      <c r="E45662" s="96"/>
    </row>
    <row r="45663" hidden="1">
      <c r="E45663" s="96"/>
    </row>
    <row r="45664" hidden="1">
      <c r="E45664" s="96"/>
    </row>
    <row r="45665" hidden="1">
      <c r="E45665" s="96"/>
    </row>
    <row r="45666" hidden="1">
      <c r="E45666" s="96"/>
    </row>
    <row r="45667" hidden="1">
      <c r="E45667" s="96"/>
    </row>
    <row r="45668" hidden="1">
      <c r="E45668" s="96"/>
    </row>
    <row r="45669" hidden="1">
      <c r="E45669" s="96"/>
    </row>
    <row r="45670" hidden="1">
      <c r="E45670" s="96"/>
    </row>
    <row r="45671" hidden="1">
      <c r="E45671" s="96"/>
    </row>
    <row r="45672" hidden="1">
      <c r="E45672" s="96"/>
    </row>
    <row r="45673" hidden="1">
      <c r="E45673" s="96"/>
    </row>
    <row r="45674" hidden="1">
      <c r="E45674" s="96"/>
    </row>
    <row r="45675" hidden="1">
      <c r="E45675" s="96"/>
    </row>
    <row r="45676" hidden="1">
      <c r="E45676" s="96"/>
    </row>
    <row r="45677" hidden="1">
      <c r="E45677" s="96"/>
    </row>
    <row r="45678" hidden="1">
      <c r="E45678" s="96"/>
    </row>
    <row r="45679" hidden="1">
      <c r="E45679" s="96"/>
    </row>
    <row r="45680" hidden="1">
      <c r="E45680" s="96"/>
    </row>
    <row r="45681" hidden="1">
      <c r="E45681" s="96"/>
    </row>
    <row r="45682" hidden="1">
      <c r="E45682" s="96"/>
    </row>
    <row r="45683" hidden="1">
      <c r="E45683" s="96"/>
    </row>
    <row r="45684" hidden="1">
      <c r="E45684" s="96"/>
    </row>
    <row r="45685" hidden="1">
      <c r="E45685" s="96"/>
    </row>
    <row r="45686" hidden="1">
      <c r="E45686" s="96"/>
    </row>
    <row r="45687" hidden="1">
      <c r="E45687" s="96"/>
    </row>
    <row r="45688" hidden="1">
      <c r="E45688" s="96"/>
    </row>
    <row r="45689" hidden="1">
      <c r="E45689" s="96"/>
    </row>
    <row r="45690" hidden="1">
      <c r="E45690" s="96"/>
    </row>
    <row r="45691" hidden="1">
      <c r="E45691" s="96"/>
    </row>
    <row r="45692" hidden="1">
      <c r="E45692" s="96"/>
    </row>
    <row r="45693" hidden="1">
      <c r="E45693" s="96"/>
    </row>
    <row r="45694" hidden="1">
      <c r="E45694" s="96"/>
    </row>
    <row r="45695" hidden="1">
      <c r="E45695" s="96"/>
    </row>
    <row r="45696" hidden="1">
      <c r="E45696" s="96"/>
    </row>
    <row r="45697" hidden="1">
      <c r="E45697" s="96"/>
    </row>
    <row r="45698" hidden="1">
      <c r="E45698" s="96"/>
    </row>
    <row r="45699" hidden="1">
      <c r="E45699" s="96"/>
    </row>
    <row r="45700" hidden="1">
      <c r="E45700" s="96"/>
    </row>
    <row r="45701" hidden="1">
      <c r="E45701" s="96"/>
    </row>
    <row r="45702" hidden="1">
      <c r="E45702" s="96"/>
    </row>
    <row r="45703" hidden="1">
      <c r="E45703" s="96"/>
    </row>
    <row r="45704" hidden="1">
      <c r="E45704" s="96"/>
    </row>
    <row r="45705" hidden="1">
      <c r="E45705" s="96"/>
    </row>
    <row r="45706" hidden="1">
      <c r="E45706" s="96"/>
    </row>
    <row r="45707" hidden="1">
      <c r="E45707" s="96"/>
    </row>
    <row r="45708" hidden="1">
      <c r="E45708" s="96"/>
    </row>
    <row r="45709" hidden="1">
      <c r="E45709" s="96"/>
    </row>
    <row r="45710" hidden="1">
      <c r="E45710" s="96"/>
    </row>
    <row r="45711" hidden="1">
      <c r="E45711" s="96"/>
    </row>
    <row r="45712" hidden="1">
      <c r="E45712" s="96"/>
    </row>
    <row r="45713" hidden="1">
      <c r="E45713" s="96"/>
    </row>
    <row r="45714" hidden="1">
      <c r="E45714" s="96"/>
    </row>
    <row r="45715" hidden="1">
      <c r="E45715" s="96"/>
    </row>
    <row r="45716" hidden="1">
      <c r="E45716" s="96"/>
    </row>
    <row r="45717" hidden="1">
      <c r="E45717" s="96"/>
    </row>
    <row r="45718" hidden="1">
      <c r="E45718" s="96"/>
    </row>
    <row r="45719" hidden="1">
      <c r="E45719" s="96"/>
    </row>
    <row r="45720" hidden="1">
      <c r="E45720" s="96"/>
    </row>
    <row r="45721" hidden="1">
      <c r="E45721" s="96"/>
    </row>
    <row r="45722" hidden="1">
      <c r="E45722" s="96"/>
    </row>
    <row r="45723" hidden="1">
      <c r="E45723" s="96"/>
    </row>
    <row r="45724" hidden="1">
      <c r="E45724" s="96"/>
    </row>
    <row r="45725" hidden="1">
      <c r="E45725" s="96"/>
    </row>
    <row r="45726" hidden="1">
      <c r="E45726" s="96"/>
    </row>
    <row r="45727" hidden="1">
      <c r="E45727" s="96"/>
    </row>
    <row r="45728" hidden="1">
      <c r="E45728" s="96"/>
    </row>
    <row r="45729" hidden="1">
      <c r="E45729" s="96"/>
    </row>
    <row r="45730" hidden="1">
      <c r="E45730" s="96"/>
    </row>
    <row r="45731" hidden="1">
      <c r="E45731" s="96"/>
    </row>
    <row r="45732" hidden="1">
      <c r="E45732" s="96"/>
    </row>
    <row r="45733" hidden="1">
      <c r="E45733" s="96"/>
    </row>
    <row r="45734" hidden="1">
      <c r="E45734" s="96"/>
    </row>
    <row r="45735" hidden="1">
      <c r="E45735" s="96"/>
    </row>
    <row r="45736" hidden="1">
      <c r="E45736" s="96"/>
    </row>
    <row r="45737" hidden="1">
      <c r="E45737" s="96"/>
    </row>
    <row r="45738" hidden="1">
      <c r="E45738" s="96"/>
    </row>
    <row r="45739" hidden="1">
      <c r="E45739" s="96"/>
    </row>
    <row r="45740" hidden="1">
      <c r="E45740" s="96"/>
    </row>
    <row r="45741" hidden="1">
      <c r="E45741" s="96"/>
    </row>
    <row r="45742" hidden="1">
      <c r="E45742" s="96"/>
    </row>
    <row r="45743" hidden="1">
      <c r="E45743" s="96"/>
    </row>
    <row r="45744" hidden="1">
      <c r="E45744" s="96"/>
    </row>
    <row r="45745" hidden="1">
      <c r="E45745" s="96"/>
    </row>
    <row r="45746" hidden="1">
      <c r="E45746" s="96"/>
    </row>
    <row r="45747" hidden="1">
      <c r="E45747" s="96"/>
    </row>
    <row r="45748" hidden="1">
      <c r="E45748" s="96"/>
    </row>
    <row r="45749" hidden="1">
      <c r="E45749" s="96"/>
    </row>
    <row r="45750" hidden="1">
      <c r="E45750" s="96"/>
    </row>
    <row r="45751" hidden="1">
      <c r="E45751" s="96"/>
    </row>
    <row r="45752" hidden="1">
      <c r="E45752" s="96"/>
    </row>
    <row r="45753" hidden="1">
      <c r="E45753" s="96"/>
    </row>
    <row r="45754" hidden="1">
      <c r="E45754" s="96"/>
    </row>
    <row r="45755" hidden="1">
      <c r="E45755" s="96"/>
    </row>
    <row r="45756" hidden="1">
      <c r="E45756" s="96"/>
    </row>
    <row r="45757" hidden="1">
      <c r="E45757" s="96"/>
    </row>
    <row r="45758" hidden="1">
      <c r="E45758" s="96"/>
    </row>
    <row r="45759" hidden="1">
      <c r="E45759" s="96"/>
    </row>
    <row r="45760" hidden="1">
      <c r="E45760" s="96"/>
    </row>
    <row r="45761" hidden="1">
      <c r="E45761" s="96"/>
    </row>
    <row r="45762" hidden="1">
      <c r="E45762" s="96"/>
    </row>
    <row r="45763" hidden="1">
      <c r="E45763" s="96"/>
    </row>
    <row r="45764" hidden="1">
      <c r="E45764" s="96"/>
    </row>
    <row r="45765" hidden="1">
      <c r="E45765" s="96"/>
    </row>
    <row r="45766" hidden="1">
      <c r="E45766" s="96"/>
    </row>
    <row r="45767" hidden="1">
      <c r="E45767" s="96"/>
    </row>
    <row r="45768" hidden="1">
      <c r="E45768" s="96"/>
    </row>
    <row r="45769" hidden="1">
      <c r="E45769" s="96"/>
    </row>
    <row r="45770" hidden="1">
      <c r="E45770" s="96"/>
    </row>
    <row r="45771" hidden="1">
      <c r="E45771" s="96"/>
    </row>
    <row r="45772" hidden="1">
      <c r="E45772" s="96"/>
    </row>
    <row r="45773" hidden="1">
      <c r="E45773" s="96"/>
    </row>
    <row r="45774" hidden="1">
      <c r="E45774" s="96"/>
    </row>
    <row r="45775" hidden="1">
      <c r="E45775" s="96"/>
    </row>
    <row r="45776" hidden="1">
      <c r="E45776" s="96"/>
    </row>
    <row r="45777" hidden="1">
      <c r="E45777" s="96"/>
    </row>
    <row r="45778" hidden="1">
      <c r="E45778" s="96"/>
    </row>
    <row r="45779" hidden="1">
      <c r="E45779" s="96"/>
    </row>
    <row r="45780" hidden="1">
      <c r="E45780" s="96"/>
    </row>
    <row r="45781" hidden="1">
      <c r="E45781" s="96"/>
    </row>
    <row r="45782" hidden="1">
      <c r="E45782" s="96"/>
    </row>
    <row r="45783" hidden="1">
      <c r="E45783" s="96"/>
    </row>
    <row r="45784" hidden="1">
      <c r="E45784" s="96"/>
    </row>
    <row r="45785" hidden="1">
      <c r="E45785" s="96"/>
    </row>
    <row r="45786" hidden="1">
      <c r="E45786" s="96"/>
    </row>
    <row r="45787" hidden="1">
      <c r="E45787" s="96"/>
    </row>
    <row r="45788" hidden="1">
      <c r="E45788" s="96"/>
    </row>
    <row r="45789" hidden="1">
      <c r="E45789" s="96"/>
    </row>
    <row r="45790" hidden="1">
      <c r="E45790" s="96"/>
    </row>
    <row r="45791" hidden="1">
      <c r="E45791" s="96"/>
    </row>
    <row r="45792" hidden="1">
      <c r="E45792" s="96"/>
    </row>
    <row r="45793" hidden="1">
      <c r="E45793" s="96"/>
    </row>
    <row r="45794" hidden="1">
      <c r="E45794" s="96"/>
    </row>
    <row r="45795" hidden="1">
      <c r="E45795" s="96"/>
    </row>
    <row r="45796" hidden="1">
      <c r="E45796" s="96"/>
    </row>
    <row r="45797" hidden="1">
      <c r="E45797" s="96"/>
    </row>
    <row r="45798" hidden="1">
      <c r="E45798" s="96"/>
    </row>
    <row r="45799" hidden="1">
      <c r="E45799" s="96"/>
    </row>
    <row r="45800" hidden="1">
      <c r="E45800" s="96"/>
    </row>
    <row r="45801" hidden="1">
      <c r="E45801" s="96"/>
    </row>
    <row r="45802" hidden="1">
      <c r="E45802" s="96"/>
    </row>
    <row r="45803" hidden="1">
      <c r="E45803" s="96"/>
    </row>
    <row r="45804" hidden="1">
      <c r="E45804" s="96"/>
    </row>
    <row r="45805" hidden="1">
      <c r="E45805" s="96"/>
    </row>
    <row r="45806" hidden="1">
      <c r="E45806" s="96"/>
    </row>
    <row r="45807" hidden="1">
      <c r="E45807" s="96"/>
    </row>
    <row r="45808" hidden="1">
      <c r="E45808" s="96"/>
    </row>
    <row r="45809" hidden="1">
      <c r="E45809" s="96"/>
    </row>
    <row r="45810" hidden="1">
      <c r="E45810" s="96"/>
    </row>
    <row r="45811" hidden="1">
      <c r="E45811" s="96"/>
    </row>
    <row r="45812" hidden="1">
      <c r="E45812" s="96"/>
    </row>
    <row r="45813" hidden="1">
      <c r="E45813" s="96"/>
    </row>
    <row r="45814" hidden="1">
      <c r="E45814" s="96"/>
    </row>
    <row r="45815" hidden="1">
      <c r="E45815" s="96"/>
    </row>
    <row r="45816" hidden="1">
      <c r="E45816" s="96"/>
    </row>
    <row r="45817" hidden="1">
      <c r="E45817" s="96"/>
    </row>
    <row r="45818" hidden="1">
      <c r="E45818" s="96"/>
    </row>
    <row r="45819" hidden="1">
      <c r="E45819" s="96"/>
    </row>
    <row r="45820" hidden="1">
      <c r="E45820" s="96"/>
    </row>
    <row r="45821" hidden="1">
      <c r="E45821" s="96"/>
    </row>
    <row r="45822" hidden="1">
      <c r="E45822" s="96"/>
    </row>
    <row r="45823" hidden="1">
      <c r="E45823" s="96"/>
    </row>
    <row r="45824" hidden="1">
      <c r="E45824" s="96"/>
    </row>
    <row r="45825" hidden="1">
      <c r="E45825" s="96"/>
    </row>
    <row r="45826" hidden="1">
      <c r="E45826" s="96"/>
    </row>
    <row r="45827" hidden="1">
      <c r="E45827" s="96"/>
    </row>
    <row r="45828" hidden="1">
      <c r="E45828" s="96"/>
    </row>
    <row r="45829" hidden="1">
      <c r="E45829" s="96"/>
    </row>
    <row r="45830" hidden="1">
      <c r="E45830" s="96"/>
    </row>
    <row r="45831" hidden="1">
      <c r="E45831" s="96"/>
    </row>
    <row r="45832" hidden="1">
      <c r="E45832" s="96"/>
    </row>
    <row r="45833" hidden="1">
      <c r="E45833" s="96"/>
    </row>
    <row r="45834" hidden="1">
      <c r="E45834" s="96"/>
    </row>
    <row r="45835" hidden="1">
      <c r="E45835" s="96"/>
    </row>
    <row r="45836" hidden="1">
      <c r="E45836" s="96"/>
    </row>
    <row r="45837" hidden="1">
      <c r="E45837" s="96"/>
    </row>
    <row r="45838" hidden="1">
      <c r="E45838" s="96"/>
    </row>
    <row r="45839" hidden="1">
      <c r="E45839" s="96"/>
    </row>
    <row r="45840" hidden="1">
      <c r="E45840" s="96"/>
    </row>
    <row r="45841" hidden="1">
      <c r="E45841" s="96"/>
    </row>
    <row r="45842" hidden="1">
      <c r="E45842" s="96"/>
    </row>
    <row r="45843" hidden="1">
      <c r="E45843" s="96"/>
    </row>
    <row r="45844" hidden="1">
      <c r="E45844" s="96"/>
    </row>
    <row r="45845" hidden="1">
      <c r="E45845" s="96"/>
    </row>
    <row r="45846" hidden="1">
      <c r="E45846" s="96"/>
    </row>
    <row r="45847" hidden="1">
      <c r="E45847" s="96"/>
    </row>
    <row r="45848" hidden="1">
      <c r="E45848" s="96"/>
    </row>
    <row r="45849" hidden="1">
      <c r="E45849" s="96"/>
    </row>
    <row r="45850" hidden="1">
      <c r="E45850" s="96"/>
    </row>
    <row r="45851" hidden="1">
      <c r="E45851" s="96"/>
    </row>
    <row r="45852" hidden="1">
      <c r="E45852" s="96"/>
    </row>
    <row r="45853" hidden="1">
      <c r="E45853" s="96"/>
    </row>
    <row r="45854" hidden="1">
      <c r="E45854" s="96"/>
    </row>
    <row r="45855" hidden="1">
      <c r="E45855" s="96"/>
    </row>
    <row r="45856" hidden="1">
      <c r="E45856" s="96"/>
    </row>
    <row r="45857" hidden="1">
      <c r="E45857" s="96"/>
    </row>
    <row r="45858" hidden="1">
      <c r="E45858" s="96"/>
    </row>
    <row r="45859" hidden="1">
      <c r="E45859" s="96"/>
    </row>
    <row r="45860" hidden="1">
      <c r="E45860" s="96"/>
    </row>
    <row r="45861" hidden="1">
      <c r="E45861" s="96"/>
    </row>
    <row r="45862" hidden="1">
      <c r="E45862" s="96"/>
    </row>
    <row r="45863" hidden="1">
      <c r="E45863" s="96"/>
    </row>
    <row r="45864" hidden="1">
      <c r="E45864" s="96"/>
    </row>
    <row r="45865" hidden="1">
      <c r="E45865" s="96"/>
    </row>
    <row r="45866" hidden="1">
      <c r="E45866" s="96"/>
    </row>
    <row r="45867" hidden="1">
      <c r="E45867" s="96"/>
    </row>
    <row r="45868" hidden="1">
      <c r="E45868" s="96"/>
    </row>
    <row r="45869" hidden="1">
      <c r="E45869" s="96"/>
    </row>
    <row r="45870" hidden="1">
      <c r="E45870" s="96"/>
    </row>
    <row r="45871" hidden="1">
      <c r="E45871" s="96"/>
    </row>
    <row r="45872" hidden="1">
      <c r="E45872" s="96"/>
    </row>
    <row r="45873" hidden="1">
      <c r="E45873" s="96"/>
    </row>
    <row r="45874" hidden="1">
      <c r="E45874" s="96"/>
    </row>
    <row r="45875" hidden="1">
      <c r="E45875" s="96"/>
    </row>
    <row r="45876" hidden="1">
      <c r="E45876" s="96"/>
    </row>
    <row r="45877" hidden="1">
      <c r="E45877" s="96"/>
    </row>
    <row r="45878" hidden="1">
      <c r="E45878" s="96"/>
    </row>
    <row r="45879" hidden="1">
      <c r="E45879" s="96"/>
    </row>
    <row r="45880" hidden="1">
      <c r="E45880" s="96"/>
    </row>
    <row r="45881" hidden="1">
      <c r="E45881" s="96"/>
    </row>
    <row r="45882" hidden="1">
      <c r="E45882" s="96"/>
    </row>
    <row r="45883" hidden="1">
      <c r="E45883" s="96"/>
    </row>
    <row r="45884" hidden="1">
      <c r="E45884" s="96"/>
    </row>
    <row r="45885" hidden="1">
      <c r="E45885" s="96"/>
    </row>
    <row r="45886" hidden="1">
      <c r="E45886" s="96"/>
    </row>
    <row r="45887" hidden="1">
      <c r="E45887" s="96"/>
    </row>
    <row r="45888" hidden="1">
      <c r="E45888" s="96"/>
    </row>
    <row r="45889" hidden="1">
      <c r="E45889" s="96"/>
    </row>
    <row r="45890" hidden="1">
      <c r="E45890" s="96"/>
    </row>
    <row r="45891" hidden="1">
      <c r="E45891" s="96"/>
    </row>
    <row r="45892" hidden="1">
      <c r="E45892" s="96"/>
    </row>
    <row r="45893" hidden="1">
      <c r="E45893" s="96"/>
    </row>
    <row r="45894" hidden="1">
      <c r="E45894" s="96"/>
    </row>
    <row r="45895" hidden="1">
      <c r="E45895" s="96"/>
    </row>
    <row r="45896" hidden="1">
      <c r="E45896" s="96"/>
    </row>
    <row r="45897" hidden="1">
      <c r="E45897" s="96"/>
    </row>
    <row r="45898" hidden="1">
      <c r="E45898" s="96"/>
    </row>
    <row r="45899" hidden="1">
      <c r="E45899" s="96"/>
    </row>
    <row r="45900" hidden="1">
      <c r="E45900" s="96"/>
    </row>
    <row r="45901" hidden="1">
      <c r="E45901" s="96"/>
    </row>
    <row r="45902" hidden="1">
      <c r="E45902" s="96"/>
    </row>
    <row r="45903" hidden="1">
      <c r="E45903" s="96"/>
    </row>
    <row r="45904" hidden="1">
      <c r="E45904" s="96"/>
    </row>
    <row r="45905" hidden="1">
      <c r="E45905" s="96"/>
    </row>
    <row r="45906" hidden="1">
      <c r="E45906" s="96"/>
    </row>
    <row r="45907" hidden="1">
      <c r="E45907" s="96"/>
    </row>
    <row r="45908" hidden="1">
      <c r="E45908" s="96"/>
    </row>
    <row r="45909" hidden="1">
      <c r="E45909" s="96"/>
    </row>
    <row r="45910" hidden="1">
      <c r="E45910" s="96"/>
    </row>
    <row r="45911" hidden="1">
      <c r="E45911" s="96"/>
    </row>
    <row r="45912" hidden="1">
      <c r="E45912" s="96"/>
    </row>
    <row r="45913" hidden="1">
      <c r="E45913" s="96"/>
    </row>
    <row r="45914" hidden="1">
      <c r="E45914" s="96"/>
    </row>
    <row r="45915" hidden="1">
      <c r="E45915" s="96"/>
    </row>
    <row r="45916" hidden="1">
      <c r="E45916" s="96"/>
    </row>
    <row r="45917" hidden="1">
      <c r="E45917" s="96"/>
    </row>
    <row r="45918" hidden="1">
      <c r="E45918" s="96"/>
    </row>
    <row r="45919" hidden="1">
      <c r="E45919" s="96"/>
    </row>
    <row r="45920" hidden="1">
      <c r="E45920" s="96"/>
    </row>
    <row r="45921" hidden="1">
      <c r="E45921" s="96"/>
    </row>
    <row r="45922" hidden="1">
      <c r="E45922" s="96"/>
    </row>
    <row r="45923" hidden="1">
      <c r="E45923" s="96"/>
    </row>
    <row r="45924" hidden="1">
      <c r="E45924" s="96"/>
    </row>
    <row r="45925" hidden="1">
      <c r="E45925" s="96"/>
    </row>
    <row r="45926" hidden="1">
      <c r="E45926" s="96"/>
    </row>
    <row r="45927" hidden="1">
      <c r="E45927" s="96"/>
    </row>
    <row r="45928" hidden="1">
      <c r="E45928" s="96"/>
    </row>
    <row r="45929" hidden="1">
      <c r="E45929" s="96"/>
    </row>
    <row r="45930" hidden="1">
      <c r="E45930" s="96"/>
    </row>
    <row r="45931" hidden="1">
      <c r="E45931" s="96"/>
    </row>
    <row r="45932" hidden="1">
      <c r="E45932" s="96"/>
    </row>
    <row r="45933" hidden="1">
      <c r="E45933" s="96"/>
    </row>
    <row r="45934" hidden="1">
      <c r="E45934" s="96"/>
    </row>
    <row r="45935" hidden="1">
      <c r="E45935" s="96"/>
    </row>
    <row r="45936" hidden="1">
      <c r="E45936" s="96"/>
    </row>
    <row r="45937" hidden="1">
      <c r="E45937" s="96"/>
    </row>
    <row r="45938" hidden="1">
      <c r="E45938" s="96"/>
    </row>
    <row r="45939" hidden="1">
      <c r="E45939" s="96"/>
    </row>
    <row r="45940" hidden="1">
      <c r="E45940" s="96"/>
    </row>
    <row r="45941" hidden="1">
      <c r="E45941" s="96"/>
    </row>
    <row r="45942" hidden="1">
      <c r="E45942" s="96"/>
    </row>
    <row r="45943" hidden="1">
      <c r="E45943" s="96"/>
    </row>
    <row r="45944" hidden="1">
      <c r="E45944" s="96"/>
    </row>
    <row r="45945" hidden="1">
      <c r="E45945" s="96"/>
    </row>
    <row r="45946" hidden="1">
      <c r="E45946" s="96"/>
    </row>
    <row r="45947" hidden="1">
      <c r="E45947" s="96"/>
    </row>
    <row r="45948" hidden="1">
      <c r="E45948" s="96"/>
    </row>
    <row r="45949" hidden="1">
      <c r="E45949" s="96"/>
    </row>
    <row r="45950" hidden="1">
      <c r="E45950" s="96"/>
    </row>
    <row r="45951" hidden="1">
      <c r="E45951" s="96"/>
    </row>
    <row r="45952" hidden="1">
      <c r="E45952" s="96"/>
    </row>
    <row r="45953" hidden="1">
      <c r="E45953" s="96"/>
    </row>
    <row r="45954" hidden="1">
      <c r="E45954" s="96"/>
    </row>
    <row r="45955" hidden="1">
      <c r="E45955" s="96"/>
    </row>
    <row r="45956" hidden="1">
      <c r="E45956" s="96"/>
    </row>
    <row r="45957" hidden="1">
      <c r="E45957" s="96"/>
    </row>
    <row r="45958" hidden="1">
      <c r="E45958" s="96"/>
    </row>
    <row r="45959" hidden="1">
      <c r="E45959" s="96"/>
    </row>
    <row r="45960" hidden="1">
      <c r="E45960" s="96"/>
    </row>
    <row r="45961" hidden="1">
      <c r="E45961" s="96"/>
    </row>
    <row r="45962" hidden="1">
      <c r="E45962" s="96"/>
    </row>
    <row r="45963" hidden="1">
      <c r="E45963" s="96"/>
    </row>
    <row r="45964" hidden="1">
      <c r="E45964" s="96"/>
    </row>
    <row r="45965" hidden="1">
      <c r="E45965" s="96"/>
    </row>
    <row r="45966" hidden="1">
      <c r="E45966" s="96"/>
    </row>
    <row r="45967" hidden="1">
      <c r="E45967" s="96"/>
    </row>
    <row r="45968" hidden="1">
      <c r="E45968" s="96"/>
    </row>
    <row r="45969" hidden="1">
      <c r="E45969" s="96"/>
    </row>
    <row r="45970" hidden="1">
      <c r="E45970" s="96"/>
    </row>
    <row r="45971" hidden="1">
      <c r="E45971" s="96"/>
    </row>
    <row r="45972" hidden="1">
      <c r="E45972" s="96"/>
    </row>
    <row r="45973" hidden="1">
      <c r="E45973" s="96"/>
    </row>
    <row r="45974" hidden="1">
      <c r="E45974" s="96"/>
    </row>
    <row r="45975" hidden="1">
      <c r="E45975" s="96"/>
    </row>
    <row r="45976" hidden="1">
      <c r="E45976" s="96"/>
    </row>
    <row r="45977" hidden="1">
      <c r="E45977" s="96"/>
    </row>
    <row r="45978" hidden="1">
      <c r="E45978" s="96"/>
    </row>
    <row r="45979" hidden="1">
      <c r="E45979" s="96"/>
    </row>
    <row r="45980" hidden="1">
      <c r="E45980" s="96"/>
    </row>
    <row r="45981" hidden="1">
      <c r="E45981" s="96"/>
    </row>
    <row r="45982" hidden="1">
      <c r="E45982" s="96"/>
    </row>
    <row r="45983" hidden="1">
      <c r="E45983" s="96"/>
    </row>
    <row r="45984" hidden="1">
      <c r="E45984" s="96"/>
    </row>
    <row r="45985" hidden="1">
      <c r="E45985" s="96"/>
    </row>
    <row r="45986" hidden="1">
      <c r="E45986" s="96"/>
    </row>
    <row r="45987" hidden="1">
      <c r="E45987" s="96"/>
    </row>
    <row r="45988" hidden="1">
      <c r="E45988" s="96"/>
    </row>
    <row r="45989" hidden="1">
      <c r="E45989" s="96"/>
    </row>
    <row r="45990" hidden="1">
      <c r="E45990" s="96"/>
    </row>
    <row r="45991" hidden="1">
      <c r="E45991" s="96"/>
    </row>
    <row r="45992" hidden="1">
      <c r="E45992" s="96"/>
    </row>
    <row r="45993" hidden="1">
      <c r="E45993" s="96"/>
    </row>
    <row r="45994" hidden="1">
      <c r="E45994" s="96"/>
    </row>
    <row r="45995" hidden="1">
      <c r="E45995" s="96"/>
    </row>
    <row r="45996" hidden="1">
      <c r="E45996" s="96"/>
    </row>
    <row r="45997" hidden="1">
      <c r="E45997" s="96"/>
    </row>
    <row r="45998" hidden="1">
      <c r="E45998" s="96"/>
    </row>
    <row r="45999" hidden="1">
      <c r="E45999" s="96"/>
    </row>
    <row r="46000" hidden="1">
      <c r="E46000" s="96"/>
    </row>
    <row r="46001" hidden="1">
      <c r="E46001" s="96"/>
    </row>
    <row r="46002" hidden="1">
      <c r="E46002" s="96"/>
    </row>
    <row r="46003" hidden="1">
      <c r="E46003" s="96"/>
    </row>
    <row r="46004" hidden="1">
      <c r="E46004" s="96"/>
    </row>
    <row r="46005" hidden="1">
      <c r="E46005" s="96"/>
    </row>
    <row r="46006" hidden="1">
      <c r="E46006" s="96"/>
    </row>
    <row r="46007" hidden="1">
      <c r="E46007" s="96"/>
    </row>
    <row r="46008" hidden="1">
      <c r="E46008" s="96"/>
    </row>
    <row r="46009" hidden="1">
      <c r="E46009" s="96"/>
    </row>
    <row r="46010" hidden="1">
      <c r="E46010" s="96"/>
    </row>
    <row r="46011" hidden="1">
      <c r="E46011" s="96"/>
    </row>
    <row r="46012" hidden="1">
      <c r="E46012" s="96"/>
    </row>
    <row r="46013" hidden="1">
      <c r="E46013" s="96"/>
    </row>
    <row r="46014" hidden="1">
      <c r="E46014" s="96"/>
    </row>
    <row r="46015" hidden="1">
      <c r="E46015" s="96"/>
    </row>
    <row r="46016" hidden="1">
      <c r="E46016" s="96"/>
    </row>
    <row r="46017" hidden="1">
      <c r="E46017" s="96"/>
    </row>
    <row r="46018" hidden="1">
      <c r="E46018" s="96"/>
    </row>
    <row r="46019" hidden="1">
      <c r="E46019" s="96"/>
    </row>
    <row r="46020" hidden="1">
      <c r="E46020" s="96"/>
    </row>
    <row r="46021" hidden="1">
      <c r="E46021" s="96"/>
    </row>
    <row r="46022" hidden="1">
      <c r="E46022" s="96"/>
    </row>
    <row r="46023" hidden="1">
      <c r="E46023" s="96"/>
    </row>
    <row r="46024" hidden="1">
      <c r="E46024" s="96"/>
    </row>
    <row r="46025" hidden="1">
      <c r="E46025" s="96"/>
    </row>
    <row r="46026" hidden="1">
      <c r="E46026" s="96"/>
    </row>
    <row r="46027" hidden="1">
      <c r="E46027" s="96"/>
    </row>
    <row r="46028" hidden="1">
      <c r="E46028" s="96"/>
    </row>
    <row r="46029" hidden="1">
      <c r="E46029" s="96"/>
    </row>
    <row r="46030" hidden="1">
      <c r="E46030" s="96"/>
    </row>
    <row r="46031" hidden="1">
      <c r="E46031" s="96"/>
    </row>
    <row r="46032" hidden="1">
      <c r="E46032" s="96"/>
    </row>
    <row r="46033" hidden="1">
      <c r="E46033" s="96"/>
    </row>
    <row r="46034" hidden="1">
      <c r="E46034" s="96"/>
    </row>
    <row r="46035" hidden="1">
      <c r="E46035" s="96"/>
    </row>
    <row r="46036" hidden="1">
      <c r="E46036" s="96"/>
    </row>
    <row r="46037" hidden="1">
      <c r="E46037" s="96"/>
    </row>
    <row r="46038" hidden="1">
      <c r="E46038" s="96"/>
    </row>
    <row r="46039" hidden="1">
      <c r="E46039" s="96"/>
    </row>
    <row r="46040" hidden="1">
      <c r="E46040" s="96"/>
    </row>
    <row r="46041" hidden="1">
      <c r="E46041" s="96"/>
    </row>
    <row r="46042" hidden="1">
      <c r="E46042" s="96"/>
    </row>
    <row r="46043" hidden="1">
      <c r="E46043" s="96"/>
    </row>
    <row r="46044" hidden="1">
      <c r="E46044" s="96"/>
    </row>
    <row r="46045" hidden="1">
      <c r="E46045" s="96"/>
    </row>
    <row r="46046" hidden="1">
      <c r="E46046" s="96"/>
    </row>
    <row r="46047" hidden="1">
      <c r="E46047" s="96"/>
    </row>
    <row r="46048" hidden="1">
      <c r="E46048" s="96"/>
    </row>
    <row r="46049" hidden="1">
      <c r="E46049" s="96"/>
    </row>
    <row r="46050" hidden="1">
      <c r="E46050" s="96"/>
    </row>
    <row r="46051" hidden="1">
      <c r="E46051" s="96"/>
    </row>
    <row r="46052" hidden="1">
      <c r="E46052" s="96"/>
    </row>
    <row r="46053" hidden="1">
      <c r="E46053" s="96"/>
    </row>
    <row r="46054" hidden="1">
      <c r="E46054" s="96"/>
    </row>
    <row r="46055" hidden="1">
      <c r="E46055" s="96"/>
    </row>
    <row r="46056" hidden="1">
      <c r="E46056" s="96"/>
    </row>
    <row r="46057" hidden="1">
      <c r="E46057" s="96"/>
    </row>
    <row r="46058" hidden="1">
      <c r="E46058" s="96"/>
    </row>
    <row r="46059" hidden="1">
      <c r="E46059" s="96"/>
    </row>
    <row r="46060" hidden="1">
      <c r="E46060" s="96"/>
    </row>
    <row r="46061" hidden="1">
      <c r="E46061" s="96"/>
    </row>
    <row r="46062" hidden="1">
      <c r="E46062" s="96"/>
    </row>
    <row r="46063" hidden="1">
      <c r="E46063" s="96"/>
    </row>
    <row r="46064" hidden="1">
      <c r="E46064" s="96"/>
    </row>
    <row r="46065" hidden="1">
      <c r="E46065" s="96"/>
    </row>
    <row r="46066" hidden="1">
      <c r="E46066" s="96"/>
    </row>
    <row r="46067" hidden="1">
      <c r="E46067" s="96"/>
    </row>
    <row r="46068" hidden="1">
      <c r="E46068" s="96"/>
    </row>
    <row r="46069" hidden="1">
      <c r="E46069" s="96"/>
    </row>
    <row r="46070" hidden="1">
      <c r="E46070" s="96"/>
    </row>
    <row r="46071" hidden="1">
      <c r="E46071" s="96"/>
    </row>
    <row r="46072" hidden="1">
      <c r="E46072" s="96"/>
    </row>
    <row r="46073" hidden="1">
      <c r="E46073" s="96"/>
    </row>
    <row r="46074" hidden="1">
      <c r="E46074" s="96"/>
    </row>
    <row r="46075" hidden="1">
      <c r="E46075" s="96"/>
    </row>
    <row r="46076" hidden="1">
      <c r="E46076" s="96"/>
    </row>
    <row r="46077" hidden="1">
      <c r="E46077" s="96"/>
    </row>
    <row r="46078" hidden="1">
      <c r="E46078" s="96"/>
    </row>
    <row r="46079" hidden="1">
      <c r="E46079" s="96"/>
    </row>
    <row r="46080" hidden="1">
      <c r="E46080" s="96"/>
    </row>
    <row r="46081" hidden="1">
      <c r="E46081" s="96"/>
    </row>
    <row r="46082" hidden="1">
      <c r="E46082" s="96"/>
    </row>
    <row r="46083" hidden="1">
      <c r="E46083" s="96"/>
    </row>
    <row r="46084" hidden="1">
      <c r="E46084" s="96"/>
    </row>
    <row r="46085" hidden="1">
      <c r="E46085" s="96"/>
    </row>
    <row r="46086" hidden="1">
      <c r="E46086" s="96"/>
    </row>
    <row r="46087" hidden="1">
      <c r="E46087" s="96"/>
    </row>
    <row r="46088" hidden="1">
      <c r="E46088" s="96"/>
    </row>
    <row r="46089" hidden="1">
      <c r="E46089" s="96"/>
    </row>
    <row r="46090" hidden="1">
      <c r="E46090" s="96"/>
    </row>
    <row r="46091" hidden="1">
      <c r="E46091" s="96"/>
    </row>
    <row r="46092" hidden="1">
      <c r="E46092" s="96"/>
    </row>
    <row r="46093" hidden="1">
      <c r="E46093" s="96"/>
    </row>
    <row r="46094" hidden="1">
      <c r="E46094" s="96"/>
    </row>
    <row r="46095" hidden="1">
      <c r="E46095" s="96"/>
    </row>
    <row r="46096" hidden="1">
      <c r="E46096" s="96"/>
    </row>
    <row r="46097" hidden="1">
      <c r="E46097" s="96"/>
    </row>
    <row r="46098" hidden="1">
      <c r="E46098" s="96"/>
    </row>
    <row r="46099" hidden="1">
      <c r="E46099" s="96"/>
    </row>
    <row r="46100" hidden="1">
      <c r="E46100" s="96"/>
    </row>
    <row r="46101" hidden="1">
      <c r="E46101" s="96"/>
    </row>
    <row r="46102" hidden="1">
      <c r="E46102" s="96"/>
    </row>
    <row r="46103" hidden="1">
      <c r="E46103" s="96"/>
    </row>
    <row r="46104" hidden="1">
      <c r="E46104" s="96"/>
    </row>
    <row r="46105" hidden="1">
      <c r="E46105" s="96"/>
    </row>
    <row r="46106" hidden="1">
      <c r="E46106" s="96"/>
    </row>
    <row r="46107" hidden="1">
      <c r="E46107" s="96"/>
    </row>
    <row r="46108" hidden="1">
      <c r="E46108" s="96"/>
    </row>
    <row r="46109" hidden="1">
      <c r="E46109" s="96"/>
    </row>
    <row r="46110" hidden="1">
      <c r="E46110" s="96"/>
    </row>
    <row r="46111" hidden="1">
      <c r="E46111" s="96"/>
    </row>
    <row r="46112" hidden="1">
      <c r="E46112" s="96"/>
    </row>
    <row r="46113" hidden="1">
      <c r="E46113" s="96"/>
    </row>
    <row r="46114" hidden="1">
      <c r="E46114" s="96"/>
    </row>
    <row r="46115" hidden="1">
      <c r="E46115" s="96"/>
    </row>
    <row r="46116" hidden="1">
      <c r="E46116" s="96"/>
    </row>
    <row r="46117" hidden="1">
      <c r="E46117" s="96"/>
    </row>
    <row r="46118" hidden="1">
      <c r="E46118" s="96"/>
    </row>
    <row r="46119" hidden="1">
      <c r="E46119" s="96"/>
    </row>
    <row r="46120" hidden="1">
      <c r="E46120" s="96"/>
    </row>
    <row r="46121" hidden="1">
      <c r="E46121" s="96"/>
    </row>
    <row r="46122" hidden="1">
      <c r="E46122" s="96"/>
    </row>
    <row r="46123" hidden="1">
      <c r="E46123" s="96"/>
    </row>
    <row r="46124" hidden="1">
      <c r="E46124" s="96"/>
    </row>
    <row r="46125" hidden="1">
      <c r="E46125" s="96"/>
    </row>
    <row r="46126" hidden="1">
      <c r="E46126" s="96"/>
    </row>
    <row r="46127" hidden="1">
      <c r="E46127" s="96"/>
    </row>
    <row r="46128" hidden="1">
      <c r="E46128" s="96"/>
    </row>
    <row r="46129" hidden="1">
      <c r="E46129" s="96"/>
    </row>
    <row r="46130" hidden="1">
      <c r="E46130" s="96"/>
    </row>
    <row r="46131" hidden="1">
      <c r="E46131" s="96"/>
    </row>
    <row r="46132" hidden="1">
      <c r="E46132" s="96"/>
    </row>
    <row r="46133" hidden="1">
      <c r="E46133" s="96"/>
    </row>
    <row r="46134" hidden="1">
      <c r="E46134" s="96"/>
    </row>
    <row r="46135" hidden="1">
      <c r="E46135" s="96"/>
    </row>
    <row r="46136" hidden="1">
      <c r="E46136" s="96"/>
    </row>
    <row r="46137" hidden="1">
      <c r="E46137" s="96"/>
    </row>
    <row r="46138" hidden="1">
      <c r="E46138" s="96"/>
    </row>
    <row r="46139" hidden="1">
      <c r="E46139" s="96"/>
    </row>
    <row r="46140" hidden="1">
      <c r="E46140" s="96"/>
    </row>
    <row r="46141" hidden="1">
      <c r="E46141" s="96"/>
    </row>
    <row r="46142" hidden="1">
      <c r="E46142" s="96"/>
    </row>
    <row r="46143" hidden="1">
      <c r="E46143" s="96"/>
    </row>
    <row r="46144" hidden="1">
      <c r="E46144" s="96"/>
    </row>
    <row r="46145" hidden="1">
      <c r="E46145" s="96"/>
    </row>
    <row r="46146" hidden="1">
      <c r="E46146" s="96"/>
    </row>
    <row r="46147" hidden="1">
      <c r="E46147" s="96"/>
    </row>
    <row r="46148" hidden="1">
      <c r="E46148" s="96"/>
    </row>
    <row r="46149" hidden="1">
      <c r="E46149" s="96"/>
    </row>
    <row r="46150" hidden="1">
      <c r="E46150" s="96"/>
    </row>
    <row r="46151" hidden="1">
      <c r="E46151" s="96"/>
    </row>
    <row r="46152" hidden="1">
      <c r="E46152" s="96"/>
    </row>
    <row r="46153" hidden="1">
      <c r="E46153" s="96"/>
    </row>
    <row r="46154" hidden="1">
      <c r="E46154" s="96"/>
    </row>
    <row r="46155" hidden="1">
      <c r="E46155" s="96"/>
    </row>
    <row r="46156" hidden="1">
      <c r="E46156" s="96"/>
    </row>
    <row r="46157" hidden="1">
      <c r="E46157" s="96"/>
    </row>
    <row r="46158" hidden="1">
      <c r="E46158" s="96"/>
    </row>
    <row r="46159" hidden="1">
      <c r="E46159" s="96"/>
    </row>
    <row r="46160" hidden="1">
      <c r="E46160" s="96"/>
    </row>
    <row r="46161" hidden="1">
      <c r="E46161" s="96"/>
    </row>
    <row r="46162" hidden="1">
      <c r="E46162" s="96"/>
    </row>
    <row r="46163" hidden="1">
      <c r="E46163" s="96"/>
    </row>
    <row r="46164" hidden="1">
      <c r="E46164" s="96"/>
    </row>
    <row r="46165" hidden="1">
      <c r="E46165" s="96"/>
    </row>
    <row r="46166" hidden="1">
      <c r="E46166" s="96"/>
    </row>
    <row r="46167" hidden="1">
      <c r="E46167" s="96"/>
    </row>
    <row r="46168" hidden="1">
      <c r="E46168" s="96"/>
    </row>
    <row r="46169" hidden="1">
      <c r="E46169" s="96"/>
    </row>
    <row r="46170" hidden="1">
      <c r="E46170" s="96"/>
    </row>
    <row r="46171" hidden="1">
      <c r="E46171" s="96"/>
    </row>
    <row r="46172" hidden="1">
      <c r="E46172" s="96"/>
    </row>
    <row r="46173" hidden="1">
      <c r="E46173" s="96"/>
    </row>
    <row r="46174" hidden="1">
      <c r="E46174" s="96"/>
    </row>
    <row r="46175" hidden="1">
      <c r="E46175" s="96"/>
    </row>
    <row r="46176" hidden="1">
      <c r="E46176" s="96"/>
    </row>
    <row r="46177" hidden="1">
      <c r="E46177" s="96"/>
    </row>
    <row r="46178" hidden="1">
      <c r="E46178" s="96"/>
    </row>
    <row r="46179" hidden="1">
      <c r="E46179" s="96"/>
    </row>
    <row r="46180" hidden="1">
      <c r="E46180" s="96"/>
    </row>
    <row r="46181" hidden="1">
      <c r="E46181" s="96"/>
    </row>
    <row r="46182" hidden="1">
      <c r="E46182" s="96"/>
    </row>
    <row r="46183" hidden="1">
      <c r="E46183" s="96"/>
    </row>
    <row r="46184" hidden="1">
      <c r="E46184" s="96"/>
    </row>
    <row r="46185" hidden="1">
      <c r="E46185" s="96"/>
    </row>
    <row r="46186" hidden="1">
      <c r="E46186" s="96"/>
    </row>
    <row r="46187" hidden="1">
      <c r="E46187" s="96"/>
    </row>
    <row r="46188" hidden="1">
      <c r="E46188" s="96"/>
    </row>
    <row r="46189" hidden="1">
      <c r="E46189" s="96"/>
    </row>
    <row r="46190" hidden="1">
      <c r="E46190" s="96"/>
    </row>
    <row r="46191" hidden="1">
      <c r="E46191" s="96"/>
    </row>
    <row r="46192" hidden="1">
      <c r="E46192" s="96"/>
    </row>
    <row r="46193" hidden="1">
      <c r="E46193" s="96"/>
    </row>
    <row r="46194" hidden="1">
      <c r="E46194" s="96"/>
    </row>
    <row r="46195" hidden="1">
      <c r="E46195" s="96"/>
    </row>
    <row r="46196" hidden="1">
      <c r="E46196" s="96"/>
    </row>
    <row r="46197" hidden="1">
      <c r="E46197" s="96"/>
    </row>
    <row r="46198" hidden="1">
      <c r="E46198" s="96"/>
    </row>
    <row r="46199" hidden="1">
      <c r="E46199" s="96"/>
    </row>
    <row r="46200" hidden="1">
      <c r="E46200" s="96"/>
    </row>
    <row r="46201" hidden="1">
      <c r="E46201" s="96"/>
    </row>
    <row r="46202" hidden="1">
      <c r="E46202" s="96"/>
    </row>
    <row r="46203" hidden="1">
      <c r="E46203" s="96"/>
    </row>
    <row r="46204" hidden="1">
      <c r="E46204" s="96"/>
    </row>
    <row r="46205" hidden="1">
      <c r="E46205" s="96"/>
    </row>
    <row r="46206" hidden="1">
      <c r="E46206" s="96"/>
    </row>
    <row r="46207" hidden="1">
      <c r="E46207" s="96"/>
    </row>
    <row r="46208" hidden="1">
      <c r="E46208" s="96"/>
    </row>
    <row r="46209" hidden="1">
      <c r="E46209" s="96"/>
    </row>
    <row r="46210" hidden="1">
      <c r="E46210" s="96"/>
    </row>
    <row r="46211" hidden="1">
      <c r="E46211" s="96"/>
    </row>
    <row r="46212" hidden="1">
      <c r="E46212" s="96"/>
    </row>
    <row r="46213" hidden="1">
      <c r="E46213" s="96"/>
    </row>
    <row r="46214" hidden="1">
      <c r="E46214" s="96"/>
    </row>
    <row r="46215" hidden="1">
      <c r="E46215" s="96"/>
    </row>
    <row r="46216" hidden="1">
      <c r="E46216" s="96"/>
    </row>
    <row r="46217" hidden="1">
      <c r="E46217" s="96"/>
    </row>
    <row r="46218" hidden="1">
      <c r="E46218" s="96"/>
    </row>
    <row r="46219" hidden="1">
      <c r="E46219" s="96"/>
    </row>
    <row r="46220" hidden="1">
      <c r="E46220" s="96"/>
    </row>
    <row r="46221" hidden="1">
      <c r="E46221" s="96"/>
    </row>
    <row r="46222" hidden="1">
      <c r="E46222" s="96"/>
    </row>
    <row r="46223" hidden="1">
      <c r="E46223" s="96"/>
    </row>
    <row r="46224" hidden="1">
      <c r="E46224" s="96"/>
    </row>
    <row r="46225" hidden="1">
      <c r="E46225" s="96"/>
    </row>
    <row r="46226" hidden="1">
      <c r="E46226" s="96"/>
    </row>
    <row r="46227" hidden="1">
      <c r="E46227" s="96"/>
    </row>
    <row r="46228" hidden="1">
      <c r="E46228" s="96"/>
    </row>
    <row r="46229" hidden="1">
      <c r="E46229" s="96"/>
    </row>
    <row r="46230" hidden="1">
      <c r="E46230" s="96"/>
    </row>
    <row r="46231" hidden="1">
      <c r="E46231" s="96"/>
    </row>
    <row r="46232" hidden="1">
      <c r="E46232" s="96"/>
    </row>
    <row r="46233" hidden="1">
      <c r="E46233" s="96"/>
    </row>
    <row r="46234" hidden="1">
      <c r="E46234" s="96"/>
    </row>
    <row r="46235" hidden="1">
      <c r="E46235" s="96"/>
    </row>
    <row r="46236" hidden="1">
      <c r="E46236" s="96"/>
    </row>
    <row r="46237" hidden="1">
      <c r="E46237" s="96"/>
    </row>
    <row r="46238" hidden="1">
      <c r="E46238" s="96"/>
    </row>
    <row r="46239" hidden="1">
      <c r="E46239" s="96"/>
    </row>
    <row r="46240" hidden="1">
      <c r="E46240" s="96"/>
    </row>
    <row r="46241" hidden="1">
      <c r="E46241" s="96"/>
    </row>
    <row r="46242" hidden="1">
      <c r="E46242" s="96"/>
    </row>
    <row r="46243" hidden="1">
      <c r="E46243" s="96"/>
    </row>
    <row r="46244" hidden="1">
      <c r="E46244" s="96"/>
    </row>
    <row r="46245" hidden="1">
      <c r="E46245" s="96"/>
    </row>
    <row r="46246" hidden="1">
      <c r="E46246" s="96"/>
    </row>
    <row r="46247" hidden="1">
      <c r="E46247" s="96"/>
    </row>
    <row r="46248" hidden="1">
      <c r="E46248" s="96"/>
    </row>
    <row r="46249" hidden="1">
      <c r="E46249" s="96"/>
    </row>
    <row r="46250" hidden="1">
      <c r="E46250" s="96"/>
    </row>
    <row r="46251" hidden="1">
      <c r="E46251" s="96"/>
    </row>
    <row r="46252" hidden="1">
      <c r="E46252" s="96"/>
    </row>
    <row r="46253" hidden="1">
      <c r="E46253" s="96"/>
    </row>
    <row r="46254" hidden="1">
      <c r="E46254" s="96"/>
    </row>
    <row r="46255" hidden="1">
      <c r="E46255" s="96"/>
    </row>
    <row r="46256" hidden="1">
      <c r="E46256" s="96"/>
    </row>
    <row r="46257" hidden="1">
      <c r="E46257" s="96"/>
    </row>
    <row r="46258" hidden="1">
      <c r="E46258" s="96"/>
    </row>
    <row r="46259" hidden="1">
      <c r="E46259" s="96"/>
    </row>
    <row r="46260" hidden="1">
      <c r="E46260" s="96"/>
    </row>
    <row r="46261" hidden="1">
      <c r="E46261" s="96"/>
    </row>
    <row r="46262" hidden="1">
      <c r="E46262" s="96"/>
    </row>
    <row r="46263" hidden="1">
      <c r="E46263" s="96"/>
    </row>
    <row r="46264" hidden="1">
      <c r="E46264" s="96"/>
    </row>
    <row r="46265" hidden="1">
      <c r="E46265" s="96"/>
    </row>
    <row r="46266" hidden="1">
      <c r="E46266" s="96"/>
    </row>
    <row r="46267" hidden="1">
      <c r="E46267" s="96"/>
    </row>
    <row r="46268" hidden="1">
      <c r="E46268" s="96"/>
    </row>
    <row r="46269" hidden="1">
      <c r="E46269" s="96"/>
    </row>
    <row r="46270" hidden="1">
      <c r="E46270" s="96"/>
    </row>
    <row r="46271" hidden="1">
      <c r="E46271" s="96"/>
    </row>
    <row r="46272" hidden="1">
      <c r="E46272" s="96"/>
    </row>
    <row r="46273" hidden="1">
      <c r="E46273" s="96"/>
    </row>
    <row r="46274" hidden="1">
      <c r="E46274" s="96"/>
    </row>
    <row r="46275" hidden="1">
      <c r="E46275" s="96"/>
    </row>
    <row r="46276" hidden="1">
      <c r="E46276" s="96"/>
    </row>
    <row r="46277" hidden="1">
      <c r="E46277" s="96"/>
    </row>
    <row r="46278" hidden="1">
      <c r="E46278" s="96"/>
    </row>
    <row r="46279" hidden="1">
      <c r="E46279" s="96"/>
    </row>
    <row r="46280" hidden="1">
      <c r="E46280" s="96"/>
    </row>
    <row r="46281" hidden="1">
      <c r="E46281" s="96"/>
    </row>
    <row r="46282" hidden="1">
      <c r="E46282" s="96"/>
    </row>
    <row r="46283" hidden="1">
      <c r="E46283" s="96"/>
    </row>
    <row r="46284" hidden="1">
      <c r="E46284" s="96"/>
    </row>
    <row r="46285" hidden="1">
      <c r="E46285" s="96"/>
    </row>
    <row r="46286" hidden="1">
      <c r="E46286" s="96"/>
    </row>
    <row r="46287" hidden="1">
      <c r="E46287" s="96"/>
    </row>
    <row r="46288" hidden="1">
      <c r="E46288" s="96"/>
    </row>
    <row r="46289" hidden="1">
      <c r="E46289" s="96"/>
    </row>
    <row r="46290" hidden="1">
      <c r="E46290" s="96"/>
    </row>
    <row r="46291" hidden="1">
      <c r="E46291" s="96"/>
    </row>
    <row r="46292" hidden="1">
      <c r="E46292" s="96"/>
    </row>
    <row r="46293" hidden="1">
      <c r="E46293" s="96"/>
    </row>
    <row r="46294" hidden="1">
      <c r="E46294" s="96"/>
    </row>
    <row r="46295" hidden="1">
      <c r="E46295" s="96"/>
    </row>
    <row r="46296" hidden="1">
      <c r="E46296" s="96"/>
    </row>
    <row r="46297" hidden="1">
      <c r="E46297" s="96"/>
    </row>
    <row r="46298" hidden="1">
      <c r="E46298" s="96"/>
    </row>
    <row r="46299" hidden="1">
      <c r="E46299" s="96"/>
    </row>
    <row r="46300" hidden="1">
      <c r="E46300" s="96"/>
    </row>
    <row r="46301" hidden="1">
      <c r="E46301" s="96"/>
    </row>
    <row r="46302" hidden="1">
      <c r="E46302" s="96"/>
    </row>
    <row r="46303" hidden="1">
      <c r="E46303" s="96"/>
    </row>
    <row r="46304" hidden="1">
      <c r="E46304" s="96"/>
    </row>
    <row r="46305" hidden="1">
      <c r="E46305" s="96"/>
    </row>
    <row r="46306" hidden="1">
      <c r="E46306" s="96"/>
    </row>
    <row r="46307" hidden="1">
      <c r="E46307" s="96"/>
    </row>
    <row r="46308" hidden="1">
      <c r="E46308" s="96"/>
    </row>
    <row r="46309" hidden="1">
      <c r="E46309" s="96"/>
    </row>
    <row r="46310" hidden="1">
      <c r="E46310" s="96"/>
    </row>
    <row r="46311" hidden="1">
      <c r="E46311" s="96"/>
    </row>
    <row r="46312" hidden="1">
      <c r="E46312" s="96"/>
    </row>
    <row r="46313" hidden="1">
      <c r="E46313" s="96"/>
    </row>
    <row r="46314" hidden="1">
      <c r="E46314" s="96"/>
    </row>
    <row r="46315" hidden="1">
      <c r="E46315" s="96"/>
    </row>
    <row r="46316" hidden="1">
      <c r="E46316" s="96"/>
    </row>
    <row r="46317" hidden="1">
      <c r="E46317" s="96"/>
    </row>
    <row r="46318" hidden="1">
      <c r="E46318" s="96"/>
    </row>
    <row r="46319" hidden="1">
      <c r="E46319" s="96"/>
    </row>
    <row r="46320" hidden="1">
      <c r="E46320" s="96"/>
    </row>
    <row r="46321" hidden="1">
      <c r="E46321" s="96"/>
    </row>
    <row r="46322" hidden="1">
      <c r="E46322" s="96"/>
    </row>
    <row r="46323" hidden="1">
      <c r="E46323" s="96"/>
    </row>
    <row r="46324" hidden="1">
      <c r="E46324" s="96"/>
    </row>
    <row r="46325" hidden="1">
      <c r="E46325" s="96"/>
    </row>
    <row r="46326" hidden="1">
      <c r="E46326" s="96"/>
    </row>
    <row r="46327" hidden="1">
      <c r="E46327" s="96"/>
    </row>
    <row r="46328" hidden="1">
      <c r="E46328" s="96"/>
    </row>
    <row r="46329" hidden="1">
      <c r="E46329" s="96"/>
    </row>
    <row r="46330" hidden="1">
      <c r="E46330" s="96"/>
    </row>
    <row r="46331" hidden="1">
      <c r="E46331" s="96"/>
    </row>
    <row r="46332" hidden="1">
      <c r="E46332" s="96"/>
    </row>
    <row r="46333" hidden="1">
      <c r="E46333" s="96"/>
    </row>
    <row r="46334" hidden="1">
      <c r="E46334" s="96"/>
    </row>
    <row r="46335" hidden="1">
      <c r="E46335" s="96"/>
    </row>
    <row r="46336" hidden="1">
      <c r="E46336" s="96"/>
    </row>
    <row r="46337" hidden="1">
      <c r="E46337" s="96"/>
    </row>
    <row r="46338" hidden="1">
      <c r="E46338" s="96"/>
    </row>
    <row r="46339" hidden="1">
      <c r="E46339" s="96"/>
    </row>
    <row r="46340" hidden="1">
      <c r="E46340" s="96"/>
    </row>
    <row r="46341" hidden="1">
      <c r="E46341" s="96"/>
    </row>
    <row r="46342" hidden="1">
      <c r="E46342" s="96"/>
    </row>
    <row r="46343" hidden="1">
      <c r="E46343" s="96"/>
    </row>
    <row r="46344" hidden="1">
      <c r="E46344" s="96"/>
    </row>
    <row r="46345" hidden="1">
      <c r="E46345" s="96"/>
    </row>
    <row r="46346" hidden="1">
      <c r="E46346" s="96"/>
    </row>
    <row r="46347" hidden="1">
      <c r="E46347" s="96"/>
    </row>
    <row r="46348" hidden="1">
      <c r="E46348" s="96"/>
    </row>
    <row r="46349" hidden="1">
      <c r="E46349" s="96"/>
    </row>
    <row r="46350" hidden="1">
      <c r="E46350" s="96"/>
    </row>
    <row r="46351" hidden="1">
      <c r="E46351" s="96"/>
    </row>
    <row r="46352" hidden="1">
      <c r="E46352" s="96"/>
    </row>
    <row r="46353" hidden="1">
      <c r="E46353" s="96"/>
    </row>
    <row r="46354" hidden="1">
      <c r="E46354" s="96"/>
    </row>
    <row r="46355" hidden="1">
      <c r="E46355" s="96"/>
    </row>
    <row r="46356" hidden="1">
      <c r="E46356" s="96"/>
    </row>
    <row r="46357" hidden="1">
      <c r="E46357" s="96"/>
    </row>
    <row r="46358" hidden="1">
      <c r="E46358" s="96"/>
    </row>
    <row r="46359" hidden="1">
      <c r="E46359" s="96"/>
    </row>
    <row r="46360" hidden="1">
      <c r="E46360" s="96"/>
    </row>
    <row r="46361" hidden="1">
      <c r="E46361" s="96"/>
    </row>
    <row r="46362" hidden="1">
      <c r="E46362" s="96"/>
    </row>
    <row r="46363" hidden="1">
      <c r="E46363" s="96"/>
    </row>
    <row r="46364" hidden="1">
      <c r="E46364" s="96"/>
    </row>
    <row r="46365" hidden="1">
      <c r="E46365" s="96"/>
    </row>
    <row r="46366" hidden="1">
      <c r="E46366" s="96"/>
    </row>
    <row r="46367" hidden="1">
      <c r="E46367" s="96"/>
    </row>
    <row r="46368" hidden="1">
      <c r="E46368" s="96"/>
    </row>
    <row r="46369" hidden="1">
      <c r="E46369" s="96"/>
    </row>
    <row r="46370" hidden="1">
      <c r="E46370" s="96"/>
    </row>
    <row r="46371" hidden="1">
      <c r="E46371" s="96"/>
    </row>
    <row r="46372" hidden="1">
      <c r="E46372" s="96"/>
    </row>
    <row r="46373" hidden="1">
      <c r="E46373" s="96"/>
    </row>
    <row r="46374" hidden="1">
      <c r="E46374" s="96"/>
    </row>
    <row r="46375" hidden="1">
      <c r="E46375" s="96"/>
    </row>
    <row r="46376" hidden="1">
      <c r="E46376" s="96"/>
    </row>
    <row r="46377" hidden="1">
      <c r="E46377" s="96"/>
    </row>
    <row r="46378" hidden="1">
      <c r="E46378" s="96"/>
    </row>
    <row r="46379" hidden="1">
      <c r="E46379" s="96"/>
    </row>
    <row r="46380" hidden="1">
      <c r="E46380" s="96"/>
    </row>
    <row r="46381" hidden="1">
      <c r="E46381" s="96"/>
    </row>
    <row r="46382" hidden="1">
      <c r="E46382" s="96"/>
    </row>
    <row r="46383" hidden="1">
      <c r="E46383" s="96"/>
    </row>
    <row r="46384" hidden="1">
      <c r="E46384" s="96"/>
    </row>
    <row r="46385" hidden="1">
      <c r="E46385" s="96"/>
    </row>
    <row r="46386" hidden="1">
      <c r="E46386" s="96"/>
    </row>
    <row r="46387" hidden="1">
      <c r="E46387" s="96"/>
    </row>
    <row r="46388" hidden="1">
      <c r="E46388" s="96"/>
    </row>
    <row r="46389" hidden="1">
      <c r="E46389" s="96"/>
    </row>
    <row r="46390" hidden="1">
      <c r="E46390" s="96"/>
    </row>
    <row r="46391" hidden="1">
      <c r="E46391" s="96"/>
    </row>
    <row r="46392" hidden="1">
      <c r="E46392" s="96"/>
    </row>
    <row r="46393" hidden="1">
      <c r="E46393" s="96"/>
    </row>
    <row r="46394" hidden="1">
      <c r="E46394" s="96"/>
    </row>
    <row r="46395" hidden="1">
      <c r="E46395" s="96"/>
    </row>
    <row r="46396" hidden="1">
      <c r="E46396" s="96"/>
    </row>
    <row r="46397" hidden="1">
      <c r="E46397" s="96"/>
    </row>
    <row r="46398" hidden="1">
      <c r="E46398" s="96"/>
    </row>
    <row r="46399" hidden="1">
      <c r="E46399" s="96"/>
    </row>
    <row r="46400" hidden="1">
      <c r="E46400" s="96"/>
    </row>
    <row r="46401" hidden="1">
      <c r="E46401" s="96"/>
    </row>
    <row r="46402" hidden="1">
      <c r="E46402" s="96"/>
    </row>
    <row r="46403" hidden="1">
      <c r="E46403" s="96"/>
    </row>
    <row r="46404" hidden="1">
      <c r="E46404" s="96"/>
    </row>
    <row r="46405" hidden="1">
      <c r="E46405" s="96"/>
    </row>
    <row r="46406" hidden="1">
      <c r="E46406" s="96"/>
    </row>
    <row r="46407" hidden="1">
      <c r="E46407" s="96"/>
    </row>
    <row r="46408" hidden="1">
      <c r="E46408" s="96"/>
    </row>
    <row r="46409" hidden="1">
      <c r="E46409" s="96"/>
    </row>
    <row r="46410" hidden="1">
      <c r="E46410" s="96"/>
    </row>
    <row r="46411" hidden="1">
      <c r="E46411" s="96"/>
    </row>
    <row r="46412" hidden="1">
      <c r="E46412" s="96"/>
    </row>
    <row r="46413" hidden="1">
      <c r="E46413" s="96"/>
    </row>
    <row r="46414" hidden="1">
      <c r="E46414" s="96"/>
    </row>
    <row r="46415" hidden="1">
      <c r="E46415" s="96"/>
    </row>
    <row r="46416" hidden="1">
      <c r="E46416" s="96"/>
    </row>
    <row r="46417" hidden="1">
      <c r="E46417" s="96"/>
    </row>
    <row r="46418" hidden="1">
      <c r="E46418" s="96"/>
    </row>
    <row r="46419" hidden="1">
      <c r="E46419" s="96"/>
    </row>
    <row r="46420" hidden="1">
      <c r="E46420" s="96"/>
    </row>
    <row r="46421" hidden="1">
      <c r="E46421" s="96"/>
    </row>
    <row r="46422" hidden="1">
      <c r="E46422" s="96"/>
    </row>
    <row r="46423" hidden="1">
      <c r="E46423" s="96"/>
    </row>
    <row r="46424" hidden="1">
      <c r="E46424" s="96"/>
    </row>
    <row r="46425" hidden="1">
      <c r="E46425" s="96"/>
    </row>
    <row r="46426" hidden="1">
      <c r="E46426" s="96"/>
    </row>
    <row r="46427" hidden="1">
      <c r="E46427" s="96"/>
    </row>
    <row r="46428" hidden="1">
      <c r="E46428" s="96"/>
    </row>
    <row r="46429" hidden="1">
      <c r="E46429" s="96"/>
    </row>
    <row r="46430" hidden="1">
      <c r="E46430" s="96"/>
    </row>
    <row r="46431" hidden="1">
      <c r="E46431" s="96"/>
    </row>
    <row r="46432" hidden="1">
      <c r="E46432" s="96"/>
    </row>
    <row r="46433" hidden="1">
      <c r="E46433" s="96"/>
    </row>
    <row r="46434" hidden="1">
      <c r="E46434" s="96"/>
    </row>
    <row r="46435" hidden="1">
      <c r="E46435" s="96"/>
    </row>
    <row r="46436" hidden="1">
      <c r="E46436" s="96"/>
    </row>
    <row r="46437" hidden="1">
      <c r="E46437" s="96"/>
    </row>
    <row r="46438" hidden="1">
      <c r="E46438" s="96"/>
    </row>
    <row r="46439" hidden="1">
      <c r="E46439" s="96"/>
    </row>
    <row r="46440" hidden="1">
      <c r="E46440" s="96"/>
    </row>
    <row r="46441" hidden="1">
      <c r="E46441" s="96"/>
    </row>
    <row r="46442" hidden="1">
      <c r="E46442" s="96"/>
    </row>
    <row r="46443" hidden="1">
      <c r="E46443" s="96"/>
    </row>
    <row r="46444" hidden="1">
      <c r="E46444" s="96"/>
    </row>
    <row r="46445" hidden="1">
      <c r="E46445" s="96"/>
    </row>
    <row r="46446" hidden="1">
      <c r="E46446" s="96"/>
    </row>
    <row r="46447" hidden="1">
      <c r="E46447" s="96"/>
    </row>
    <row r="46448" hidden="1">
      <c r="E46448" s="96"/>
    </row>
    <row r="46449" hidden="1">
      <c r="E46449" s="96"/>
    </row>
    <row r="46450" hidden="1">
      <c r="E46450" s="96"/>
    </row>
    <row r="46451" hidden="1">
      <c r="E46451" s="96"/>
    </row>
    <row r="46452" hidden="1">
      <c r="E46452" s="96"/>
    </row>
    <row r="46453" hidden="1">
      <c r="E46453" s="96"/>
    </row>
    <row r="46454" hidden="1">
      <c r="E46454" s="96"/>
    </row>
    <row r="46455" hidden="1">
      <c r="E46455" s="96"/>
    </row>
    <row r="46456" hidden="1">
      <c r="E46456" s="96"/>
    </row>
    <row r="46457" hidden="1">
      <c r="E46457" s="96"/>
    </row>
    <row r="46458" hidden="1">
      <c r="E46458" s="96"/>
    </row>
    <row r="46459" hidden="1">
      <c r="E46459" s="96"/>
    </row>
    <row r="46460" hidden="1">
      <c r="E46460" s="96"/>
    </row>
    <row r="46461" hidden="1">
      <c r="E46461" s="96"/>
    </row>
    <row r="46462" hidden="1">
      <c r="E46462" s="96"/>
    </row>
    <row r="46463" hidden="1">
      <c r="E46463" s="96"/>
    </row>
    <row r="46464" hidden="1">
      <c r="E46464" s="96"/>
    </row>
    <row r="46465" hidden="1">
      <c r="E46465" s="96"/>
    </row>
    <row r="46466" hidden="1">
      <c r="E46466" s="96"/>
    </row>
    <row r="46467" hidden="1">
      <c r="E46467" s="96"/>
    </row>
    <row r="46468" hidden="1">
      <c r="E46468" s="96"/>
    </row>
    <row r="46469" hidden="1">
      <c r="E46469" s="96"/>
    </row>
    <row r="46470" hidden="1">
      <c r="E46470" s="96"/>
    </row>
    <row r="46471" hidden="1">
      <c r="E46471" s="96"/>
    </row>
    <row r="46472" hidden="1">
      <c r="E46472" s="96"/>
    </row>
    <row r="46473" hidden="1">
      <c r="E46473" s="96"/>
    </row>
    <row r="46474" hidden="1">
      <c r="E46474" s="96"/>
    </row>
    <row r="46475" hidden="1">
      <c r="E46475" s="96"/>
    </row>
    <row r="46476" hidden="1">
      <c r="E46476" s="96"/>
    </row>
    <row r="46477" hidden="1">
      <c r="E46477" s="96"/>
    </row>
    <row r="46478" hidden="1">
      <c r="E46478" s="96"/>
    </row>
    <row r="46479" hidden="1">
      <c r="E46479" s="96"/>
    </row>
    <row r="46480" hidden="1">
      <c r="E46480" s="96"/>
    </row>
    <row r="46481" hidden="1">
      <c r="E46481" s="96"/>
    </row>
    <row r="46482" hidden="1">
      <c r="E46482" s="96"/>
    </row>
    <row r="46483" hidden="1">
      <c r="E46483" s="96"/>
    </row>
    <row r="46484" hidden="1">
      <c r="E46484" s="96"/>
    </row>
    <row r="46485" hidden="1">
      <c r="E46485" s="96"/>
    </row>
    <row r="46486" hidden="1">
      <c r="E46486" s="96"/>
    </row>
    <row r="46487" hidden="1">
      <c r="E46487" s="96"/>
    </row>
    <row r="46488" hidden="1">
      <c r="E46488" s="96"/>
    </row>
    <row r="46489" hidden="1">
      <c r="E46489" s="96"/>
    </row>
    <row r="46490" hidden="1">
      <c r="E46490" s="96"/>
    </row>
    <row r="46491" hidden="1">
      <c r="E46491" s="96"/>
    </row>
    <row r="46492" hidden="1">
      <c r="E46492" s="96"/>
    </row>
    <row r="46493" hidden="1">
      <c r="E46493" s="96"/>
    </row>
    <row r="46494" hidden="1">
      <c r="E46494" s="96"/>
    </row>
    <row r="46495" hidden="1">
      <c r="E46495" s="96"/>
    </row>
    <row r="46496" hidden="1">
      <c r="E46496" s="96"/>
    </row>
    <row r="46497" hidden="1">
      <c r="E46497" s="96"/>
    </row>
    <row r="46498" hidden="1">
      <c r="E46498" s="96"/>
    </row>
    <row r="46499" hidden="1">
      <c r="E46499" s="96"/>
    </row>
    <row r="46500" hidden="1">
      <c r="E46500" s="96"/>
    </row>
    <row r="46501" hidden="1">
      <c r="E46501" s="96"/>
    </row>
    <row r="46502" hidden="1">
      <c r="E46502" s="96"/>
    </row>
    <row r="46503" hidden="1">
      <c r="E46503" s="96"/>
    </row>
    <row r="46504" hidden="1">
      <c r="E46504" s="96"/>
    </row>
    <row r="46505" hidden="1">
      <c r="E46505" s="96"/>
    </row>
    <row r="46506" hidden="1">
      <c r="E46506" s="96"/>
    </row>
    <row r="46507" hidden="1">
      <c r="E46507" s="96"/>
    </row>
    <row r="46508" hidden="1">
      <c r="E46508" s="96"/>
    </row>
    <row r="46509" hidden="1">
      <c r="E46509" s="96"/>
    </row>
    <row r="46510" hidden="1">
      <c r="E46510" s="96"/>
    </row>
    <row r="46511" hidden="1">
      <c r="E46511" s="96"/>
    </row>
    <row r="46512" hidden="1">
      <c r="E46512" s="96"/>
    </row>
    <row r="46513" hidden="1">
      <c r="E46513" s="96"/>
    </row>
    <row r="46514" hidden="1">
      <c r="E46514" s="96"/>
    </row>
    <row r="46515" hidden="1">
      <c r="E46515" s="96"/>
    </row>
    <row r="46516" hidden="1">
      <c r="E46516" s="96"/>
    </row>
    <row r="46517" hidden="1">
      <c r="E46517" s="96"/>
    </row>
    <row r="46518" hidden="1">
      <c r="E46518" s="96"/>
    </row>
    <row r="46519" hidden="1">
      <c r="E46519" s="96"/>
    </row>
    <row r="46520" hidden="1">
      <c r="E46520" s="96"/>
    </row>
    <row r="46521" hidden="1">
      <c r="E46521" s="96"/>
    </row>
    <row r="46522" hidden="1">
      <c r="E46522" s="96"/>
    </row>
    <row r="46523" hidden="1">
      <c r="E46523" s="96"/>
    </row>
    <row r="46524" hidden="1">
      <c r="E46524" s="96"/>
    </row>
    <row r="46525" hidden="1">
      <c r="E46525" s="96"/>
    </row>
    <row r="46526" hidden="1">
      <c r="E46526" s="96"/>
    </row>
    <row r="46527" hidden="1">
      <c r="E46527" s="96"/>
    </row>
    <row r="46528" hidden="1">
      <c r="E46528" s="96"/>
    </row>
    <row r="46529" hidden="1">
      <c r="E46529" s="96"/>
    </row>
    <row r="46530" hidden="1">
      <c r="E46530" s="96"/>
    </row>
    <row r="46531" hidden="1">
      <c r="E46531" s="96"/>
    </row>
    <row r="46532" hidden="1">
      <c r="E46532" s="96"/>
    </row>
    <row r="46533" hidden="1">
      <c r="E46533" s="96"/>
    </row>
    <row r="46534" hidden="1">
      <c r="E46534" s="96"/>
    </row>
    <row r="46535" hidden="1">
      <c r="E46535" s="96"/>
    </row>
    <row r="46536" hidden="1">
      <c r="E46536" s="96"/>
    </row>
    <row r="46537" hidden="1">
      <c r="E46537" s="96"/>
    </row>
    <row r="46538" hidden="1">
      <c r="E46538" s="96"/>
    </row>
    <row r="46539" hidden="1">
      <c r="E46539" s="96"/>
    </row>
    <row r="46540" hidden="1">
      <c r="E46540" s="96"/>
    </row>
    <row r="46541" hidden="1">
      <c r="E46541" s="96"/>
    </row>
    <row r="46542" hidden="1">
      <c r="E46542" s="96"/>
    </row>
    <row r="46543" hidden="1">
      <c r="E46543" s="96"/>
    </row>
    <row r="46544" hidden="1">
      <c r="E46544" s="96"/>
    </row>
    <row r="46545" hidden="1">
      <c r="E46545" s="96"/>
    </row>
    <row r="46546" hidden="1">
      <c r="E46546" s="96"/>
    </row>
    <row r="46547" hidden="1">
      <c r="E46547" s="96"/>
    </row>
    <row r="46548" hidden="1">
      <c r="E46548" s="96"/>
    </row>
    <row r="46549" hidden="1">
      <c r="E46549" s="96"/>
    </row>
    <row r="46550" hidden="1">
      <c r="E46550" s="96"/>
    </row>
    <row r="46551" hidden="1">
      <c r="E46551" s="96"/>
    </row>
    <row r="46552" hidden="1">
      <c r="E46552" s="96"/>
    </row>
    <row r="46553" hidden="1">
      <c r="E46553" s="96"/>
    </row>
    <row r="46554" hidden="1">
      <c r="E46554" s="96"/>
    </row>
    <row r="46555" hidden="1">
      <c r="E46555" s="96"/>
    </row>
    <row r="46556" hidden="1">
      <c r="E46556" s="96"/>
    </row>
    <row r="46557" hidden="1">
      <c r="E46557" s="96"/>
    </row>
    <row r="46558" hidden="1">
      <c r="E46558" s="96"/>
    </row>
    <row r="46559" hidden="1">
      <c r="E46559" s="96"/>
    </row>
    <row r="46560" hidden="1">
      <c r="E46560" s="96"/>
    </row>
    <row r="46561" hidden="1">
      <c r="E46561" s="96"/>
    </row>
    <row r="46562" hidden="1">
      <c r="E46562" s="96"/>
    </row>
    <row r="46563" hidden="1">
      <c r="E46563" s="96"/>
    </row>
    <row r="46564" hidden="1">
      <c r="E46564" s="96"/>
    </row>
    <row r="46565" hidden="1">
      <c r="E46565" s="96"/>
    </row>
    <row r="46566" hidden="1">
      <c r="E46566" s="96"/>
    </row>
    <row r="46567" hidden="1">
      <c r="E46567" s="96"/>
    </row>
    <row r="46568" hidden="1">
      <c r="E46568" s="96"/>
    </row>
    <row r="46569" hidden="1">
      <c r="E46569" s="96"/>
    </row>
    <row r="46570" hidden="1">
      <c r="E46570" s="96"/>
    </row>
    <row r="46571" hidden="1">
      <c r="E46571" s="96"/>
    </row>
    <row r="46572" hidden="1">
      <c r="E46572" s="96"/>
    </row>
    <row r="46573" hidden="1">
      <c r="E46573" s="96"/>
    </row>
    <row r="46574" hidden="1">
      <c r="E46574" s="96"/>
    </row>
    <row r="46575" hidden="1">
      <c r="E46575" s="96"/>
    </row>
    <row r="46576" hidden="1">
      <c r="E46576" s="96"/>
    </row>
    <row r="46577" hidden="1">
      <c r="E46577" s="96"/>
    </row>
    <row r="46578" hidden="1">
      <c r="E46578" s="96"/>
    </row>
    <row r="46579" hidden="1">
      <c r="E46579" s="96"/>
    </row>
    <row r="46580" hidden="1">
      <c r="E46580" s="96"/>
    </row>
    <row r="46581" hidden="1">
      <c r="E46581" s="96"/>
    </row>
    <row r="46582" hidden="1">
      <c r="E46582" s="96"/>
    </row>
    <row r="46583" hidden="1">
      <c r="E46583" s="96"/>
    </row>
    <row r="46584" hidden="1">
      <c r="E46584" s="96"/>
    </row>
    <row r="46585" hidden="1">
      <c r="E46585" s="96"/>
    </row>
    <row r="46586" hidden="1">
      <c r="E46586" s="96"/>
    </row>
    <row r="46587" hidden="1">
      <c r="E46587" s="96"/>
    </row>
    <row r="46588" hidden="1">
      <c r="E46588" s="96"/>
    </row>
    <row r="46589" hidden="1">
      <c r="E46589" s="96"/>
    </row>
    <row r="46590" hidden="1">
      <c r="E46590" s="96"/>
    </row>
    <row r="46591" hidden="1">
      <c r="E46591" s="96"/>
    </row>
    <row r="46592" hidden="1">
      <c r="E46592" s="96"/>
    </row>
    <row r="46593" hidden="1">
      <c r="E46593" s="96"/>
    </row>
    <row r="46594" hidden="1">
      <c r="E46594" s="96"/>
    </row>
    <row r="46595" hidden="1">
      <c r="E46595" s="96"/>
    </row>
    <row r="46596" hidden="1">
      <c r="E46596" s="96"/>
    </row>
    <row r="46597" hidden="1">
      <c r="E46597" s="96"/>
    </row>
    <row r="46598" hidden="1">
      <c r="E46598" s="96"/>
    </row>
    <row r="46599" hidden="1">
      <c r="E46599" s="96"/>
    </row>
    <row r="46600" hidden="1">
      <c r="E46600" s="96"/>
    </row>
    <row r="46601" hidden="1">
      <c r="E46601" s="96"/>
    </row>
    <row r="46602" hidden="1">
      <c r="E46602" s="96"/>
    </row>
    <row r="46603" hidden="1">
      <c r="E46603" s="96"/>
    </row>
    <row r="46604" hidden="1">
      <c r="E46604" s="96"/>
    </row>
    <row r="46605" hidden="1">
      <c r="E46605" s="96"/>
    </row>
    <row r="46606" hidden="1">
      <c r="E46606" s="96"/>
    </row>
    <row r="46607" hidden="1">
      <c r="E46607" s="96"/>
    </row>
    <row r="46608" hidden="1">
      <c r="E46608" s="96"/>
    </row>
    <row r="46609" hidden="1">
      <c r="E46609" s="96"/>
    </row>
    <row r="46610" hidden="1">
      <c r="E46610" s="96"/>
    </row>
    <row r="46611" hidden="1">
      <c r="E46611" s="96"/>
    </row>
    <row r="46612" hidden="1">
      <c r="E46612" s="96"/>
    </row>
    <row r="46613" hidden="1">
      <c r="E46613" s="96"/>
    </row>
    <row r="46614" hidden="1">
      <c r="E46614" s="96"/>
    </row>
    <row r="46615" hidden="1">
      <c r="E46615" s="96"/>
    </row>
    <row r="46616" hidden="1">
      <c r="E46616" s="96"/>
    </row>
    <row r="46617" hidden="1">
      <c r="E46617" s="96"/>
    </row>
    <row r="46618" hidden="1">
      <c r="E46618" s="96"/>
    </row>
    <row r="46619" hidden="1">
      <c r="E46619" s="96"/>
    </row>
    <row r="46620" hidden="1">
      <c r="E46620" s="96"/>
    </row>
    <row r="46621" hidden="1">
      <c r="E46621" s="96"/>
    </row>
    <row r="46622" hidden="1">
      <c r="E46622" s="96"/>
    </row>
    <row r="46623" hidden="1">
      <c r="E46623" s="96"/>
    </row>
    <row r="46624" hidden="1">
      <c r="E46624" s="96"/>
    </row>
    <row r="46625" hidden="1">
      <c r="E46625" s="96"/>
    </row>
    <row r="46626" hidden="1">
      <c r="E46626" s="96"/>
    </row>
    <row r="46627" hidden="1">
      <c r="E46627" s="96"/>
    </row>
    <row r="46628" hidden="1">
      <c r="E46628" s="96"/>
    </row>
    <row r="46629" hidden="1">
      <c r="E46629" s="96"/>
    </row>
    <row r="46630" hidden="1">
      <c r="E46630" s="96"/>
    </row>
    <row r="46631" hidden="1">
      <c r="E46631" s="96"/>
    </row>
    <row r="46632" hidden="1">
      <c r="E46632" s="96"/>
    </row>
    <row r="46633" hidden="1">
      <c r="E46633" s="96"/>
    </row>
    <row r="46634" hidden="1">
      <c r="E46634" s="96"/>
    </row>
    <row r="46635" hidden="1">
      <c r="E46635" s="96"/>
    </row>
    <row r="46636" hidden="1">
      <c r="E46636" s="96"/>
    </row>
    <row r="46637" hidden="1">
      <c r="E46637" s="96"/>
    </row>
    <row r="46638" hidden="1">
      <c r="E46638" s="96"/>
    </row>
    <row r="46639" hidden="1">
      <c r="E46639" s="96"/>
    </row>
    <row r="46640" hidden="1">
      <c r="E46640" s="96"/>
    </row>
    <row r="46641" hidden="1">
      <c r="E46641" s="96"/>
    </row>
    <row r="46642" hidden="1">
      <c r="E46642" s="96"/>
    </row>
    <row r="46643" hidden="1">
      <c r="E46643" s="96"/>
    </row>
    <row r="46644" hidden="1">
      <c r="E46644" s="96"/>
    </row>
    <row r="46645" hidden="1">
      <c r="E46645" s="96"/>
    </row>
    <row r="46646" hidden="1">
      <c r="E46646" s="96"/>
    </row>
    <row r="46647" hidden="1">
      <c r="E46647" s="96"/>
    </row>
    <row r="46648" hidden="1">
      <c r="E46648" s="96"/>
    </row>
    <row r="46649" hidden="1">
      <c r="E46649" s="96"/>
    </row>
    <row r="46650" hidden="1">
      <c r="E46650" s="96"/>
    </row>
    <row r="46651" hidden="1">
      <c r="E46651" s="96"/>
    </row>
    <row r="46652" hidden="1">
      <c r="E46652" s="96"/>
    </row>
    <row r="46653" hidden="1">
      <c r="E46653" s="96"/>
    </row>
    <row r="46654" hidden="1">
      <c r="E46654" s="96"/>
    </row>
    <row r="46655" hidden="1">
      <c r="E46655" s="96"/>
    </row>
    <row r="46656" hidden="1">
      <c r="E46656" s="96"/>
    </row>
    <row r="46657" hidden="1">
      <c r="E46657" s="96"/>
    </row>
    <row r="46658" hidden="1">
      <c r="E46658" s="96"/>
    </row>
    <row r="46659" hidden="1">
      <c r="E46659" s="96"/>
    </row>
    <row r="46660" hidden="1">
      <c r="E46660" s="96"/>
    </row>
    <row r="46661" hidden="1">
      <c r="E46661" s="96"/>
    </row>
    <row r="46662" hidden="1">
      <c r="E46662" s="96"/>
    </row>
    <row r="46663" hidden="1">
      <c r="E46663" s="96"/>
    </row>
    <row r="46664" hidden="1">
      <c r="E46664" s="96"/>
    </row>
    <row r="46665" hidden="1">
      <c r="E46665" s="96"/>
    </row>
    <row r="46666" hidden="1">
      <c r="E46666" s="96"/>
    </row>
    <row r="46667" hidden="1">
      <c r="E46667" s="96"/>
    </row>
    <row r="46668" hidden="1">
      <c r="E46668" s="96"/>
    </row>
    <row r="46669" hidden="1">
      <c r="E46669" s="96"/>
    </row>
    <row r="46670" hidden="1">
      <c r="E46670" s="96"/>
    </row>
    <row r="46671" hidden="1">
      <c r="E46671" s="96"/>
    </row>
    <row r="46672" hidden="1">
      <c r="E46672" s="96"/>
    </row>
    <row r="46673" hidden="1">
      <c r="E46673" s="96"/>
    </row>
    <row r="46674" hidden="1">
      <c r="E46674" s="96"/>
    </row>
    <row r="46675" hidden="1">
      <c r="E46675" s="96"/>
    </row>
    <row r="46676" hidden="1">
      <c r="E46676" s="96"/>
    </row>
    <row r="46677" hidden="1">
      <c r="E46677" s="96"/>
    </row>
    <row r="46678" hidden="1">
      <c r="E46678" s="96"/>
    </row>
    <row r="46679" hidden="1">
      <c r="E46679" s="96"/>
    </row>
    <row r="46680" hidden="1">
      <c r="E46680" s="96"/>
    </row>
    <row r="46681" hidden="1">
      <c r="E46681" s="96"/>
    </row>
    <row r="46682" hidden="1">
      <c r="E46682" s="96"/>
    </row>
    <row r="46683" hidden="1">
      <c r="E46683" s="96"/>
    </row>
    <row r="46684" hidden="1">
      <c r="E46684" s="96"/>
    </row>
    <row r="46685" hidden="1">
      <c r="E46685" s="96"/>
    </row>
    <row r="46686" hidden="1">
      <c r="E46686" s="96"/>
    </row>
    <row r="46687" hidden="1">
      <c r="E46687" s="96"/>
    </row>
    <row r="46688" hidden="1">
      <c r="E46688" s="96"/>
    </row>
    <row r="46689" hidden="1">
      <c r="E46689" s="96"/>
    </row>
    <row r="46690" hidden="1">
      <c r="E46690" s="96"/>
    </row>
    <row r="46691" hidden="1">
      <c r="E46691" s="96"/>
    </row>
    <row r="46692" hidden="1">
      <c r="E46692" s="96"/>
    </row>
    <row r="46693" hidden="1">
      <c r="E46693" s="96"/>
    </row>
    <row r="46694" hidden="1">
      <c r="E46694" s="96"/>
    </row>
    <row r="46695" hidden="1">
      <c r="E46695" s="96"/>
    </row>
    <row r="46696" hidden="1">
      <c r="E46696" s="96"/>
    </row>
    <row r="46697" hidden="1">
      <c r="E46697" s="96"/>
    </row>
    <row r="46698" hidden="1">
      <c r="E46698" s="96"/>
    </row>
    <row r="46699" hidden="1">
      <c r="E46699" s="96"/>
    </row>
    <row r="46700" hidden="1">
      <c r="E46700" s="96"/>
    </row>
    <row r="46701" hidden="1">
      <c r="E46701" s="96"/>
    </row>
    <row r="46702" hidden="1">
      <c r="E46702" s="96"/>
    </row>
    <row r="46703" hidden="1">
      <c r="E46703" s="96"/>
    </row>
    <row r="46704" hidden="1">
      <c r="E46704" s="96"/>
    </row>
    <row r="46705" hidden="1">
      <c r="E46705" s="96"/>
    </row>
    <row r="46706" hidden="1">
      <c r="E46706" s="96"/>
    </row>
    <row r="46707" hidden="1">
      <c r="E46707" s="96"/>
    </row>
    <row r="46708" hidden="1">
      <c r="E46708" s="96"/>
    </row>
    <row r="46709" hidden="1">
      <c r="E46709" s="96"/>
    </row>
    <row r="46710" hidden="1">
      <c r="E46710" s="96"/>
    </row>
    <row r="46711" hidden="1">
      <c r="E46711" s="96"/>
    </row>
    <row r="46712" hidden="1">
      <c r="E46712" s="96"/>
    </row>
    <row r="46713" hidden="1">
      <c r="E46713" s="96"/>
    </row>
    <row r="46714" hidden="1">
      <c r="E46714" s="96"/>
    </row>
    <row r="46715" hidden="1">
      <c r="E46715" s="96"/>
    </row>
    <row r="46716" hidden="1">
      <c r="E46716" s="96"/>
    </row>
    <row r="46717" hidden="1">
      <c r="E46717" s="96"/>
    </row>
    <row r="46718" hidden="1">
      <c r="E46718" s="96"/>
    </row>
    <row r="46719" hidden="1">
      <c r="E46719" s="96"/>
    </row>
    <row r="46720" hidden="1">
      <c r="E46720" s="96"/>
    </row>
    <row r="46721" hidden="1">
      <c r="E46721" s="96"/>
    </row>
    <row r="46722" hidden="1">
      <c r="E46722" s="96"/>
    </row>
    <row r="46723" hidden="1">
      <c r="E46723" s="96"/>
    </row>
    <row r="46724" hidden="1">
      <c r="E46724" s="96"/>
    </row>
    <row r="46725" hidden="1">
      <c r="E46725" s="96"/>
    </row>
    <row r="46726" hidden="1">
      <c r="E46726" s="96"/>
    </row>
    <row r="46727" hidden="1">
      <c r="E46727" s="96"/>
    </row>
    <row r="46728" hidden="1">
      <c r="E46728" s="96"/>
    </row>
    <row r="46729" hidden="1">
      <c r="E46729" s="96"/>
    </row>
    <row r="46730" hidden="1">
      <c r="E46730" s="96"/>
    </row>
    <row r="46731" hidden="1">
      <c r="E46731" s="96"/>
    </row>
    <row r="46732" hidden="1">
      <c r="E46732" s="96"/>
    </row>
    <row r="46733" hidden="1">
      <c r="E46733" s="96"/>
    </row>
    <row r="46734" hidden="1">
      <c r="E46734" s="96"/>
    </row>
    <row r="46735" hidden="1">
      <c r="E46735" s="96"/>
    </row>
    <row r="46736" hidden="1">
      <c r="E46736" s="96"/>
    </row>
    <row r="46737" hidden="1">
      <c r="E46737" s="96"/>
    </row>
    <row r="46738" hidden="1">
      <c r="E46738" s="96"/>
    </row>
    <row r="46739" hidden="1">
      <c r="E46739" s="96"/>
    </row>
    <row r="46740" hidden="1">
      <c r="E46740" s="96"/>
    </row>
    <row r="46741" hidden="1">
      <c r="E46741" s="96"/>
    </row>
    <row r="46742" hidden="1">
      <c r="E46742" s="96"/>
    </row>
    <row r="46743" hidden="1">
      <c r="E46743" s="96"/>
    </row>
    <row r="46744" hidden="1">
      <c r="E46744" s="96"/>
    </row>
    <row r="46745" hidden="1">
      <c r="E46745" s="96"/>
    </row>
    <row r="46746" hidden="1">
      <c r="E46746" s="96"/>
    </row>
    <row r="46747" hidden="1">
      <c r="E46747" s="96"/>
    </row>
    <row r="46748" hidden="1">
      <c r="E46748" s="96"/>
    </row>
    <row r="46749" hidden="1">
      <c r="E46749" s="96"/>
    </row>
    <row r="46750" hidden="1">
      <c r="E46750" s="96"/>
    </row>
    <row r="46751" hidden="1">
      <c r="E46751" s="96"/>
    </row>
    <row r="46752" hidden="1">
      <c r="E46752" s="96"/>
    </row>
    <row r="46753" hidden="1">
      <c r="E46753" s="96"/>
    </row>
    <row r="46754" hidden="1">
      <c r="E46754" s="96"/>
    </row>
    <row r="46755" hidden="1">
      <c r="E46755" s="96"/>
    </row>
    <row r="46756" hidden="1">
      <c r="E46756" s="96"/>
    </row>
    <row r="46757" hidden="1">
      <c r="E46757" s="96"/>
    </row>
    <row r="46758" hidden="1">
      <c r="E46758" s="96"/>
    </row>
    <row r="46759" hidden="1">
      <c r="E46759" s="96"/>
    </row>
    <row r="46760" hidden="1">
      <c r="E46760" s="96"/>
    </row>
    <row r="46761" hidden="1">
      <c r="E46761" s="96"/>
    </row>
    <row r="46762" hidden="1">
      <c r="E46762" s="96"/>
    </row>
    <row r="46763" hidden="1">
      <c r="E46763" s="96"/>
    </row>
    <row r="46764" hidden="1">
      <c r="E46764" s="96"/>
    </row>
    <row r="46765" hidden="1">
      <c r="E46765" s="96"/>
    </row>
    <row r="46766" hidden="1">
      <c r="E46766" s="96"/>
    </row>
    <row r="46767" hidden="1">
      <c r="E46767" s="96"/>
    </row>
    <row r="46768" hidden="1">
      <c r="E46768" s="96"/>
    </row>
    <row r="46769" hidden="1">
      <c r="E46769" s="96"/>
    </row>
    <row r="46770" hidden="1">
      <c r="E46770" s="96"/>
    </row>
    <row r="46771" hidden="1">
      <c r="E46771" s="96"/>
    </row>
    <row r="46772" hidden="1">
      <c r="E46772" s="96"/>
    </row>
    <row r="46773" hidden="1">
      <c r="E46773" s="96"/>
    </row>
    <row r="46774" hidden="1">
      <c r="E46774" s="96"/>
    </row>
    <row r="46775" hidden="1">
      <c r="E46775" s="96"/>
    </row>
    <row r="46776" hidden="1">
      <c r="E46776" s="96"/>
    </row>
    <row r="46777" hidden="1">
      <c r="E46777" s="96"/>
    </row>
    <row r="46778" hidden="1">
      <c r="E46778" s="96"/>
    </row>
    <row r="46779" hidden="1">
      <c r="E46779" s="96"/>
    </row>
    <row r="46780" hidden="1">
      <c r="E46780" s="96"/>
    </row>
    <row r="46781" hidden="1">
      <c r="E46781" s="96"/>
    </row>
    <row r="46782" hidden="1">
      <c r="E46782" s="96"/>
    </row>
    <row r="46783" hidden="1">
      <c r="E46783" s="96"/>
    </row>
    <row r="46784" hidden="1">
      <c r="E46784" s="96"/>
    </row>
    <row r="46785" hidden="1">
      <c r="E46785" s="96"/>
    </row>
    <row r="46786" hidden="1">
      <c r="E46786" s="96"/>
    </row>
    <row r="46787" hidden="1">
      <c r="E46787" s="96"/>
    </row>
    <row r="46788" hidden="1">
      <c r="E46788" s="96"/>
    </row>
    <row r="46789" hidden="1">
      <c r="E46789" s="96"/>
    </row>
    <row r="46790" hidden="1">
      <c r="E46790" s="96"/>
    </row>
    <row r="46791" hidden="1">
      <c r="E46791" s="96"/>
    </row>
    <row r="46792" hidden="1">
      <c r="E46792" s="96"/>
    </row>
    <row r="46793" hidden="1">
      <c r="E46793" s="96"/>
    </row>
    <row r="46794" hidden="1">
      <c r="E46794" s="96"/>
    </row>
    <row r="46795" hidden="1">
      <c r="E46795" s="96"/>
    </row>
    <row r="46796" hidden="1">
      <c r="E46796" s="96"/>
    </row>
    <row r="46797" hidden="1">
      <c r="E46797" s="96"/>
    </row>
    <row r="46798" hidden="1">
      <c r="E46798" s="96"/>
    </row>
    <row r="46799" hidden="1">
      <c r="E46799" s="96"/>
    </row>
    <row r="46800" hidden="1">
      <c r="E46800" s="96"/>
    </row>
    <row r="46801" hidden="1">
      <c r="E46801" s="96"/>
    </row>
    <row r="46802" hidden="1">
      <c r="E46802" s="96"/>
    </row>
    <row r="46803" hidden="1">
      <c r="E46803" s="96"/>
    </row>
    <row r="46804" hidden="1">
      <c r="E46804" s="96"/>
    </row>
    <row r="46805" hidden="1">
      <c r="E46805" s="96"/>
    </row>
    <row r="46806" hidden="1">
      <c r="E46806" s="96"/>
    </row>
    <row r="46807" hidden="1">
      <c r="E46807" s="96"/>
    </row>
    <row r="46808" hidden="1">
      <c r="E46808" s="96"/>
    </row>
    <row r="46809" hidden="1">
      <c r="E46809" s="96"/>
    </row>
    <row r="46810" hidden="1">
      <c r="E46810" s="96"/>
    </row>
    <row r="46811" hidden="1">
      <c r="E46811" s="96"/>
    </row>
    <row r="46812" hidden="1">
      <c r="E46812" s="96"/>
    </row>
    <row r="46813" hidden="1">
      <c r="E46813" s="96"/>
    </row>
    <row r="46814" hidden="1">
      <c r="E46814" s="96"/>
    </row>
    <row r="46815" hidden="1">
      <c r="E46815" s="96"/>
    </row>
    <row r="46816" hidden="1">
      <c r="E46816" s="96"/>
    </row>
    <row r="46817" hidden="1">
      <c r="E46817" s="96"/>
    </row>
    <row r="46818" hidden="1">
      <c r="E46818" s="96"/>
    </row>
    <row r="46819" hidden="1">
      <c r="E46819" s="96"/>
    </row>
    <row r="46820" hidden="1">
      <c r="E46820" s="96"/>
    </row>
    <row r="46821" hidden="1">
      <c r="E46821" s="96"/>
    </row>
    <row r="46822" hidden="1">
      <c r="E46822" s="96"/>
    </row>
    <row r="46823" hidden="1">
      <c r="E46823" s="96"/>
    </row>
    <row r="46824" hidden="1">
      <c r="E46824" s="96"/>
    </row>
    <row r="46825" hidden="1">
      <c r="E46825" s="96"/>
    </row>
    <row r="46826" hidden="1">
      <c r="E46826" s="96"/>
    </row>
    <row r="46827" hidden="1">
      <c r="E46827" s="96"/>
    </row>
    <row r="46828" hidden="1">
      <c r="E46828" s="96"/>
    </row>
    <row r="46829" hidden="1">
      <c r="E46829" s="96"/>
    </row>
    <row r="46830" hidden="1">
      <c r="E46830" s="96"/>
    </row>
    <row r="46831" hidden="1">
      <c r="E46831" s="96"/>
    </row>
    <row r="46832" hidden="1">
      <c r="E46832" s="96"/>
    </row>
    <row r="46833" hidden="1">
      <c r="E46833" s="96"/>
    </row>
    <row r="46834" hidden="1">
      <c r="E46834" s="96"/>
    </row>
    <row r="46835" hidden="1">
      <c r="E46835" s="96"/>
    </row>
    <row r="46836" hidden="1">
      <c r="E46836" s="96"/>
    </row>
    <row r="46837" hidden="1">
      <c r="E46837" s="96"/>
    </row>
    <row r="46838" hidden="1">
      <c r="E46838" s="96"/>
    </row>
    <row r="46839" hidden="1">
      <c r="E46839" s="96"/>
    </row>
    <row r="46840" hidden="1">
      <c r="E46840" s="96"/>
    </row>
    <row r="46841" hidden="1">
      <c r="E46841" s="96"/>
    </row>
    <row r="46842" hidden="1">
      <c r="E46842" s="96"/>
    </row>
    <row r="46843" hidden="1">
      <c r="E46843" s="96"/>
    </row>
    <row r="46844" hidden="1">
      <c r="E46844" s="96"/>
    </row>
    <row r="46845" hidden="1">
      <c r="E46845" s="96"/>
    </row>
    <row r="46846" hidden="1">
      <c r="E46846" s="96"/>
    </row>
    <row r="46847" hidden="1">
      <c r="E46847" s="96"/>
    </row>
    <row r="46848" hidden="1">
      <c r="E46848" s="96"/>
    </row>
    <row r="46849" hidden="1">
      <c r="E46849" s="96"/>
    </row>
    <row r="46850" hidden="1">
      <c r="E46850" s="96"/>
    </row>
    <row r="46851" hidden="1">
      <c r="E46851" s="96"/>
    </row>
    <row r="46852" hidden="1">
      <c r="E46852" s="96"/>
    </row>
    <row r="46853" hidden="1">
      <c r="E46853" s="96"/>
    </row>
    <row r="46854" hidden="1">
      <c r="E46854" s="96"/>
    </row>
    <row r="46855" hidden="1">
      <c r="E46855" s="96"/>
    </row>
    <row r="46856" hidden="1">
      <c r="E46856" s="96"/>
    </row>
    <row r="46857" hidden="1">
      <c r="E46857" s="96"/>
    </row>
    <row r="46858" hidden="1">
      <c r="E46858" s="96"/>
    </row>
    <row r="46859" hidden="1">
      <c r="E46859" s="96"/>
    </row>
    <row r="46860" hidden="1">
      <c r="E46860" s="96"/>
    </row>
    <row r="46861" hidden="1">
      <c r="E46861" s="96"/>
    </row>
    <row r="46862" hidden="1">
      <c r="E46862" s="96"/>
    </row>
    <row r="46863" hidden="1">
      <c r="E46863" s="96"/>
    </row>
    <row r="46864" hidden="1">
      <c r="E46864" s="96"/>
    </row>
    <row r="46865" hidden="1">
      <c r="E46865" s="96"/>
    </row>
    <row r="46866" hidden="1">
      <c r="E46866" s="96"/>
    </row>
    <row r="46867" hidden="1">
      <c r="E46867" s="96"/>
    </row>
    <row r="46868" hidden="1">
      <c r="E46868" s="96"/>
    </row>
    <row r="46869" hidden="1">
      <c r="E46869" s="96"/>
    </row>
    <row r="46870" hidden="1">
      <c r="E46870" s="96"/>
    </row>
    <row r="46871" hidden="1">
      <c r="E46871" s="96"/>
    </row>
    <row r="46872" hidden="1">
      <c r="E46872" s="96"/>
    </row>
    <row r="46873" hidden="1">
      <c r="E46873" s="96"/>
    </row>
    <row r="46874" hidden="1">
      <c r="E46874" s="96"/>
    </row>
    <row r="46875" hidden="1">
      <c r="E46875" s="96"/>
    </row>
    <row r="46876" hidden="1">
      <c r="E46876" s="96"/>
    </row>
    <row r="46877" hidden="1">
      <c r="E46877" s="96"/>
    </row>
    <row r="46878" hidden="1">
      <c r="E46878" s="96"/>
    </row>
    <row r="46879" hidden="1">
      <c r="E46879" s="96"/>
    </row>
    <row r="46880" hidden="1">
      <c r="E46880" s="96"/>
    </row>
    <row r="46881" hidden="1">
      <c r="E46881" s="96"/>
    </row>
    <row r="46882" hidden="1">
      <c r="E46882" s="96"/>
    </row>
    <row r="46883" hidden="1">
      <c r="E46883" s="96"/>
    </row>
    <row r="46884" hidden="1">
      <c r="E46884" s="96"/>
    </row>
    <row r="46885" hidden="1">
      <c r="E46885" s="96"/>
    </row>
    <row r="46886" hidden="1">
      <c r="E46886" s="96"/>
    </row>
    <row r="46887" hidden="1">
      <c r="E46887" s="96"/>
    </row>
    <row r="46888" hidden="1">
      <c r="E46888" s="96"/>
    </row>
    <row r="46889" hidden="1">
      <c r="E46889" s="96"/>
    </row>
    <row r="46890" hidden="1">
      <c r="E46890" s="96"/>
    </row>
    <row r="46891" hidden="1">
      <c r="E46891" s="96"/>
    </row>
    <row r="46892" hidden="1">
      <c r="E46892" s="96"/>
    </row>
    <row r="46893" hidden="1">
      <c r="E46893" s="96"/>
    </row>
    <row r="46894" hidden="1">
      <c r="E46894" s="96"/>
    </row>
    <row r="46895" hidden="1">
      <c r="E46895" s="96"/>
    </row>
    <row r="46896" hidden="1">
      <c r="E46896" s="96"/>
    </row>
    <row r="46897" hidden="1">
      <c r="E46897" s="96"/>
    </row>
    <row r="46898" hidden="1">
      <c r="E46898" s="96"/>
    </row>
    <row r="46899" hidden="1">
      <c r="E46899" s="96"/>
    </row>
    <row r="46900" hidden="1">
      <c r="E46900" s="96"/>
    </row>
    <row r="46901" hidden="1">
      <c r="E46901" s="96"/>
    </row>
    <row r="46902" hidden="1">
      <c r="E46902" s="96"/>
    </row>
    <row r="46903" hidden="1">
      <c r="E46903" s="96"/>
    </row>
    <row r="46904" hidden="1">
      <c r="E46904" s="96"/>
    </row>
    <row r="46905" hidden="1">
      <c r="E46905" s="96"/>
    </row>
    <row r="46906" hidden="1">
      <c r="E46906" s="96"/>
    </row>
    <row r="46907" hidden="1">
      <c r="E46907" s="96"/>
    </row>
    <row r="46908" hidden="1">
      <c r="E46908" s="96"/>
    </row>
    <row r="46909" hidden="1">
      <c r="E46909" s="96"/>
    </row>
    <row r="46910" hidden="1">
      <c r="E46910" s="96"/>
    </row>
    <row r="46911" hidden="1">
      <c r="E46911" s="96"/>
    </row>
    <row r="46912" hidden="1">
      <c r="E46912" s="96"/>
    </row>
    <row r="46913" hidden="1">
      <c r="E46913" s="96"/>
    </row>
    <row r="46914" hidden="1">
      <c r="E46914" s="96"/>
    </row>
    <row r="46915" hidden="1">
      <c r="E46915" s="96"/>
    </row>
    <row r="46916" hidden="1">
      <c r="E46916" s="96"/>
    </row>
    <row r="46917" hidden="1">
      <c r="E46917" s="96"/>
    </row>
    <row r="46918" hidden="1">
      <c r="E46918" s="96"/>
    </row>
    <row r="46919" hidden="1">
      <c r="E46919" s="96"/>
    </row>
    <row r="46920" hidden="1">
      <c r="E46920" s="96"/>
    </row>
    <row r="46921" hidden="1">
      <c r="E46921" s="96"/>
    </row>
    <row r="46922" hidden="1">
      <c r="E46922" s="96"/>
    </row>
    <row r="46923" hidden="1">
      <c r="E46923" s="96"/>
    </row>
    <row r="46924" hidden="1">
      <c r="E46924" s="96"/>
    </row>
    <row r="46925" hidden="1">
      <c r="E46925" s="96"/>
    </row>
    <row r="46926" hidden="1">
      <c r="E46926" s="96"/>
    </row>
    <row r="46927" hidden="1">
      <c r="E46927" s="96"/>
    </row>
    <row r="46928" hidden="1">
      <c r="E46928" s="96"/>
    </row>
    <row r="46929" hidden="1">
      <c r="E46929" s="96"/>
    </row>
    <row r="46930" hidden="1">
      <c r="E46930" s="96"/>
    </row>
    <row r="46931" hidden="1">
      <c r="E46931" s="96"/>
    </row>
    <row r="46932" hidden="1">
      <c r="E46932" s="96"/>
    </row>
    <row r="46933" hidden="1">
      <c r="E46933" s="96"/>
    </row>
    <row r="46934" hidden="1">
      <c r="E46934" s="96"/>
    </row>
    <row r="46935" hidden="1">
      <c r="E46935" s="96"/>
    </row>
    <row r="46936" hidden="1">
      <c r="E46936" s="96"/>
    </row>
    <row r="46937" hidden="1">
      <c r="E46937" s="96"/>
    </row>
    <row r="46938" hidden="1">
      <c r="E46938" s="96"/>
    </row>
    <row r="46939" hidden="1">
      <c r="E46939" s="96"/>
    </row>
    <row r="46940" hidden="1">
      <c r="E46940" s="96"/>
    </row>
    <row r="46941" hidden="1">
      <c r="E46941" s="96"/>
    </row>
    <row r="46942" hidden="1">
      <c r="E46942" s="96"/>
    </row>
    <row r="46943" hidden="1">
      <c r="E46943" s="96"/>
    </row>
    <row r="46944" hidden="1">
      <c r="E46944" s="96"/>
    </row>
    <row r="46945" hidden="1">
      <c r="E46945" s="96"/>
    </row>
    <row r="46946" hidden="1">
      <c r="E46946" s="96"/>
    </row>
    <row r="46947" hidden="1">
      <c r="E46947" s="96"/>
    </row>
    <row r="46948" hidden="1">
      <c r="E46948" s="96"/>
    </row>
    <row r="46949" hidden="1">
      <c r="E46949" s="96"/>
    </row>
    <row r="46950" hidden="1">
      <c r="E46950" s="96"/>
    </row>
    <row r="46951" hidden="1">
      <c r="E46951" s="96"/>
    </row>
    <row r="46952" hidden="1">
      <c r="E46952" s="96"/>
    </row>
    <row r="46953" hidden="1">
      <c r="E46953" s="96"/>
    </row>
    <row r="46954" hidden="1">
      <c r="E46954" s="96"/>
    </row>
    <row r="46955" hidden="1">
      <c r="E46955" s="96"/>
    </row>
    <row r="46956" hidden="1">
      <c r="E46956" s="96"/>
    </row>
    <row r="46957" hidden="1">
      <c r="E46957" s="96"/>
    </row>
    <row r="46958" hidden="1">
      <c r="E46958" s="96"/>
    </row>
    <row r="46959" hidden="1">
      <c r="E46959" s="96"/>
    </row>
    <row r="46960" hidden="1">
      <c r="E46960" s="96"/>
    </row>
    <row r="46961" hidden="1">
      <c r="E46961" s="96"/>
    </row>
    <row r="46962" hidden="1">
      <c r="E46962" s="96"/>
    </row>
    <row r="46963" hidden="1">
      <c r="E46963" s="96"/>
    </row>
    <row r="46964" hidden="1">
      <c r="E46964" s="96"/>
    </row>
    <row r="46965" hidden="1">
      <c r="E46965" s="96"/>
    </row>
    <row r="46966" hidden="1">
      <c r="E46966" s="96"/>
    </row>
    <row r="46967" hidden="1">
      <c r="E46967" s="96"/>
    </row>
    <row r="46968" hidden="1">
      <c r="E46968" s="96"/>
    </row>
    <row r="46969" hidden="1">
      <c r="E46969" s="96"/>
    </row>
    <row r="46970" hidden="1">
      <c r="E46970" s="96"/>
    </row>
    <row r="46971" hidden="1">
      <c r="E46971" s="96"/>
    </row>
    <row r="46972" hidden="1">
      <c r="E46972" s="96"/>
    </row>
    <row r="46973" hidden="1">
      <c r="E46973" s="96"/>
    </row>
    <row r="46974" hidden="1">
      <c r="E46974" s="96"/>
    </row>
    <row r="46975" hidden="1">
      <c r="E46975" s="96"/>
    </row>
    <row r="46976" hidden="1">
      <c r="E46976" s="96"/>
    </row>
    <row r="46977" hidden="1">
      <c r="E46977" s="96"/>
    </row>
    <row r="46978" hidden="1">
      <c r="E46978" s="96"/>
    </row>
    <row r="46979" hidden="1">
      <c r="E46979" s="96"/>
    </row>
    <row r="46980" hidden="1">
      <c r="E46980" s="96"/>
    </row>
    <row r="46981" hidden="1">
      <c r="E46981" s="96"/>
    </row>
    <row r="46982" hidden="1">
      <c r="E46982" s="96"/>
    </row>
    <row r="46983" hidden="1">
      <c r="E46983" s="96"/>
    </row>
    <row r="46984" hidden="1">
      <c r="E46984" s="96"/>
    </row>
    <row r="46985" hidden="1">
      <c r="E46985" s="96"/>
    </row>
    <row r="46986" hidden="1">
      <c r="E46986" s="96"/>
    </row>
    <row r="46987" hidden="1">
      <c r="E46987" s="96"/>
    </row>
    <row r="46988" hidden="1">
      <c r="E46988" s="96"/>
    </row>
    <row r="46989" hidden="1">
      <c r="E46989" s="96"/>
    </row>
    <row r="46990" hidden="1">
      <c r="E46990" s="96"/>
    </row>
    <row r="46991" hidden="1">
      <c r="E46991" s="96"/>
    </row>
    <row r="46992" hidden="1">
      <c r="E46992" s="96"/>
    </row>
    <row r="46993" hidden="1">
      <c r="E46993" s="96"/>
    </row>
    <row r="46994" hidden="1">
      <c r="E46994" s="96"/>
    </row>
    <row r="46995" hidden="1">
      <c r="E46995" s="96"/>
    </row>
    <row r="46996" hidden="1">
      <c r="E46996" s="96"/>
    </row>
    <row r="46997" hidden="1">
      <c r="E46997" s="96"/>
    </row>
    <row r="46998" hidden="1">
      <c r="E46998" s="96"/>
    </row>
    <row r="46999" hidden="1">
      <c r="E46999" s="96"/>
    </row>
    <row r="47000" hidden="1">
      <c r="E47000" s="96"/>
    </row>
    <row r="47001" hidden="1">
      <c r="E47001" s="96"/>
    </row>
    <row r="47002" hidden="1">
      <c r="E47002" s="96"/>
    </row>
    <row r="47003" hidden="1">
      <c r="E47003" s="96"/>
    </row>
    <row r="47004" hidden="1">
      <c r="E47004" s="96"/>
    </row>
    <row r="47005" hidden="1">
      <c r="E47005" s="96"/>
    </row>
    <row r="47006" hidden="1">
      <c r="E47006" s="96"/>
    </row>
    <row r="47007" hidden="1">
      <c r="E47007" s="96"/>
    </row>
    <row r="47008" hidden="1">
      <c r="E47008" s="96"/>
    </row>
    <row r="47009" hidden="1">
      <c r="E47009" s="96"/>
    </row>
    <row r="47010" hidden="1">
      <c r="E47010" s="96"/>
    </row>
    <row r="47011" hidden="1">
      <c r="E47011" s="96"/>
    </row>
    <row r="47012" hidden="1">
      <c r="E47012" s="96"/>
    </row>
    <row r="47013" hidden="1">
      <c r="E47013" s="96"/>
    </row>
    <row r="47014" hidden="1">
      <c r="E47014" s="96"/>
    </row>
    <row r="47015" hidden="1">
      <c r="E47015" s="96"/>
    </row>
    <row r="47016" hidden="1">
      <c r="E47016" s="96"/>
    </row>
    <row r="47017" hidden="1">
      <c r="E47017" s="96"/>
    </row>
    <row r="47018" hidden="1">
      <c r="E47018" s="96"/>
    </row>
    <row r="47019" hidden="1">
      <c r="E47019" s="96"/>
    </row>
    <row r="47020" hidden="1">
      <c r="E47020" s="96"/>
    </row>
    <row r="47021" hidden="1">
      <c r="E47021" s="96"/>
    </row>
    <row r="47022" hidden="1">
      <c r="E47022" s="96"/>
    </row>
    <row r="47023" hidden="1">
      <c r="E47023" s="96"/>
    </row>
    <row r="47024" hidden="1">
      <c r="E47024" s="96"/>
    </row>
    <row r="47025" hidden="1">
      <c r="E47025" s="96"/>
    </row>
    <row r="47026" hidden="1">
      <c r="E47026" s="96"/>
    </row>
    <row r="47027" hidden="1">
      <c r="E47027" s="96"/>
    </row>
    <row r="47028" hidden="1">
      <c r="E47028" s="96"/>
    </row>
    <row r="47029" hidden="1">
      <c r="E47029" s="96"/>
    </row>
    <row r="47030" hidden="1">
      <c r="E47030" s="96"/>
    </row>
    <row r="47031" hidden="1">
      <c r="E47031" s="96"/>
    </row>
    <row r="47032" hidden="1">
      <c r="E47032" s="96"/>
    </row>
    <row r="47033" hidden="1">
      <c r="E47033" s="96"/>
    </row>
    <row r="47034" hidden="1">
      <c r="E47034" s="96"/>
    </row>
    <row r="47035" hidden="1">
      <c r="E47035" s="96"/>
    </row>
    <row r="47036" hidden="1">
      <c r="E47036" s="96"/>
    </row>
    <row r="47037" hidden="1">
      <c r="E47037" s="96"/>
    </row>
    <row r="47038" hidden="1">
      <c r="E47038" s="96"/>
    </row>
    <row r="47039" hidden="1">
      <c r="E47039" s="96"/>
    </row>
    <row r="47040" hidden="1">
      <c r="E47040" s="96"/>
    </row>
    <row r="47041" hidden="1">
      <c r="E47041" s="96"/>
    </row>
    <row r="47042" hidden="1">
      <c r="E47042" s="96"/>
    </row>
    <row r="47043" hidden="1">
      <c r="E47043" s="96"/>
    </row>
    <row r="47044" hidden="1">
      <c r="E47044" s="96"/>
    </row>
    <row r="47045" hidden="1">
      <c r="E47045" s="96"/>
    </row>
    <row r="47046" hidden="1">
      <c r="E47046" s="96"/>
    </row>
    <row r="47047" hidden="1">
      <c r="E47047" s="96"/>
    </row>
    <row r="47048" hidden="1">
      <c r="E47048" s="96"/>
    </row>
    <row r="47049" hidden="1">
      <c r="E47049" s="96"/>
    </row>
    <row r="47050" hidden="1">
      <c r="E47050" s="96"/>
    </row>
    <row r="47051" hidden="1">
      <c r="E47051" s="96"/>
    </row>
    <row r="47052" hidden="1">
      <c r="E47052" s="96"/>
    </row>
    <row r="47053" hidden="1">
      <c r="E47053" s="96"/>
    </row>
    <row r="47054" hidden="1">
      <c r="E47054" s="96"/>
    </row>
    <row r="47055" hidden="1">
      <c r="E47055" s="96"/>
    </row>
    <row r="47056" hidden="1">
      <c r="E47056" s="96"/>
    </row>
    <row r="47057" hidden="1">
      <c r="E47057" s="96"/>
    </row>
    <row r="47058" hidden="1">
      <c r="E47058" s="96"/>
    </row>
    <row r="47059" hidden="1">
      <c r="E47059" s="96"/>
    </row>
    <row r="47060" hidden="1">
      <c r="E47060" s="96"/>
    </row>
    <row r="47061" hidden="1">
      <c r="E47061" s="96"/>
    </row>
    <row r="47062" hidden="1">
      <c r="E47062" s="96"/>
    </row>
    <row r="47063" hidden="1">
      <c r="E47063" s="96"/>
    </row>
    <row r="47064" hidden="1">
      <c r="E47064" s="96"/>
    </row>
    <row r="47065" hidden="1">
      <c r="E47065" s="96"/>
    </row>
    <row r="47066" hidden="1">
      <c r="E47066" s="96"/>
    </row>
    <row r="47067" hidden="1">
      <c r="E47067" s="96"/>
    </row>
    <row r="47068" hidden="1">
      <c r="E47068" s="96"/>
    </row>
    <row r="47069" hidden="1">
      <c r="E47069" s="96"/>
    </row>
    <row r="47070" hidden="1">
      <c r="E47070" s="96"/>
    </row>
    <row r="47071" hidden="1">
      <c r="E47071" s="96"/>
    </row>
    <row r="47072" hidden="1">
      <c r="E47072" s="96"/>
    </row>
    <row r="47073" hidden="1">
      <c r="E47073" s="96"/>
    </row>
    <row r="47074" hidden="1">
      <c r="E47074" s="96"/>
    </row>
    <row r="47075" hidden="1">
      <c r="E47075" s="96"/>
    </row>
    <row r="47076" hidden="1">
      <c r="E47076" s="96"/>
    </row>
    <row r="47077" hidden="1">
      <c r="E47077" s="96"/>
    </row>
    <row r="47078" hidden="1">
      <c r="E47078" s="96"/>
    </row>
    <row r="47079" hidden="1">
      <c r="E47079" s="96"/>
    </row>
    <row r="47080" hidden="1">
      <c r="E47080" s="96"/>
    </row>
    <row r="47081" hidden="1">
      <c r="E47081" s="96"/>
    </row>
    <row r="47082" hidden="1">
      <c r="E47082" s="96"/>
    </row>
    <row r="47083" hidden="1">
      <c r="E47083" s="96"/>
    </row>
    <row r="47084" hidden="1">
      <c r="E47084" s="96"/>
    </row>
    <row r="47085" hidden="1">
      <c r="E47085" s="96"/>
    </row>
    <row r="47086" hidden="1">
      <c r="E47086" s="96"/>
    </row>
    <row r="47087" hidden="1">
      <c r="E47087" s="96"/>
    </row>
    <row r="47088" hidden="1">
      <c r="E47088" s="96"/>
    </row>
    <row r="47089" hidden="1">
      <c r="E47089" s="96"/>
    </row>
    <row r="47090" hidden="1">
      <c r="E47090" s="96"/>
    </row>
    <row r="47091" hidden="1">
      <c r="E47091" s="96"/>
    </row>
    <row r="47092" hidden="1">
      <c r="E47092" s="96"/>
    </row>
    <row r="47093" hidden="1">
      <c r="E47093" s="96"/>
    </row>
    <row r="47094" hidden="1">
      <c r="E47094" s="96"/>
    </row>
    <row r="47095" hidden="1">
      <c r="E47095" s="96"/>
    </row>
    <row r="47096" hidden="1">
      <c r="E47096" s="96"/>
    </row>
    <row r="47097" hidden="1">
      <c r="E47097" s="96"/>
    </row>
    <row r="47098" hidden="1">
      <c r="E47098" s="96"/>
    </row>
    <row r="47099" hidden="1">
      <c r="E47099" s="96"/>
    </row>
    <row r="47100" hidden="1">
      <c r="E47100" s="96"/>
    </row>
    <row r="47101" hidden="1">
      <c r="E47101" s="96"/>
    </row>
    <row r="47102" hidden="1">
      <c r="E47102" s="96"/>
    </row>
    <row r="47103" hidden="1">
      <c r="E47103" s="96"/>
    </row>
    <row r="47104" hidden="1">
      <c r="E47104" s="96"/>
    </row>
    <row r="47105" hidden="1">
      <c r="E47105" s="96"/>
    </row>
    <row r="47106" hidden="1">
      <c r="E47106" s="96"/>
    </row>
    <row r="47107" hidden="1">
      <c r="E47107" s="96"/>
    </row>
    <row r="47108" hidden="1">
      <c r="E47108" s="96"/>
    </row>
    <row r="47109" hidden="1">
      <c r="E47109" s="96"/>
    </row>
    <row r="47110" hidden="1">
      <c r="E47110" s="96"/>
    </row>
    <row r="47111" hidden="1">
      <c r="E47111" s="96"/>
    </row>
    <row r="47112" hidden="1">
      <c r="E47112" s="96"/>
    </row>
    <row r="47113" hidden="1">
      <c r="E47113" s="96"/>
    </row>
    <row r="47114" hidden="1">
      <c r="E47114" s="96"/>
    </row>
    <row r="47115" hidden="1">
      <c r="E47115" s="96"/>
    </row>
    <row r="47116" hidden="1">
      <c r="E47116" s="96"/>
    </row>
    <row r="47117" hidden="1">
      <c r="E47117" s="96"/>
    </row>
    <row r="47118" hidden="1">
      <c r="E47118" s="96"/>
    </row>
    <row r="47119" hidden="1">
      <c r="E47119" s="96"/>
    </row>
    <row r="47120" hidden="1">
      <c r="E47120" s="96"/>
    </row>
    <row r="47121" hidden="1">
      <c r="E47121" s="96"/>
    </row>
    <row r="47122" hidden="1">
      <c r="E47122" s="96"/>
    </row>
    <row r="47123" hidden="1">
      <c r="E47123" s="96"/>
    </row>
    <row r="47124" hidden="1">
      <c r="E47124" s="96"/>
    </row>
    <row r="47125" hidden="1">
      <c r="E47125" s="96"/>
    </row>
    <row r="47126" hidden="1">
      <c r="E47126" s="96"/>
    </row>
    <row r="47127" hidden="1">
      <c r="E47127" s="96"/>
    </row>
    <row r="47128" hidden="1">
      <c r="E47128" s="96"/>
    </row>
    <row r="47129" hidden="1">
      <c r="E47129" s="96"/>
    </row>
    <row r="47130" hidden="1">
      <c r="E47130" s="96"/>
    </row>
    <row r="47131" hidden="1">
      <c r="E47131" s="96"/>
    </row>
    <row r="47132" hidden="1">
      <c r="E47132" s="96"/>
    </row>
    <row r="47133" hidden="1">
      <c r="E47133" s="96"/>
    </row>
    <row r="47134" hidden="1">
      <c r="E47134" s="96"/>
    </row>
    <row r="47135" hidden="1">
      <c r="E47135" s="96"/>
    </row>
    <row r="47136" hidden="1">
      <c r="E47136" s="96"/>
    </row>
    <row r="47137" hidden="1">
      <c r="E47137" s="96"/>
    </row>
    <row r="47138" hidden="1">
      <c r="E47138" s="96"/>
    </row>
    <row r="47139" hidden="1">
      <c r="E47139" s="96"/>
    </row>
    <row r="47140" hidden="1">
      <c r="E47140" s="96"/>
    </row>
    <row r="47141" hidden="1">
      <c r="E47141" s="96"/>
    </row>
    <row r="47142" hidden="1">
      <c r="E47142" s="96"/>
    </row>
    <row r="47143" hidden="1">
      <c r="E47143" s="96"/>
    </row>
    <row r="47144" hidden="1">
      <c r="E47144" s="96"/>
    </row>
    <row r="47145" hidden="1">
      <c r="E47145" s="96"/>
    </row>
    <row r="47146" hidden="1">
      <c r="E47146" s="96"/>
    </row>
    <row r="47147" hidden="1">
      <c r="E47147" s="96"/>
    </row>
    <row r="47148" hidden="1">
      <c r="E47148" s="96"/>
    </row>
    <row r="47149" hidden="1">
      <c r="E47149" s="96"/>
    </row>
    <row r="47150" hidden="1">
      <c r="E47150" s="96"/>
    </row>
    <row r="47151" hidden="1">
      <c r="E47151" s="96"/>
    </row>
    <row r="47152" hidden="1">
      <c r="E47152" s="96"/>
    </row>
    <row r="47153" hidden="1">
      <c r="E47153" s="96"/>
    </row>
    <row r="47154" hidden="1">
      <c r="E47154" s="96"/>
    </row>
    <row r="47155" hidden="1">
      <c r="E47155" s="96"/>
    </row>
    <row r="47156" hidden="1">
      <c r="E47156" s="96"/>
    </row>
    <row r="47157" hidden="1">
      <c r="E47157" s="96"/>
    </row>
    <row r="47158" hidden="1">
      <c r="E47158" s="96"/>
    </row>
    <row r="47159" hidden="1">
      <c r="E47159" s="96"/>
    </row>
    <row r="47160" hidden="1">
      <c r="E47160" s="96"/>
    </row>
    <row r="47161" hidden="1">
      <c r="E47161" s="96"/>
    </row>
    <row r="47162" hidden="1">
      <c r="E47162" s="96"/>
    </row>
    <row r="47163" hidden="1">
      <c r="E47163" s="96"/>
    </row>
    <row r="47164" hidden="1">
      <c r="E47164" s="96"/>
    </row>
    <row r="47165" hidden="1">
      <c r="E47165" s="96"/>
    </row>
    <row r="47166" hidden="1">
      <c r="E47166" s="96"/>
    </row>
    <row r="47167" hidden="1">
      <c r="E47167" s="96"/>
    </row>
    <row r="47168" hidden="1">
      <c r="E47168" s="96"/>
    </row>
    <row r="47169" hidden="1">
      <c r="E47169" s="96"/>
    </row>
    <row r="47170" hidden="1">
      <c r="E47170" s="96"/>
    </row>
    <row r="47171" hidden="1">
      <c r="E47171" s="96"/>
    </row>
    <row r="47172" hidden="1">
      <c r="E47172" s="96"/>
    </row>
    <row r="47173" hidden="1">
      <c r="E47173" s="96"/>
    </row>
    <row r="47174" hidden="1">
      <c r="E47174" s="96"/>
    </row>
    <row r="47175" hidden="1">
      <c r="E47175" s="96"/>
    </row>
    <row r="47176" hidden="1">
      <c r="E47176" s="96"/>
    </row>
    <row r="47177" hidden="1">
      <c r="E47177" s="96"/>
    </row>
    <row r="47178" hidden="1">
      <c r="E47178" s="96"/>
    </row>
    <row r="47179" hidden="1">
      <c r="E47179" s="96"/>
    </row>
    <row r="47180" hidden="1">
      <c r="E47180" s="96"/>
    </row>
    <row r="47181" hidden="1">
      <c r="E47181" s="96"/>
    </row>
    <row r="47182" hidden="1">
      <c r="E47182" s="96"/>
    </row>
    <row r="47183" hidden="1">
      <c r="E47183" s="96"/>
    </row>
    <row r="47184" hidden="1">
      <c r="E47184" s="96"/>
    </row>
    <row r="47185" hidden="1">
      <c r="E47185" s="96"/>
    </row>
    <row r="47186" hidden="1">
      <c r="E47186" s="96"/>
    </row>
    <row r="47187" hidden="1">
      <c r="E47187" s="96"/>
    </row>
    <row r="47188" hidden="1">
      <c r="E47188" s="96"/>
    </row>
    <row r="47189" hidden="1">
      <c r="E47189" s="96"/>
    </row>
    <row r="47190" hidden="1">
      <c r="E47190" s="96"/>
    </row>
    <row r="47191" hidden="1">
      <c r="E47191" s="96"/>
    </row>
    <row r="47192" hidden="1">
      <c r="E47192" s="96"/>
    </row>
    <row r="47193" hidden="1">
      <c r="E47193" s="96"/>
    </row>
    <row r="47194" hidden="1">
      <c r="E47194" s="96"/>
    </row>
    <row r="47195" hidden="1">
      <c r="E47195" s="96"/>
    </row>
    <row r="47196" hidden="1">
      <c r="E47196" s="96"/>
    </row>
    <row r="47197" hidden="1">
      <c r="E47197" s="96"/>
    </row>
    <row r="47198" hidden="1">
      <c r="E47198" s="96"/>
    </row>
    <row r="47199" hidden="1">
      <c r="E47199" s="96"/>
    </row>
    <row r="47200" hidden="1">
      <c r="E47200" s="96"/>
    </row>
    <row r="47201" hidden="1">
      <c r="E47201" s="96"/>
    </row>
    <row r="47202" hidden="1">
      <c r="E47202" s="96"/>
    </row>
    <row r="47203" hidden="1">
      <c r="E47203" s="96"/>
    </row>
    <row r="47204" hidden="1">
      <c r="E47204" s="96"/>
    </row>
    <row r="47205" hidden="1">
      <c r="E47205" s="96"/>
    </row>
    <row r="47206" hidden="1">
      <c r="E47206" s="96"/>
    </row>
    <row r="47207" hidden="1">
      <c r="E47207" s="96"/>
    </row>
    <row r="47208" hidden="1">
      <c r="E47208" s="96"/>
    </row>
    <row r="47209" hidden="1">
      <c r="E47209" s="96"/>
    </row>
    <row r="47210" hidden="1">
      <c r="E47210" s="96"/>
    </row>
    <row r="47211" hidden="1">
      <c r="E47211" s="96"/>
    </row>
    <row r="47212" hidden="1">
      <c r="E47212" s="96"/>
    </row>
    <row r="47213" hidden="1">
      <c r="E47213" s="96"/>
    </row>
    <row r="47214" hidden="1">
      <c r="E47214" s="96"/>
    </row>
    <row r="47215" hidden="1">
      <c r="E47215" s="96"/>
    </row>
    <row r="47216" hidden="1">
      <c r="E47216" s="96"/>
    </row>
    <row r="47217" hidden="1">
      <c r="E47217" s="96"/>
    </row>
    <row r="47218" hidden="1">
      <c r="E47218" s="96"/>
    </row>
    <row r="47219" hidden="1">
      <c r="E47219" s="96"/>
    </row>
    <row r="47220" hidden="1">
      <c r="E47220" s="96"/>
    </row>
    <row r="47221" hidden="1">
      <c r="E47221" s="96"/>
    </row>
    <row r="47222" hidden="1">
      <c r="E47222" s="96"/>
    </row>
    <row r="47223" hidden="1">
      <c r="E47223" s="96"/>
    </row>
    <row r="47224" hidden="1">
      <c r="E47224" s="96"/>
    </row>
    <row r="47225" hidden="1">
      <c r="E47225" s="96"/>
    </row>
    <row r="47226" hidden="1">
      <c r="E47226" s="96"/>
    </row>
    <row r="47227" hidden="1">
      <c r="E47227" s="96"/>
    </row>
    <row r="47228" hidden="1">
      <c r="E47228" s="96"/>
    </row>
    <row r="47229" hidden="1">
      <c r="E47229" s="96"/>
    </row>
    <row r="47230" hidden="1">
      <c r="E47230" s="96"/>
    </row>
    <row r="47231" hidden="1">
      <c r="E47231" s="96"/>
    </row>
    <row r="47232" hidden="1">
      <c r="E47232" s="96"/>
    </row>
    <row r="47233" hidden="1">
      <c r="E47233" s="96"/>
    </row>
    <row r="47234" hidden="1">
      <c r="E47234" s="96"/>
    </row>
    <row r="47235" hidden="1">
      <c r="E47235" s="96"/>
    </row>
    <row r="47236" hidden="1">
      <c r="E47236" s="96"/>
    </row>
    <row r="47237" hidden="1">
      <c r="E47237" s="96"/>
    </row>
    <row r="47238" hidden="1">
      <c r="E47238" s="96"/>
    </row>
    <row r="47239" hidden="1">
      <c r="E47239" s="96"/>
    </row>
    <row r="47240" hidden="1">
      <c r="E47240" s="96"/>
    </row>
    <row r="47241" hidden="1">
      <c r="E47241" s="96"/>
    </row>
    <row r="47242" hidden="1">
      <c r="E47242" s="96"/>
    </row>
    <row r="47243" hidden="1">
      <c r="E47243" s="96"/>
    </row>
    <row r="47244" hidden="1">
      <c r="E47244" s="96"/>
    </row>
    <row r="47245" hidden="1">
      <c r="E47245" s="96"/>
    </row>
    <row r="47246" hidden="1">
      <c r="E47246" s="96"/>
    </row>
    <row r="47247" hidden="1">
      <c r="E47247" s="96"/>
    </row>
    <row r="47248" hidden="1">
      <c r="E47248" s="96"/>
    </row>
    <row r="47249" hidden="1">
      <c r="E47249" s="96"/>
    </row>
    <row r="47250" hidden="1">
      <c r="E47250" s="96"/>
    </row>
    <row r="47251" hidden="1">
      <c r="E47251" s="96"/>
    </row>
    <row r="47252" hidden="1">
      <c r="E47252" s="96"/>
    </row>
    <row r="47253" hidden="1">
      <c r="E47253" s="96"/>
    </row>
    <row r="47254" hidden="1">
      <c r="E47254" s="96"/>
    </row>
    <row r="47255" hidden="1">
      <c r="E47255" s="96"/>
    </row>
    <row r="47256" hidden="1">
      <c r="E47256" s="96"/>
    </row>
    <row r="47257" hidden="1">
      <c r="E47257" s="96"/>
    </row>
    <row r="47258" hidden="1">
      <c r="E47258" s="96"/>
    </row>
    <row r="47259" hidden="1">
      <c r="E47259" s="96"/>
    </row>
    <row r="47260" hidden="1">
      <c r="E47260" s="96"/>
    </row>
    <row r="47261" hidden="1">
      <c r="E47261" s="96"/>
    </row>
    <row r="47262" hidden="1">
      <c r="E47262" s="96"/>
    </row>
    <row r="47263" hidden="1">
      <c r="E47263" s="96"/>
    </row>
    <row r="47264" hidden="1">
      <c r="E47264" s="96"/>
    </row>
    <row r="47265" hidden="1">
      <c r="E47265" s="96"/>
    </row>
    <row r="47266" hidden="1">
      <c r="E47266" s="96"/>
    </row>
    <row r="47267" hidden="1">
      <c r="E47267" s="96"/>
    </row>
    <row r="47268" hidden="1">
      <c r="E47268" s="96"/>
    </row>
    <row r="47269" hidden="1">
      <c r="E47269" s="96"/>
    </row>
    <row r="47270" hidden="1">
      <c r="E47270" s="96"/>
    </row>
    <row r="47271" hidden="1">
      <c r="E47271" s="96"/>
    </row>
    <row r="47272" hidden="1">
      <c r="E47272" s="96"/>
    </row>
    <row r="47273" hidden="1">
      <c r="E47273" s="96"/>
    </row>
    <row r="47274" hidden="1">
      <c r="E47274" s="96"/>
    </row>
    <row r="47275" hidden="1">
      <c r="E47275" s="96"/>
    </row>
    <row r="47276" hidden="1">
      <c r="E47276" s="96"/>
    </row>
    <row r="47277" hidden="1">
      <c r="E47277" s="96"/>
    </row>
    <row r="47278" hidden="1">
      <c r="E47278" s="96"/>
    </row>
    <row r="47279" hidden="1">
      <c r="E47279" s="96"/>
    </row>
    <row r="47280" hidden="1">
      <c r="E47280" s="96"/>
    </row>
    <row r="47281" hidden="1">
      <c r="E47281" s="96"/>
    </row>
    <row r="47282" hidden="1">
      <c r="E47282" s="96"/>
    </row>
    <row r="47283" hidden="1">
      <c r="E47283" s="96"/>
    </row>
    <row r="47284" hidden="1">
      <c r="E47284" s="96"/>
    </row>
    <row r="47285" hidden="1">
      <c r="E47285" s="96"/>
    </row>
    <row r="47286" hidden="1">
      <c r="E47286" s="96"/>
    </row>
    <row r="47287" hidden="1">
      <c r="E47287" s="96"/>
    </row>
    <row r="47288" hidden="1">
      <c r="E47288" s="96"/>
    </row>
    <row r="47289" hidden="1">
      <c r="E47289" s="96"/>
    </row>
    <row r="47290" hidden="1">
      <c r="E47290" s="96"/>
    </row>
    <row r="47291" hidden="1">
      <c r="E47291" s="96"/>
    </row>
    <row r="47292" hidden="1">
      <c r="E47292" s="96"/>
    </row>
    <row r="47293" hidden="1">
      <c r="E47293" s="96"/>
    </row>
    <row r="47294" hidden="1">
      <c r="E47294" s="96"/>
    </row>
    <row r="47295" hidden="1">
      <c r="E47295" s="96"/>
    </row>
    <row r="47296" hidden="1">
      <c r="E47296" s="96"/>
    </row>
    <row r="47297" hidden="1">
      <c r="E47297" s="96"/>
    </row>
    <row r="47298" hidden="1">
      <c r="E47298" s="96"/>
    </row>
    <row r="47299" hidden="1">
      <c r="E47299" s="96"/>
    </row>
    <row r="47300" hidden="1">
      <c r="E47300" s="96"/>
    </row>
    <row r="47301" hidden="1">
      <c r="E47301" s="96"/>
    </row>
    <row r="47302" hidden="1">
      <c r="E47302" s="96"/>
    </row>
    <row r="47303" hidden="1">
      <c r="E47303" s="96"/>
    </row>
    <row r="47304" hidden="1">
      <c r="E47304" s="96"/>
    </row>
    <row r="47305" hidden="1">
      <c r="E47305" s="96"/>
    </row>
    <row r="47306" hidden="1">
      <c r="E47306" s="96"/>
    </row>
    <row r="47307" hidden="1">
      <c r="E47307" s="96"/>
    </row>
    <row r="47308" hidden="1">
      <c r="E47308" s="96"/>
    </row>
    <row r="47309" hidden="1">
      <c r="E47309" s="96"/>
    </row>
    <row r="47310" hidden="1">
      <c r="E47310" s="96"/>
    </row>
    <row r="47311" hidden="1">
      <c r="E47311" s="96"/>
    </row>
    <row r="47312" hidden="1">
      <c r="E47312" s="96"/>
    </row>
    <row r="47313" hidden="1">
      <c r="E47313" s="96"/>
    </row>
    <row r="47314" hidden="1">
      <c r="E47314" s="96"/>
    </row>
    <row r="47315" hidden="1">
      <c r="E47315" s="96"/>
    </row>
    <row r="47316" hidden="1">
      <c r="E47316" s="96"/>
    </row>
    <row r="47317" hidden="1">
      <c r="E47317" s="96"/>
    </row>
    <row r="47318" hidden="1">
      <c r="E47318" s="96"/>
    </row>
    <row r="47319" hidden="1">
      <c r="E47319" s="96"/>
    </row>
    <row r="47320" hidden="1">
      <c r="E47320" s="96"/>
    </row>
    <row r="47321" hidden="1">
      <c r="E47321" s="96"/>
    </row>
    <row r="47322" hidden="1">
      <c r="E47322" s="96"/>
    </row>
    <row r="47323" hidden="1">
      <c r="E47323" s="96"/>
    </row>
    <row r="47324" hidden="1">
      <c r="E47324" s="96"/>
    </row>
    <row r="47325" hidden="1">
      <c r="E47325" s="96"/>
    </row>
    <row r="47326" hidden="1">
      <c r="E47326" s="96"/>
    </row>
    <row r="47327" hidden="1">
      <c r="E47327" s="96"/>
    </row>
    <row r="47328" hidden="1">
      <c r="E47328" s="96"/>
    </row>
    <row r="47329" hidden="1">
      <c r="E47329" s="96"/>
    </row>
    <row r="47330" hidden="1">
      <c r="E47330" s="96"/>
    </row>
    <row r="47331" hidden="1">
      <c r="E47331" s="96"/>
    </row>
    <row r="47332" hidden="1">
      <c r="E47332" s="96"/>
    </row>
    <row r="47333" hidden="1">
      <c r="E47333" s="96"/>
    </row>
    <row r="47334" hidden="1">
      <c r="E47334" s="96"/>
    </row>
    <row r="47335" hidden="1">
      <c r="E47335" s="96"/>
    </row>
    <row r="47336" hidden="1">
      <c r="E47336" s="96"/>
    </row>
    <row r="47337" hidden="1">
      <c r="E47337" s="96"/>
    </row>
    <row r="47338" hidden="1">
      <c r="E47338" s="96"/>
    </row>
    <row r="47339" hidden="1">
      <c r="E47339" s="96"/>
    </row>
    <row r="47340" hidden="1">
      <c r="E47340" s="96"/>
    </row>
    <row r="47341" hidden="1">
      <c r="E47341" s="96"/>
    </row>
    <row r="47342" hidden="1">
      <c r="E47342" s="96"/>
    </row>
    <row r="47343" hidden="1">
      <c r="E47343" s="96"/>
    </row>
    <row r="47344" hidden="1">
      <c r="E47344" s="96"/>
    </row>
    <row r="47345" hidden="1">
      <c r="E47345" s="96"/>
    </row>
    <row r="47346" hidden="1">
      <c r="E47346" s="96"/>
    </row>
    <row r="47347" hidden="1">
      <c r="E47347" s="96"/>
    </row>
    <row r="47348" hidden="1">
      <c r="E47348" s="96"/>
    </row>
    <row r="47349" hidden="1">
      <c r="E47349" s="96"/>
    </row>
    <row r="47350" hidden="1">
      <c r="E47350" s="96"/>
    </row>
    <row r="47351" hidden="1">
      <c r="E47351" s="96"/>
    </row>
    <row r="47352" hidden="1">
      <c r="E47352" s="96"/>
    </row>
    <row r="47353" hidden="1">
      <c r="E47353" s="96"/>
    </row>
    <row r="47354" hidden="1">
      <c r="E47354" s="96"/>
    </row>
    <row r="47355" hidden="1">
      <c r="E47355" s="96"/>
    </row>
    <row r="47356" hidden="1">
      <c r="E47356" s="96"/>
    </row>
    <row r="47357" hidden="1">
      <c r="E47357" s="96"/>
    </row>
    <row r="47358" hidden="1">
      <c r="E47358" s="96"/>
    </row>
    <row r="47359" hidden="1">
      <c r="E47359" s="96"/>
    </row>
    <row r="47360" hidden="1">
      <c r="E47360" s="96"/>
    </row>
    <row r="47361" hidden="1">
      <c r="E47361" s="96"/>
    </row>
    <row r="47362" hidden="1">
      <c r="E47362" s="96"/>
    </row>
    <row r="47363" hidden="1">
      <c r="E47363" s="96"/>
    </row>
    <row r="47364" hidden="1">
      <c r="E47364" s="96"/>
    </row>
    <row r="47365" hidden="1">
      <c r="E47365" s="96"/>
    </row>
    <row r="47366" hidden="1">
      <c r="E47366" s="96"/>
    </row>
    <row r="47367" hidden="1">
      <c r="E47367" s="96"/>
    </row>
    <row r="47368" hidden="1">
      <c r="E47368" s="96"/>
    </row>
    <row r="47369" hidden="1">
      <c r="E47369" s="96"/>
    </row>
    <row r="47370" hidden="1">
      <c r="E47370" s="96"/>
    </row>
    <row r="47371" hidden="1">
      <c r="E47371" s="96"/>
    </row>
    <row r="47372" hidden="1">
      <c r="E47372" s="96"/>
    </row>
    <row r="47373" hidden="1">
      <c r="E47373" s="96"/>
    </row>
    <row r="47374" hidden="1">
      <c r="E47374" s="96"/>
    </row>
    <row r="47375" hidden="1">
      <c r="E47375" s="96"/>
    </row>
    <row r="47376" hidden="1">
      <c r="E47376" s="96"/>
    </row>
    <row r="47377" hidden="1">
      <c r="E47377" s="96"/>
    </row>
    <row r="47378" hidden="1">
      <c r="E47378" s="96"/>
    </row>
    <row r="47379" hidden="1">
      <c r="E47379" s="96"/>
    </row>
    <row r="47380" hidden="1">
      <c r="E47380" s="96"/>
    </row>
    <row r="47381" hidden="1">
      <c r="E47381" s="96"/>
    </row>
    <row r="47382" hidden="1">
      <c r="E47382" s="96"/>
    </row>
    <row r="47383" hidden="1">
      <c r="E47383" s="96"/>
    </row>
    <row r="47384" hidden="1">
      <c r="E47384" s="96"/>
    </row>
    <row r="47385" hidden="1">
      <c r="E47385" s="96"/>
    </row>
    <row r="47386" hidden="1">
      <c r="E47386" s="96"/>
    </row>
    <row r="47387" hidden="1">
      <c r="E47387" s="96"/>
    </row>
    <row r="47388" hidden="1">
      <c r="E47388" s="96"/>
    </row>
    <row r="47389" hidden="1">
      <c r="E47389" s="96"/>
    </row>
    <row r="47390" hidden="1">
      <c r="E47390" s="96"/>
    </row>
    <row r="47391" hidden="1">
      <c r="E47391" s="96"/>
    </row>
    <row r="47392" hidden="1">
      <c r="E47392" s="96"/>
    </row>
    <row r="47393" hidden="1">
      <c r="E47393" s="96"/>
    </row>
    <row r="47394" hidden="1">
      <c r="E47394" s="96"/>
    </row>
    <row r="47395" hidden="1">
      <c r="E47395" s="96"/>
    </row>
    <row r="47396" hidden="1">
      <c r="E47396" s="96"/>
    </row>
    <row r="47397" hidden="1">
      <c r="E47397" s="96"/>
    </row>
    <row r="47398" hidden="1">
      <c r="E47398" s="96"/>
    </row>
    <row r="47399" hidden="1">
      <c r="E47399" s="96"/>
    </row>
    <row r="47400" hidden="1">
      <c r="E47400" s="96"/>
    </row>
    <row r="47401" hidden="1">
      <c r="E47401" s="96"/>
    </row>
    <row r="47402" hidden="1">
      <c r="E47402" s="96"/>
    </row>
    <row r="47403" hidden="1">
      <c r="E47403" s="96"/>
    </row>
    <row r="47404" hidden="1">
      <c r="E47404" s="96"/>
    </row>
    <row r="47405" hidden="1">
      <c r="E47405" s="96"/>
    </row>
    <row r="47406" hidden="1">
      <c r="E47406" s="96"/>
    </row>
    <row r="47407" hidden="1">
      <c r="E47407" s="96"/>
    </row>
    <row r="47408" hidden="1">
      <c r="E47408" s="96"/>
    </row>
    <row r="47409" hidden="1">
      <c r="E47409" s="96"/>
    </row>
    <row r="47410" hidden="1">
      <c r="E47410" s="96"/>
    </row>
    <row r="47411" hidden="1">
      <c r="E47411" s="96"/>
    </row>
    <row r="47412" hidden="1">
      <c r="E47412" s="96"/>
    </row>
    <row r="47413" hidden="1">
      <c r="E47413" s="96"/>
    </row>
    <row r="47414" hidden="1">
      <c r="E47414" s="96"/>
    </row>
    <row r="47415" hidden="1">
      <c r="E47415" s="96"/>
    </row>
    <row r="47416" hidden="1">
      <c r="E47416" s="96"/>
    </row>
    <row r="47417" hidden="1">
      <c r="E47417" s="96"/>
    </row>
    <row r="47418" hidden="1">
      <c r="E47418" s="96"/>
    </row>
    <row r="47419" hidden="1">
      <c r="E47419" s="96"/>
    </row>
    <row r="47420" hidden="1">
      <c r="E47420" s="96"/>
    </row>
    <row r="47421" hidden="1">
      <c r="E47421" s="96"/>
    </row>
    <row r="47422" hidden="1">
      <c r="E47422" s="96"/>
    </row>
    <row r="47423" hidden="1">
      <c r="E47423" s="96"/>
    </row>
    <row r="47424" hidden="1">
      <c r="E47424" s="96"/>
    </row>
    <row r="47425" hidden="1">
      <c r="E47425" s="96"/>
    </row>
    <row r="47426" hidden="1">
      <c r="E47426" s="96"/>
    </row>
    <row r="47427" hidden="1">
      <c r="E47427" s="96"/>
    </row>
    <row r="47428" hidden="1">
      <c r="E47428" s="96"/>
    </row>
    <row r="47429" hidden="1">
      <c r="E47429" s="96"/>
    </row>
    <row r="47430" hidden="1">
      <c r="E47430" s="96"/>
    </row>
    <row r="47431" hidden="1">
      <c r="E47431" s="96"/>
    </row>
    <row r="47432" hidden="1">
      <c r="E47432" s="96"/>
    </row>
    <row r="47433" hidden="1">
      <c r="E47433" s="96"/>
    </row>
    <row r="47434" hidden="1">
      <c r="E47434" s="96"/>
    </row>
    <row r="47435" hidden="1">
      <c r="E47435" s="96"/>
    </row>
    <row r="47436" hidden="1">
      <c r="E47436" s="96"/>
    </row>
    <row r="47437" hidden="1">
      <c r="E47437" s="96"/>
    </row>
    <row r="47438" hidden="1">
      <c r="E47438" s="96"/>
    </row>
    <row r="47439" hidden="1">
      <c r="E47439" s="96"/>
    </row>
    <row r="47440" hidden="1">
      <c r="E47440" s="96"/>
    </row>
    <row r="47441" hidden="1">
      <c r="E47441" s="96"/>
    </row>
    <row r="47442" hidden="1">
      <c r="E47442" s="96"/>
    </row>
    <row r="47443" hidden="1">
      <c r="E47443" s="96"/>
    </row>
    <row r="47444" hidden="1">
      <c r="E47444" s="96"/>
    </row>
    <row r="47445" hidden="1">
      <c r="E47445" s="96"/>
    </row>
    <row r="47446" hidden="1">
      <c r="E47446" s="96"/>
    </row>
    <row r="47447" hidden="1">
      <c r="E47447" s="96"/>
    </row>
    <row r="47448" hidden="1">
      <c r="E47448" s="96"/>
    </row>
    <row r="47449" hidden="1">
      <c r="E47449" s="96"/>
    </row>
    <row r="47450" hidden="1">
      <c r="E47450" s="96"/>
    </row>
    <row r="47451" hidden="1">
      <c r="E47451" s="96"/>
    </row>
    <row r="47452" hidden="1">
      <c r="E47452" s="96"/>
    </row>
    <row r="47453" hidden="1">
      <c r="E47453" s="96"/>
    </row>
    <row r="47454" hidden="1">
      <c r="E47454" s="96"/>
    </row>
    <row r="47455" hidden="1">
      <c r="E47455" s="96"/>
    </row>
    <row r="47456" hidden="1">
      <c r="E47456" s="96"/>
    </row>
    <row r="47457" hidden="1">
      <c r="E47457" s="96"/>
    </row>
    <row r="47458" hidden="1">
      <c r="E47458" s="96"/>
    </row>
    <row r="47459" hidden="1">
      <c r="E47459" s="96"/>
    </row>
    <row r="47460" hidden="1">
      <c r="E47460" s="96"/>
    </row>
    <row r="47461" hidden="1">
      <c r="E47461" s="96"/>
    </row>
    <row r="47462" hidden="1">
      <c r="E47462" s="96"/>
    </row>
    <row r="47463" hidden="1">
      <c r="E47463" s="96"/>
    </row>
    <row r="47464" hidden="1">
      <c r="E47464" s="96"/>
    </row>
    <row r="47465" hidden="1">
      <c r="E47465" s="96"/>
    </row>
    <row r="47466" hidden="1">
      <c r="E47466" s="96"/>
    </row>
    <row r="47467" hidden="1">
      <c r="E47467" s="96"/>
    </row>
    <row r="47468" hidden="1">
      <c r="E47468" s="96"/>
    </row>
    <row r="47469" hidden="1">
      <c r="E47469" s="96"/>
    </row>
    <row r="47470" hidden="1">
      <c r="E47470" s="96"/>
    </row>
    <row r="47471" hidden="1">
      <c r="E47471" s="96"/>
    </row>
    <row r="47472" hidden="1">
      <c r="E47472" s="96"/>
    </row>
    <row r="47473" hidden="1">
      <c r="E47473" s="96"/>
    </row>
    <row r="47474" hidden="1">
      <c r="E47474" s="96"/>
    </row>
    <row r="47475" hidden="1">
      <c r="E47475" s="96"/>
    </row>
    <row r="47476" hidden="1">
      <c r="E47476" s="96"/>
    </row>
    <row r="47477" hidden="1">
      <c r="E47477" s="96"/>
    </row>
    <row r="47478" hidden="1">
      <c r="E47478" s="96"/>
    </row>
    <row r="47479" hidden="1">
      <c r="E47479" s="96"/>
    </row>
    <row r="47480" hidden="1">
      <c r="E47480" s="96"/>
    </row>
    <row r="47481" hidden="1">
      <c r="E47481" s="96"/>
    </row>
    <row r="47482" hidden="1">
      <c r="E47482" s="96"/>
    </row>
    <row r="47483" hidden="1">
      <c r="E47483" s="96"/>
    </row>
    <row r="47484" hidden="1">
      <c r="E47484" s="96"/>
    </row>
    <row r="47485" hidden="1">
      <c r="E47485" s="96"/>
    </row>
    <row r="47486" hidden="1">
      <c r="E47486" s="96"/>
    </row>
    <row r="47487" hidden="1">
      <c r="E47487" s="96"/>
    </row>
    <row r="47488" hidden="1">
      <c r="E47488" s="96"/>
    </row>
    <row r="47489" hidden="1">
      <c r="E47489" s="96"/>
    </row>
    <row r="47490" hidden="1">
      <c r="E47490" s="96"/>
    </row>
    <row r="47491" hidden="1">
      <c r="E47491" s="96"/>
    </row>
    <row r="47492" hidden="1">
      <c r="E47492" s="96"/>
    </row>
    <row r="47493" hidden="1">
      <c r="E47493" s="96"/>
    </row>
    <row r="47494" hidden="1">
      <c r="E47494" s="96"/>
    </row>
    <row r="47495" hidden="1">
      <c r="E47495" s="96"/>
    </row>
    <row r="47496" hidden="1">
      <c r="E47496" s="96"/>
    </row>
    <row r="47497" hidden="1">
      <c r="E47497" s="96"/>
    </row>
    <row r="47498" hidden="1">
      <c r="E47498" s="96"/>
    </row>
    <row r="47499" hidden="1">
      <c r="E47499" s="96"/>
    </row>
    <row r="47500" hidden="1">
      <c r="E47500" s="96"/>
    </row>
    <row r="47501" hidden="1">
      <c r="E47501" s="96"/>
    </row>
    <row r="47502" hidden="1">
      <c r="E47502" s="96"/>
    </row>
    <row r="47503" hidden="1">
      <c r="E47503" s="96"/>
    </row>
    <row r="47504" hidden="1">
      <c r="E47504" s="96"/>
    </row>
    <row r="47505" hidden="1">
      <c r="E47505" s="96"/>
    </row>
    <row r="47506" hidden="1">
      <c r="E47506" s="96"/>
    </row>
    <row r="47507" hidden="1">
      <c r="E47507" s="96"/>
    </row>
    <row r="47508" hidden="1">
      <c r="E47508" s="96"/>
    </row>
    <row r="47509" hidden="1">
      <c r="E47509" s="96"/>
    </row>
    <row r="47510" hidden="1">
      <c r="E47510" s="96"/>
    </row>
    <row r="47511" hidden="1">
      <c r="E47511" s="96"/>
    </row>
    <row r="47512" hidden="1">
      <c r="E47512" s="96"/>
    </row>
    <row r="47513" hidden="1">
      <c r="E47513" s="96"/>
    </row>
    <row r="47514" hidden="1">
      <c r="E47514" s="96"/>
    </row>
    <row r="47515" hidden="1">
      <c r="E47515" s="96"/>
    </row>
    <row r="47516" hidden="1">
      <c r="E47516" s="96"/>
    </row>
    <row r="47517" hidden="1">
      <c r="E47517" s="96"/>
    </row>
    <row r="47518" hidden="1">
      <c r="E47518" s="96"/>
    </row>
    <row r="47519" hidden="1">
      <c r="E47519" s="96"/>
    </row>
    <row r="47520" hidden="1">
      <c r="E47520" s="96"/>
    </row>
    <row r="47521" hidden="1">
      <c r="E47521" s="96"/>
    </row>
    <row r="47522" hidden="1">
      <c r="E47522" s="96"/>
    </row>
    <row r="47523" hidden="1">
      <c r="E47523" s="96"/>
    </row>
    <row r="47524" hidden="1">
      <c r="E47524" s="96"/>
    </row>
    <row r="47525" hidden="1">
      <c r="E47525" s="96"/>
    </row>
    <row r="47526" hidden="1">
      <c r="E47526" s="96"/>
    </row>
    <row r="47527" hidden="1">
      <c r="E47527" s="96"/>
    </row>
    <row r="47528" hidden="1">
      <c r="E47528" s="96"/>
    </row>
    <row r="47529" hidden="1">
      <c r="E47529" s="96"/>
    </row>
    <row r="47530" hidden="1">
      <c r="E47530" s="96"/>
    </row>
    <row r="47531" hidden="1">
      <c r="E47531" s="96"/>
    </row>
    <row r="47532" hidden="1">
      <c r="E47532" s="96"/>
    </row>
    <row r="47533" hidden="1">
      <c r="E47533" s="96"/>
    </row>
    <row r="47534" hidden="1">
      <c r="E47534" s="96"/>
    </row>
    <row r="47535" hidden="1">
      <c r="E47535" s="96"/>
    </row>
    <row r="47536" hidden="1">
      <c r="E47536" s="96"/>
    </row>
    <row r="47537" hidden="1">
      <c r="E47537" s="96"/>
    </row>
    <row r="47538" hidden="1">
      <c r="E47538" s="96"/>
    </row>
    <row r="47539" hidden="1">
      <c r="E47539" s="96"/>
    </row>
    <row r="47540" hidden="1">
      <c r="E47540" s="96"/>
    </row>
    <row r="47541" hidden="1">
      <c r="E47541" s="96"/>
    </row>
    <row r="47542" hidden="1">
      <c r="E47542" s="96"/>
    </row>
    <row r="47543" hidden="1">
      <c r="E47543" s="96"/>
    </row>
    <row r="47544" hidden="1">
      <c r="E47544" s="96"/>
    </row>
    <row r="47545" hidden="1">
      <c r="E47545" s="96"/>
    </row>
    <row r="47546" hidden="1">
      <c r="E47546" s="96"/>
    </row>
    <row r="47547" hidden="1">
      <c r="E47547" s="96"/>
    </row>
    <row r="47548" hidden="1">
      <c r="E47548" s="96"/>
    </row>
    <row r="47549" hidden="1">
      <c r="E47549" s="96"/>
    </row>
    <row r="47550" hidden="1">
      <c r="E47550" s="96"/>
    </row>
    <row r="47551" hidden="1">
      <c r="E47551" s="96"/>
    </row>
    <row r="47552" hidden="1">
      <c r="E47552" s="96"/>
    </row>
    <row r="47553" hidden="1">
      <c r="E47553" s="96"/>
    </row>
    <row r="47554" hidden="1">
      <c r="E47554" s="96"/>
    </row>
    <row r="47555" hidden="1">
      <c r="E47555" s="96"/>
    </row>
    <row r="47556" hidden="1">
      <c r="E47556" s="96"/>
    </row>
    <row r="47557" hidden="1">
      <c r="E47557" s="96"/>
    </row>
    <row r="47558" hidden="1">
      <c r="E47558" s="96"/>
    </row>
    <row r="47559" hidden="1">
      <c r="E47559" s="96"/>
    </row>
    <row r="47560" hidden="1">
      <c r="E47560" s="96"/>
    </row>
    <row r="47561" hidden="1">
      <c r="E47561" s="96"/>
    </row>
    <row r="47562" hidden="1">
      <c r="E47562" s="96"/>
    </row>
    <row r="47563" hidden="1">
      <c r="E47563" s="96"/>
    </row>
    <row r="47564" hidden="1">
      <c r="E47564" s="96"/>
    </row>
    <row r="47565" hidden="1">
      <c r="E47565" s="96"/>
    </row>
    <row r="47566" hidden="1">
      <c r="E47566" s="96"/>
    </row>
    <row r="47567" hidden="1">
      <c r="E47567" s="96"/>
    </row>
    <row r="47568" hidden="1">
      <c r="E47568" s="96"/>
    </row>
    <row r="47569" hidden="1">
      <c r="E47569" s="96"/>
    </row>
    <row r="47570" hidden="1">
      <c r="E47570" s="96"/>
    </row>
    <row r="47571" hidden="1">
      <c r="E47571" s="96"/>
    </row>
    <row r="47572" hidden="1">
      <c r="E47572" s="96"/>
    </row>
    <row r="47573" hidden="1">
      <c r="E47573" s="96"/>
    </row>
    <row r="47574" hidden="1">
      <c r="E47574" s="96"/>
    </row>
    <row r="47575" hidden="1">
      <c r="E47575" s="96"/>
    </row>
    <row r="47576" hidden="1">
      <c r="E47576" s="96"/>
    </row>
    <row r="47577" hidden="1">
      <c r="E47577" s="96"/>
    </row>
    <row r="47578" hidden="1">
      <c r="E47578" s="96"/>
    </row>
    <row r="47579" hidden="1">
      <c r="E47579" s="96"/>
    </row>
    <row r="47580" hidden="1">
      <c r="E47580" s="96"/>
    </row>
    <row r="47581" hidden="1">
      <c r="E47581" s="96"/>
    </row>
    <row r="47582" hidden="1">
      <c r="E47582" s="96"/>
    </row>
    <row r="47583" hidden="1">
      <c r="E47583" s="96"/>
    </row>
    <row r="47584" hidden="1">
      <c r="E47584" s="96"/>
    </row>
    <row r="47585" hidden="1">
      <c r="E47585" s="96"/>
    </row>
    <row r="47586" hidden="1">
      <c r="E47586" s="96"/>
    </row>
    <row r="47587" hidden="1">
      <c r="E47587" s="96"/>
    </row>
    <row r="47588" hidden="1">
      <c r="E47588" s="96"/>
    </row>
    <row r="47589" hidden="1">
      <c r="E47589" s="96"/>
    </row>
    <row r="47590" hidden="1">
      <c r="E47590" s="96"/>
    </row>
    <row r="47591" hidden="1">
      <c r="E47591" s="96"/>
    </row>
    <row r="47592" hidden="1">
      <c r="E47592" s="96"/>
    </row>
    <row r="47593" hidden="1">
      <c r="E47593" s="96"/>
    </row>
    <row r="47594" hidden="1">
      <c r="E47594" s="96"/>
    </row>
    <row r="47595" hidden="1">
      <c r="E47595" s="96"/>
    </row>
    <row r="47596" hidden="1">
      <c r="E47596" s="96"/>
    </row>
    <row r="47597" hidden="1">
      <c r="E47597" s="96"/>
    </row>
    <row r="47598" hidden="1">
      <c r="E47598" s="96"/>
    </row>
    <row r="47599" hidden="1">
      <c r="E47599" s="96"/>
    </row>
    <row r="47600" hidden="1">
      <c r="E47600" s="96"/>
    </row>
    <row r="47601" hidden="1">
      <c r="E47601" s="96"/>
    </row>
    <row r="47602" hidden="1">
      <c r="E47602" s="96"/>
    </row>
    <row r="47603" hidden="1">
      <c r="E47603" s="96"/>
    </row>
    <row r="47604" hidden="1">
      <c r="E47604" s="96"/>
    </row>
    <row r="47605" hidden="1">
      <c r="E47605" s="96"/>
    </row>
    <row r="47606" hidden="1">
      <c r="E47606" s="96"/>
    </row>
    <row r="47607" hidden="1">
      <c r="E47607" s="96"/>
    </row>
    <row r="47608" hidden="1">
      <c r="E47608" s="96"/>
    </row>
    <row r="47609" hidden="1">
      <c r="E47609" s="96"/>
    </row>
    <row r="47610" hidden="1">
      <c r="E47610" s="96"/>
    </row>
    <row r="47611" hidden="1">
      <c r="E47611" s="96"/>
    </row>
    <row r="47612" hidden="1">
      <c r="E47612" s="96"/>
    </row>
    <row r="47613" hidden="1">
      <c r="E47613" s="96"/>
    </row>
    <row r="47614" hidden="1">
      <c r="E47614" s="96"/>
    </row>
    <row r="47615" hidden="1">
      <c r="E47615" s="96"/>
    </row>
    <row r="47616" hidden="1">
      <c r="E47616" s="96"/>
    </row>
    <row r="47617" hidden="1">
      <c r="E47617" s="96"/>
    </row>
    <row r="47618" hidden="1">
      <c r="E47618" s="96"/>
    </row>
    <row r="47619" hidden="1">
      <c r="E47619" s="96"/>
    </row>
    <row r="47620" hidden="1">
      <c r="E47620" s="96"/>
    </row>
    <row r="47621" hidden="1">
      <c r="E47621" s="96"/>
    </row>
    <row r="47622" hidden="1">
      <c r="E47622" s="96"/>
    </row>
    <row r="47623" hidden="1">
      <c r="E47623" s="96"/>
    </row>
    <row r="47624" hidden="1">
      <c r="E47624" s="96"/>
    </row>
    <row r="47625" hidden="1">
      <c r="E47625" s="96"/>
    </row>
    <row r="47626" hidden="1">
      <c r="E47626" s="96"/>
    </row>
    <row r="47627" hidden="1">
      <c r="E47627" s="96"/>
    </row>
    <row r="47628" hidden="1">
      <c r="E47628" s="96"/>
    </row>
    <row r="47629" hidden="1">
      <c r="E47629" s="96"/>
    </row>
    <row r="47630" hidden="1">
      <c r="E47630" s="96"/>
    </row>
    <row r="47631" hidden="1">
      <c r="E47631" s="96"/>
    </row>
    <row r="47632" hidden="1">
      <c r="E47632" s="96"/>
    </row>
    <row r="47633" hidden="1">
      <c r="E47633" s="96"/>
    </row>
    <row r="47634" hidden="1">
      <c r="E47634" s="96"/>
    </row>
    <row r="47635" hidden="1">
      <c r="E47635" s="96"/>
    </row>
    <row r="47636" hidden="1">
      <c r="E47636" s="96"/>
    </row>
    <row r="47637" hidden="1">
      <c r="E47637" s="96"/>
    </row>
    <row r="47638" hidden="1">
      <c r="E47638" s="96"/>
    </row>
    <row r="47639" hidden="1">
      <c r="E47639" s="96"/>
    </row>
    <row r="47640" hidden="1">
      <c r="E47640" s="96"/>
    </row>
    <row r="47641" hidden="1">
      <c r="E47641" s="96"/>
    </row>
    <row r="47642" hidden="1">
      <c r="E47642" s="96"/>
    </row>
    <row r="47643" hidden="1">
      <c r="E47643" s="96"/>
    </row>
    <row r="47644" hidden="1">
      <c r="E47644" s="96"/>
    </row>
    <row r="47645" hidden="1">
      <c r="E47645" s="96"/>
    </row>
    <row r="47646" hidden="1">
      <c r="E47646" s="96"/>
    </row>
    <row r="47647" hidden="1">
      <c r="E47647" s="96"/>
    </row>
    <row r="47648" hidden="1">
      <c r="E47648" s="96"/>
    </row>
    <row r="47649" hidden="1">
      <c r="E47649" s="96"/>
    </row>
    <row r="47650" hidden="1">
      <c r="E47650" s="96"/>
    </row>
    <row r="47651" hidden="1">
      <c r="E47651" s="96"/>
    </row>
    <row r="47652" hidden="1">
      <c r="E47652" s="96"/>
    </row>
    <row r="47653" hidden="1">
      <c r="E47653" s="96"/>
    </row>
    <row r="47654" hidden="1">
      <c r="E47654" s="96"/>
    </row>
    <row r="47655" hidden="1">
      <c r="E47655" s="96"/>
    </row>
    <row r="47656" hidden="1">
      <c r="E47656" s="96"/>
    </row>
    <row r="47657" hidden="1">
      <c r="E47657" s="96"/>
    </row>
    <row r="47658" hidden="1">
      <c r="E47658" s="96"/>
    </row>
    <row r="47659" hidden="1">
      <c r="E47659" s="96"/>
    </row>
    <row r="47660" hidden="1">
      <c r="E47660" s="96"/>
    </row>
    <row r="47661" hidden="1">
      <c r="E47661" s="96"/>
    </row>
    <row r="47662" hidden="1">
      <c r="E47662" s="96"/>
    </row>
    <row r="47663" hidden="1">
      <c r="E47663" s="96"/>
    </row>
    <row r="47664" hidden="1">
      <c r="E47664" s="96"/>
    </row>
    <row r="47665" hidden="1">
      <c r="E47665" s="96"/>
    </row>
    <row r="47666" hidden="1">
      <c r="E47666" s="96"/>
    </row>
    <row r="47667" hidden="1">
      <c r="E47667" s="96"/>
    </row>
    <row r="47668" hidden="1">
      <c r="E47668" s="96"/>
    </row>
    <row r="47669" hidden="1">
      <c r="E47669" s="96"/>
    </row>
    <row r="47670" hidden="1">
      <c r="E47670" s="96"/>
    </row>
    <row r="47671" hidden="1">
      <c r="E47671" s="96"/>
    </row>
    <row r="47672" hidden="1">
      <c r="E47672" s="96"/>
    </row>
    <row r="47673" hidden="1">
      <c r="E47673" s="96"/>
    </row>
    <row r="47674" hidden="1">
      <c r="E47674" s="96"/>
    </row>
    <row r="47675" hidden="1">
      <c r="E47675" s="96"/>
    </row>
    <row r="47676" hidden="1">
      <c r="E47676" s="96"/>
    </row>
    <row r="47677" hidden="1">
      <c r="E47677" s="96"/>
    </row>
    <row r="47678" hidden="1">
      <c r="E47678" s="96"/>
    </row>
    <row r="47679" hidden="1">
      <c r="E47679" s="96"/>
    </row>
    <row r="47680" hidden="1">
      <c r="E47680" s="96"/>
    </row>
    <row r="47681" hidden="1">
      <c r="E47681" s="96"/>
    </row>
    <row r="47682" hidden="1">
      <c r="E47682" s="96"/>
    </row>
    <row r="47683" hidden="1">
      <c r="E47683" s="96"/>
    </row>
    <row r="47684" hidden="1">
      <c r="E47684" s="96"/>
    </row>
    <row r="47685" hidden="1">
      <c r="E47685" s="96"/>
    </row>
    <row r="47686" hidden="1">
      <c r="E47686" s="96"/>
    </row>
    <row r="47687" hidden="1">
      <c r="E47687" s="96"/>
    </row>
    <row r="47688" hidden="1">
      <c r="E47688" s="96"/>
    </row>
    <row r="47689" hidden="1">
      <c r="E47689" s="96"/>
    </row>
    <row r="47690" hidden="1">
      <c r="E47690" s="96"/>
    </row>
    <row r="47691" hidden="1">
      <c r="E47691" s="96"/>
    </row>
    <row r="47692" hidden="1">
      <c r="E47692" s="96"/>
    </row>
    <row r="47693" hidden="1">
      <c r="E47693" s="96"/>
    </row>
    <row r="47694" hidden="1">
      <c r="E47694" s="96"/>
    </row>
    <row r="47695" hidden="1">
      <c r="E47695" s="96"/>
    </row>
    <row r="47696" hidden="1">
      <c r="E47696" s="96"/>
    </row>
    <row r="47697" hidden="1">
      <c r="E47697" s="96"/>
    </row>
    <row r="47698" hidden="1">
      <c r="E47698" s="96"/>
    </row>
    <row r="47699" hidden="1">
      <c r="E47699" s="96"/>
    </row>
    <row r="47700" hidden="1">
      <c r="E47700" s="96"/>
    </row>
    <row r="47701" hidden="1">
      <c r="E47701" s="96"/>
    </row>
    <row r="47702" hidden="1">
      <c r="E47702" s="96"/>
    </row>
    <row r="47703" hidden="1">
      <c r="E47703" s="96"/>
    </row>
    <row r="47704" hidden="1">
      <c r="E47704" s="96"/>
    </row>
    <row r="47705" hidden="1">
      <c r="E47705" s="96"/>
    </row>
    <row r="47706" hidden="1">
      <c r="E47706" s="96"/>
    </row>
    <row r="47707" hidden="1">
      <c r="E47707" s="96"/>
    </row>
    <row r="47708" hidden="1">
      <c r="E47708" s="96"/>
    </row>
    <row r="47709" hidden="1">
      <c r="E47709" s="96"/>
    </row>
    <row r="47710" hidden="1">
      <c r="E47710" s="96"/>
    </row>
    <row r="47711" hidden="1">
      <c r="E47711" s="96"/>
    </row>
    <row r="47712" hidden="1">
      <c r="E47712" s="96"/>
    </row>
    <row r="47713" hidden="1">
      <c r="E47713" s="96"/>
    </row>
    <row r="47714" hidden="1">
      <c r="E47714" s="96"/>
    </row>
    <row r="47715" hidden="1">
      <c r="E47715" s="96"/>
    </row>
    <row r="47716" hidden="1">
      <c r="E47716" s="96"/>
    </row>
    <row r="47717" hidden="1">
      <c r="E47717" s="96"/>
    </row>
    <row r="47718" hidden="1">
      <c r="E47718" s="96"/>
    </row>
    <row r="47719" hidden="1">
      <c r="E47719" s="96"/>
    </row>
    <row r="47720" hidden="1">
      <c r="E47720" s="96"/>
    </row>
    <row r="47721" hidden="1">
      <c r="E47721" s="96"/>
    </row>
    <row r="47722" hidden="1">
      <c r="E47722" s="96"/>
    </row>
    <row r="47723" hidden="1">
      <c r="E47723" s="96"/>
    </row>
    <row r="47724" hidden="1">
      <c r="E47724" s="96"/>
    </row>
    <row r="47725" hidden="1">
      <c r="E47725" s="96"/>
    </row>
    <row r="47726" hidden="1">
      <c r="E47726" s="96"/>
    </row>
    <row r="47727" hidden="1">
      <c r="E47727" s="96"/>
    </row>
    <row r="47728" hidden="1">
      <c r="E47728" s="96"/>
    </row>
    <row r="47729" hidden="1">
      <c r="E47729" s="96"/>
    </row>
    <row r="47730" hidden="1">
      <c r="E47730" s="96"/>
    </row>
    <row r="47731" hidden="1">
      <c r="E47731" s="96"/>
    </row>
    <row r="47732" hidden="1">
      <c r="E47732" s="96"/>
    </row>
    <row r="47733" hidden="1">
      <c r="E47733" s="96"/>
    </row>
    <row r="47734" hidden="1">
      <c r="E47734" s="96"/>
    </row>
    <row r="47735" hidden="1">
      <c r="E47735" s="96"/>
    </row>
    <row r="47736" hidden="1">
      <c r="E47736" s="96"/>
    </row>
    <row r="47737" hidden="1">
      <c r="E47737" s="96"/>
    </row>
    <row r="47738" hidden="1">
      <c r="E47738" s="96"/>
    </row>
    <row r="47739" hidden="1">
      <c r="E47739" s="96"/>
    </row>
    <row r="47740" hidden="1">
      <c r="E47740" s="96"/>
    </row>
    <row r="47741" hidden="1">
      <c r="E47741" s="96"/>
    </row>
    <row r="47742" hidden="1">
      <c r="E47742" s="96"/>
    </row>
    <row r="47743" hidden="1">
      <c r="E47743" s="96"/>
    </row>
    <row r="47744" hidden="1">
      <c r="E47744" s="96"/>
    </row>
    <row r="47745" hidden="1">
      <c r="E47745" s="96"/>
    </row>
    <row r="47746" hidden="1">
      <c r="E47746" s="96"/>
    </row>
    <row r="47747" hidden="1">
      <c r="E47747" s="96"/>
    </row>
    <row r="47748" hidden="1">
      <c r="E47748" s="96"/>
    </row>
    <row r="47749" hidden="1">
      <c r="E47749" s="96"/>
    </row>
    <row r="47750" hidden="1">
      <c r="E47750" s="96"/>
    </row>
    <row r="47751" hidden="1">
      <c r="E47751" s="96"/>
    </row>
    <row r="47752" hidden="1">
      <c r="E47752" s="96"/>
    </row>
    <row r="47753" hidden="1">
      <c r="E47753" s="96"/>
    </row>
    <row r="47754" hidden="1">
      <c r="E47754" s="96"/>
    </row>
    <row r="47755" hidden="1">
      <c r="E47755" s="96"/>
    </row>
    <row r="47756" hidden="1">
      <c r="E47756" s="96"/>
    </row>
    <row r="47757" hidden="1">
      <c r="E47757" s="96"/>
    </row>
    <row r="47758" hidden="1">
      <c r="E47758" s="96"/>
    </row>
    <row r="47759" hidden="1">
      <c r="E47759" s="96"/>
    </row>
    <row r="47760" hidden="1">
      <c r="E47760" s="96"/>
    </row>
    <row r="47761" hidden="1">
      <c r="E47761" s="96"/>
    </row>
    <row r="47762" hidden="1">
      <c r="E47762" s="96"/>
    </row>
    <row r="47763" hidden="1">
      <c r="E47763" s="96"/>
    </row>
    <row r="47764" hidden="1">
      <c r="E47764" s="96"/>
    </row>
    <row r="47765" hidden="1">
      <c r="E47765" s="96"/>
    </row>
    <row r="47766" hidden="1">
      <c r="E47766" s="96"/>
    </row>
    <row r="47767" hidden="1">
      <c r="E47767" s="96"/>
    </row>
    <row r="47768" hidden="1">
      <c r="E47768" s="96"/>
    </row>
    <row r="47769" hidden="1">
      <c r="E47769" s="96"/>
    </row>
    <row r="47770" hidden="1">
      <c r="E47770" s="96"/>
    </row>
    <row r="47771" hidden="1">
      <c r="E47771" s="96"/>
    </row>
    <row r="47772" hidden="1">
      <c r="E47772" s="96"/>
    </row>
    <row r="47773" hidden="1">
      <c r="E47773" s="96"/>
    </row>
    <row r="47774" hidden="1">
      <c r="E47774" s="96"/>
    </row>
    <row r="47775" hidden="1">
      <c r="E47775" s="96"/>
    </row>
    <row r="47776" hidden="1">
      <c r="E47776" s="96"/>
    </row>
    <row r="47777" hidden="1">
      <c r="E47777" s="96"/>
    </row>
    <row r="47778" hidden="1">
      <c r="E47778" s="96"/>
    </row>
    <row r="47779" hidden="1">
      <c r="E47779" s="96"/>
    </row>
    <row r="47780" hidden="1">
      <c r="E47780" s="96"/>
    </row>
    <row r="47781" hidden="1">
      <c r="E47781" s="96"/>
    </row>
    <row r="47782" hidden="1">
      <c r="E47782" s="96"/>
    </row>
    <row r="47783" hidden="1">
      <c r="E47783" s="96"/>
    </row>
    <row r="47784" hidden="1">
      <c r="E47784" s="96"/>
    </row>
    <row r="47785" hidden="1">
      <c r="E47785" s="96"/>
    </row>
    <row r="47786" hidden="1">
      <c r="E47786" s="96"/>
    </row>
    <row r="47787" hidden="1">
      <c r="E47787" s="96"/>
    </row>
    <row r="47788" hidden="1">
      <c r="E47788" s="96"/>
    </row>
    <row r="47789" hidden="1">
      <c r="E47789" s="96"/>
    </row>
    <row r="47790" hidden="1">
      <c r="E47790" s="96"/>
    </row>
    <row r="47791" hidden="1">
      <c r="E47791" s="96"/>
    </row>
    <row r="47792" hidden="1">
      <c r="E47792" s="96"/>
    </row>
    <row r="47793" hidden="1">
      <c r="E47793" s="96"/>
    </row>
    <row r="47794" hidden="1">
      <c r="E47794" s="96"/>
    </row>
    <row r="47795" hidden="1">
      <c r="E47795" s="96"/>
    </row>
    <row r="47796" hidden="1">
      <c r="E47796" s="96"/>
    </row>
    <row r="47797" hidden="1">
      <c r="E47797" s="96"/>
    </row>
    <row r="47798" hidden="1">
      <c r="E47798" s="96"/>
    </row>
    <row r="47799" hidden="1">
      <c r="E47799" s="96"/>
    </row>
    <row r="47800" hidden="1">
      <c r="E47800" s="96"/>
    </row>
    <row r="47801" hidden="1">
      <c r="E47801" s="96"/>
    </row>
    <row r="47802" hidden="1">
      <c r="E47802" s="96"/>
    </row>
    <row r="47803" hidden="1">
      <c r="E47803" s="96"/>
    </row>
    <row r="47804" hidden="1">
      <c r="E47804" s="96"/>
    </row>
    <row r="47805" hidden="1">
      <c r="E47805" s="96"/>
    </row>
    <row r="47806" hidden="1">
      <c r="E47806" s="96"/>
    </row>
    <row r="47807" hidden="1">
      <c r="E47807" s="96"/>
    </row>
    <row r="47808" hidden="1">
      <c r="E47808" s="96"/>
    </row>
    <row r="47809" hidden="1">
      <c r="E47809" s="96"/>
    </row>
    <row r="47810" hidden="1">
      <c r="E47810" s="96"/>
    </row>
    <row r="47811" hidden="1">
      <c r="E47811" s="96"/>
    </row>
    <row r="47812" hidden="1">
      <c r="E47812" s="96"/>
    </row>
    <row r="47813" hidden="1">
      <c r="E47813" s="96"/>
    </row>
    <row r="47814" hidden="1">
      <c r="E47814" s="96"/>
    </row>
    <row r="47815" hidden="1">
      <c r="E47815" s="96"/>
    </row>
    <row r="47816" hidden="1">
      <c r="E47816" s="96"/>
    </row>
    <row r="47817" hidden="1">
      <c r="E47817" s="96"/>
    </row>
    <row r="47818" hidden="1">
      <c r="E47818" s="96"/>
    </row>
    <row r="47819" hidden="1">
      <c r="E47819" s="96"/>
    </row>
    <row r="47820" hidden="1">
      <c r="E47820" s="96"/>
    </row>
    <row r="47821" hidden="1">
      <c r="E47821" s="96"/>
    </row>
    <row r="47822" hidden="1">
      <c r="E47822" s="96"/>
    </row>
    <row r="47823" hidden="1">
      <c r="E47823" s="96"/>
    </row>
    <row r="47824" hidden="1">
      <c r="E47824" s="96"/>
    </row>
    <row r="47825" hidden="1">
      <c r="E47825" s="96"/>
    </row>
    <row r="47826" hidden="1">
      <c r="E47826" s="96"/>
    </row>
    <row r="47827" hidden="1">
      <c r="E47827" s="96"/>
    </row>
    <row r="47828" hidden="1">
      <c r="E47828" s="96"/>
    </row>
    <row r="47829" hidden="1">
      <c r="E47829" s="96"/>
    </row>
    <row r="47830" hidden="1">
      <c r="E47830" s="96"/>
    </row>
    <row r="47831" hidden="1">
      <c r="E47831" s="96"/>
    </row>
    <row r="47832" hidden="1">
      <c r="E47832" s="96"/>
    </row>
    <row r="47833" hidden="1">
      <c r="E47833" s="96"/>
    </row>
    <row r="47834" hidden="1">
      <c r="E47834" s="96"/>
    </row>
    <row r="47835" hidden="1">
      <c r="E47835" s="96"/>
    </row>
    <row r="47836" hidden="1">
      <c r="E47836" s="96"/>
    </row>
    <row r="47837" hidden="1">
      <c r="E47837" s="96"/>
    </row>
    <row r="47838" hidden="1">
      <c r="E47838" s="96"/>
    </row>
    <row r="47839" hidden="1">
      <c r="E47839" s="96"/>
    </row>
    <row r="47840" hidden="1">
      <c r="E47840" s="96"/>
    </row>
    <row r="47841" hidden="1">
      <c r="E47841" s="96"/>
    </row>
    <row r="47842" hidden="1">
      <c r="E47842" s="96"/>
    </row>
    <row r="47843" hidden="1">
      <c r="E47843" s="96"/>
    </row>
    <row r="47844" hidden="1">
      <c r="E47844" s="96"/>
    </row>
    <row r="47845" hidden="1">
      <c r="E47845" s="96"/>
    </row>
    <row r="47846" hidden="1">
      <c r="E47846" s="96"/>
    </row>
    <row r="47847" hidden="1">
      <c r="E47847" s="96"/>
    </row>
    <row r="47848" hidden="1">
      <c r="E47848" s="96"/>
    </row>
    <row r="47849" hidden="1">
      <c r="E47849" s="96"/>
    </row>
    <row r="47850" hidden="1">
      <c r="E47850" s="96"/>
    </row>
    <row r="47851" hidden="1">
      <c r="E47851" s="96"/>
    </row>
    <row r="47852" hidden="1">
      <c r="E47852" s="96"/>
    </row>
    <row r="47853" hidden="1">
      <c r="E47853" s="96"/>
    </row>
    <row r="47854" hidden="1">
      <c r="E47854" s="96"/>
    </row>
    <row r="47855" hidden="1">
      <c r="E47855" s="96"/>
    </row>
    <row r="47856" hidden="1">
      <c r="E47856" s="96"/>
    </row>
    <row r="47857" hidden="1">
      <c r="E47857" s="96"/>
    </row>
    <row r="47858" hidden="1">
      <c r="E47858" s="96"/>
    </row>
    <row r="47859" hidden="1">
      <c r="E47859" s="96"/>
    </row>
    <row r="47860" hidden="1">
      <c r="E47860" s="96"/>
    </row>
    <row r="47861" hidden="1">
      <c r="E47861" s="96"/>
    </row>
    <row r="47862" hidden="1">
      <c r="E47862" s="96"/>
    </row>
    <row r="47863" hidden="1">
      <c r="E47863" s="96"/>
    </row>
    <row r="47864" hidden="1">
      <c r="E47864" s="96"/>
    </row>
    <row r="47865" hidden="1">
      <c r="E47865" s="96"/>
    </row>
    <row r="47866" hidden="1">
      <c r="E47866" s="96"/>
    </row>
    <row r="47867" hidden="1">
      <c r="E47867" s="96"/>
    </row>
    <row r="47868" hidden="1">
      <c r="E47868" s="96"/>
    </row>
    <row r="47869" hidden="1">
      <c r="E47869" s="96"/>
    </row>
    <row r="47870" hidden="1">
      <c r="E47870" s="96"/>
    </row>
    <row r="47871" hidden="1">
      <c r="E47871" s="96"/>
    </row>
    <row r="47872" hidden="1">
      <c r="E47872" s="96"/>
    </row>
    <row r="47873" hidden="1">
      <c r="E47873" s="96"/>
    </row>
    <row r="47874" hidden="1">
      <c r="E47874" s="96"/>
    </row>
    <row r="47875" hidden="1">
      <c r="E47875" s="96"/>
    </row>
    <row r="47876" hidden="1">
      <c r="E47876" s="96"/>
    </row>
    <row r="47877" hidden="1">
      <c r="E47877" s="96"/>
    </row>
    <row r="47878" hidden="1">
      <c r="E47878" s="96"/>
    </row>
    <row r="47879" hidden="1">
      <c r="E47879" s="96"/>
    </row>
    <row r="47880" hidden="1">
      <c r="E47880" s="96"/>
    </row>
    <row r="47881" hidden="1">
      <c r="E47881" s="96"/>
    </row>
    <row r="47882" hidden="1">
      <c r="E47882" s="96"/>
    </row>
    <row r="47883" hidden="1">
      <c r="E47883" s="96"/>
    </row>
    <row r="47884" hidden="1">
      <c r="E47884" s="96"/>
    </row>
    <row r="47885" hidden="1">
      <c r="E47885" s="96"/>
    </row>
    <row r="47886" hidden="1">
      <c r="E47886" s="96"/>
    </row>
    <row r="47887" hidden="1">
      <c r="E47887" s="96"/>
    </row>
    <row r="47888" hidden="1">
      <c r="E47888" s="96"/>
    </row>
    <row r="47889" hidden="1">
      <c r="E47889" s="96"/>
    </row>
    <row r="47890" hidden="1">
      <c r="E47890" s="96"/>
    </row>
    <row r="47891" hidden="1">
      <c r="E47891" s="96"/>
    </row>
    <row r="47892" hidden="1">
      <c r="E47892" s="96"/>
    </row>
    <row r="47893" hidden="1">
      <c r="E47893" s="96"/>
    </row>
    <row r="47894" hidden="1">
      <c r="E47894" s="96"/>
    </row>
    <row r="47895" hidden="1">
      <c r="E47895" s="96"/>
    </row>
    <row r="47896" hidden="1">
      <c r="E47896" s="96"/>
    </row>
    <row r="47897" hidden="1">
      <c r="E47897" s="96"/>
    </row>
    <row r="47898" hidden="1">
      <c r="E47898" s="96"/>
    </row>
    <row r="47899" hidden="1">
      <c r="E47899" s="96"/>
    </row>
    <row r="47900" hidden="1">
      <c r="E47900" s="96"/>
    </row>
    <row r="47901" hidden="1">
      <c r="E47901" s="96"/>
    </row>
    <row r="47902" hidden="1">
      <c r="E47902" s="96"/>
    </row>
    <row r="47903" hidden="1">
      <c r="E47903" s="96"/>
    </row>
    <row r="47904" hidden="1">
      <c r="E47904" s="96"/>
    </row>
    <row r="47905" hidden="1">
      <c r="E47905" s="96"/>
    </row>
    <row r="47906" hidden="1">
      <c r="E47906" s="96"/>
    </row>
    <row r="47907" hidden="1">
      <c r="E47907" s="96"/>
    </row>
    <row r="47908" hidden="1">
      <c r="E47908" s="96"/>
    </row>
    <row r="47909" hidden="1">
      <c r="E47909" s="96"/>
    </row>
    <row r="47910" hidden="1">
      <c r="E47910" s="96"/>
    </row>
    <row r="47911" hidden="1">
      <c r="E47911" s="96"/>
    </row>
    <row r="47912" hidden="1">
      <c r="E47912" s="96"/>
    </row>
    <row r="47913" hidden="1">
      <c r="E47913" s="96"/>
    </row>
    <row r="47914" hidden="1">
      <c r="E47914" s="96"/>
    </row>
    <row r="47915" hidden="1">
      <c r="E47915" s="96"/>
    </row>
    <row r="47916" hidden="1">
      <c r="E47916" s="96"/>
    </row>
    <row r="47917" hidden="1">
      <c r="E47917" s="96"/>
    </row>
    <row r="47918" hidden="1">
      <c r="E47918" s="96"/>
    </row>
    <row r="47919" hidden="1">
      <c r="E47919" s="96"/>
    </row>
    <row r="47920" hidden="1">
      <c r="E47920" s="96"/>
    </row>
    <row r="47921" hidden="1">
      <c r="E47921" s="96"/>
    </row>
    <row r="47922" hidden="1">
      <c r="E47922" s="96"/>
    </row>
    <row r="47923" hidden="1">
      <c r="E47923" s="96"/>
    </row>
    <row r="47924" hidden="1">
      <c r="E47924" s="96"/>
    </row>
    <row r="47925" hidden="1">
      <c r="E47925" s="96"/>
    </row>
    <row r="47926" hidden="1">
      <c r="E47926" s="96"/>
    </row>
    <row r="47927" hidden="1">
      <c r="E47927" s="96"/>
    </row>
    <row r="47928" hidden="1">
      <c r="E47928" s="96"/>
    </row>
    <row r="47929" hidden="1">
      <c r="E47929" s="96"/>
    </row>
    <row r="47930" hidden="1">
      <c r="E47930" s="96"/>
    </row>
    <row r="47931" hidden="1">
      <c r="E47931" s="96"/>
    </row>
    <row r="47932" hidden="1">
      <c r="E47932" s="96"/>
    </row>
    <row r="47933" hidden="1">
      <c r="E47933" s="96"/>
    </row>
    <row r="47934" hidden="1">
      <c r="E47934" s="96"/>
    </row>
    <row r="47935" hidden="1">
      <c r="E47935" s="96"/>
    </row>
    <row r="47936" hidden="1">
      <c r="E47936" s="96"/>
    </row>
    <row r="47937" hidden="1">
      <c r="E47937" s="96"/>
    </row>
    <row r="47938" hidden="1">
      <c r="E47938" s="96"/>
    </row>
    <row r="47939" hidden="1">
      <c r="E47939" s="96"/>
    </row>
    <row r="47940" hidden="1">
      <c r="E47940" s="96"/>
    </row>
    <row r="47941" hidden="1">
      <c r="E47941" s="96"/>
    </row>
    <row r="47942" hidden="1">
      <c r="E47942" s="96"/>
    </row>
    <row r="47943" hidden="1">
      <c r="E47943" s="96"/>
    </row>
    <row r="47944" hidden="1">
      <c r="E47944" s="96"/>
    </row>
    <row r="47945" hidden="1">
      <c r="E47945" s="96"/>
    </row>
    <row r="47946" hidden="1">
      <c r="E47946" s="96"/>
    </row>
    <row r="47947" hidden="1">
      <c r="E47947" s="96"/>
    </row>
    <row r="47948" hidden="1">
      <c r="E47948" s="96"/>
    </row>
    <row r="47949" hidden="1">
      <c r="E47949" s="96"/>
    </row>
    <row r="47950" hidden="1">
      <c r="E47950" s="96"/>
    </row>
    <row r="47951" hidden="1">
      <c r="E47951" s="96"/>
    </row>
    <row r="47952" hidden="1">
      <c r="E47952" s="96"/>
    </row>
    <row r="47953" hidden="1">
      <c r="E47953" s="96"/>
    </row>
    <row r="47954" hidden="1">
      <c r="E47954" s="96"/>
    </row>
    <row r="47955" hidden="1">
      <c r="E47955" s="96"/>
    </row>
    <row r="47956" hidden="1">
      <c r="E47956" s="96"/>
    </row>
    <row r="47957" hidden="1">
      <c r="E47957" s="96"/>
    </row>
    <row r="47958" hidden="1">
      <c r="E47958" s="96"/>
    </row>
    <row r="47959" hidden="1">
      <c r="E47959" s="96"/>
    </row>
    <row r="47960" hidden="1">
      <c r="E47960" s="96"/>
    </row>
    <row r="47961" hidden="1">
      <c r="E47961" s="96"/>
    </row>
    <row r="47962" hidden="1">
      <c r="E47962" s="96"/>
    </row>
    <row r="47963" hidden="1">
      <c r="E47963" s="96"/>
    </row>
    <row r="47964" hidden="1">
      <c r="E47964" s="96"/>
    </row>
    <row r="47965" hidden="1">
      <c r="E47965" s="96"/>
    </row>
    <row r="47966" hidden="1">
      <c r="E47966" s="96"/>
    </row>
    <row r="47967" hidden="1">
      <c r="E47967" s="96"/>
    </row>
    <row r="47968" hidden="1">
      <c r="E47968" s="96"/>
    </row>
    <row r="47969" hidden="1">
      <c r="E47969" s="96"/>
    </row>
    <row r="47970" hidden="1">
      <c r="E47970" s="96"/>
    </row>
    <row r="47971" hidden="1">
      <c r="E47971" s="96"/>
    </row>
    <row r="47972" hidden="1">
      <c r="E47972" s="96"/>
    </row>
    <row r="47973" hidden="1">
      <c r="E47973" s="96"/>
    </row>
    <row r="47974" hidden="1">
      <c r="E47974" s="96"/>
    </row>
    <row r="47975" hidden="1">
      <c r="E47975" s="96"/>
    </row>
    <row r="47976" hidden="1">
      <c r="E47976" s="96"/>
    </row>
    <row r="47977" hidden="1">
      <c r="E47977" s="96"/>
    </row>
    <row r="47978" hidden="1">
      <c r="E47978" s="96"/>
    </row>
    <row r="47979" hidden="1">
      <c r="E47979" s="96"/>
    </row>
    <row r="47980" hidden="1">
      <c r="E47980" s="96"/>
    </row>
    <row r="47981" hidden="1">
      <c r="E47981" s="96"/>
    </row>
    <row r="47982" hidden="1">
      <c r="E47982" s="96"/>
    </row>
    <row r="47983" hidden="1">
      <c r="E47983" s="96"/>
    </row>
    <row r="47984" hidden="1">
      <c r="E47984" s="96"/>
    </row>
    <row r="47985" hidden="1">
      <c r="E47985" s="96"/>
    </row>
    <row r="47986" hidden="1">
      <c r="E47986" s="96"/>
    </row>
    <row r="47987" hidden="1">
      <c r="E47987" s="96"/>
    </row>
    <row r="47988" hidden="1">
      <c r="E47988" s="96"/>
    </row>
    <row r="47989" hidden="1">
      <c r="E47989" s="96"/>
    </row>
    <row r="47990" hidden="1">
      <c r="E47990" s="96"/>
    </row>
    <row r="47991" hidden="1">
      <c r="E47991" s="96"/>
    </row>
    <row r="47992" hidden="1">
      <c r="E47992" s="96"/>
    </row>
    <row r="47993" hidden="1">
      <c r="E47993" s="96"/>
    </row>
    <row r="47994" hidden="1">
      <c r="E47994" s="96"/>
    </row>
    <row r="47995" hidden="1">
      <c r="E47995" s="96"/>
    </row>
    <row r="47996" hidden="1">
      <c r="E47996" s="96"/>
    </row>
    <row r="47997" hidden="1">
      <c r="E47997" s="96"/>
    </row>
    <row r="47998" hidden="1">
      <c r="E47998" s="96"/>
    </row>
    <row r="47999" hidden="1">
      <c r="E47999" s="96"/>
    </row>
    <row r="48000" hidden="1">
      <c r="E48000" s="96"/>
    </row>
    <row r="48001" hidden="1">
      <c r="E48001" s="96"/>
    </row>
    <row r="48002" hidden="1">
      <c r="E48002" s="96"/>
    </row>
    <row r="48003" hidden="1">
      <c r="E48003" s="96"/>
    </row>
    <row r="48004" hidden="1">
      <c r="E48004" s="96"/>
    </row>
    <row r="48005" hidden="1">
      <c r="E48005" s="96"/>
    </row>
    <row r="48006" hidden="1">
      <c r="E48006" s="96"/>
    </row>
    <row r="48007" hidden="1">
      <c r="E48007" s="96"/>
    </row>
    <row r="48008" hidden="1">
      <c r="E48008" s="96"/>
    </row>
    <row r="48009" hidden="1">
      <c r="E48009" s="96"/>
    </row>
    <row r="48010" hidden="1">
      <c r="E48010" s="96"/>
    </row>
    <row r="48011" hidden="1">
      <c r="E48011" s="96"/>
    </row>
    <row r="48012" hidden="1">
      <c r="E48012" s="96"/>
    </row>
    <row r="48013" hidden="1">
      <c r="E48013" s="96"/>
    </row>
    <row r="48014" hidden="1">
      <c r="E48014" s="96"/>
    </row>
    <row r="48015" hidden="1">
      <c r="E48015" s="96"/>
    </row>
    <row r="48016" hidden="1">
      <c r="E48016" s="96"/>
    </row>
    <row r="48017" hidden="1">
      <c r="E48017" s="96"/>
    </row>
    <row r="48018" hidden="1">
      <c r="E48018" s="96"/>
    </row>
    <row r="48019" hidden="1">
      <c r="E48019" s="96"/>
    </row>
    <row r="48020" hidden="1">
      <c r="E48020" s="96"/>
    </row>
    <row r="48021" hidden="1">
      <c r="E48021" s="96"/>
    </row>
    <row r="48022" hidden="1">
      <c r="E48022" s="96"/>
    </row>
    <row r="48023" hidden="1">
      <c r="E48023" s="96"/>
    </row>
    <row r="48024" hidden="1">
      <c r="E48024" s="96"/>
    </row>
    <row r="48025" hidden="1">
      <c r="E48025" s="96"/>
    </row>
    <row r="48026" hidden="1">
      <c r="E48026" s="96"/>
    </row>
    <row r="48027" hidden="1">
      <c r="E48027" s="96"/>
    </row>
    <row r="48028" hidden="1">
      <c r="E48028" s="96"/>
    </row>
    <row r="48029" hidden="1">
      <c r="E48029" s="96"/>
    </row>
    <row r="48030" hidden="1">
      <c r="E48030" s="96"/>
    </row>
    <row r="48031" hidden="1">
      <c r="E48031" s="96"/>
    </row>
    <row r="48032" hidden="1">
      <c r="E48032" s="96"/>
    </row>
    <row r="48033" hidden="1">
      <c r="E48033" s="96"/>
    </row>
    <row r="48034" hidden="1">
      <c r="E48034" s="96"/>
    </row>
    <row r="48035" hidden="1">
      <c r="E48035" s="96"/>
    </row>
    <row r="48036" hidden="1">
      <c r="E48036" s="96"/>
    </row>
    <row r="48037" hidden="1">
      <c r="E48037" s="96"/>
    </row>
    <row r="48038" hidden="1">
      <c r="E48038" s="96"/>
    </row>
    <row r="48039" hidden="1">
      <c r="E48039" s="96"/>
    </row>
    <row r="48040" hidden="1">
      <c r="E48040" s="96"/>
    </row>
    <row r="48041" hidden="1">
      <c r="E48041" s="96"/>
    </row>
    <row r="48042" hidden="1">
      <c r="E48042" s="96"/>
    </row>
    <row r="48043" hidden="1">
      <c r="E48043" s="96"/>
    </row>
    <row r="48044" hidden="1">
      <c r="E48044" s="96"/>
    </row>
    <row r="48045" hidden="1">
      <c r="E48045" s="96"/>
    </row>
    <row r="48046" hidden="1">
      <c r="E48046" s="96"/>
    </row>
    <row r="48047" hidden="1">
      <c r="E48047" s="96"/>
    </row>
    <row r="48048" hidden="1">
      <c r="E48048" s="96"/>
    </row>
    <row r="48049" hidden="1">
      <c r="E48049" s="96"/>
    </row>
    <row r="48050" hidden="1">
      <c r="E48050" s="96"/>
    </row>
    <row r="48051" hidden="1">
      <c r="E48051" s="96"/>
    </row>
    <row r="48052" hidden="1">
      <c r="E48052" s="96"/>
    </row>
    <row r="48053" hidden="1">
      <c r="E48053" s="96"/>
    </row>
    <row r="48054" hidden="1">
      <c r="E48054" s="96"/>
    </row>
    <row r="48055" hidden="1">
      <c r="E48055" s="96"/>
    </row>
    <row r="48056" hidden="1">
      <c r="E48056" s="96"/>
    </row>
    <row r="48057" hidden="1">
      <c r="E48057" s="96"/>
    </row>
    <row r="48058" hidden="1">
      <c r="E48058" s="96"/>
    </row>
    <row r="48059" hidden="1">
      <c r="E48059" s="96"/>
    </row>
    <row r="48060" hidden="1">
      <c r="E48060" s="96"/>
    </row>
    <row r="48061" hidden="1">
      <c r="E48061" s="96"/>
    </row>
    <row r="48062" hidden="1">
      <c r="E48062" s="96"/>
    </row>
    <row r="48063" hidden="1">
      <c r="E48063" s="96"/>
    </row>
    <row r="48064" hidden="1">
      <c r="E48064" s="96"/>
    </row>
    <row r="48065" hidden="1">
      <c r="E48065" s="96"/>
    </row>
    <row r="48066" hidden="1">
      <c r="E48066" s="96"/>
    </row>
    <row r="48067" hidden="1">
      <c r="E48067" s="96"/>
    </row>
    <row r="48068" hidden="1">
      <c r="E48068" s="96"/>
    </row>
    <row r="48069" hidden="1">
      <c r="E48069" s="96"/>
    </row>
    <row r="48070" hidden="1">
      <c r="E48070" s="96"/>
    </row>
    <row r="48071" hidden="1">
      <c r="E48071" s="96"/>
    </row>
    <row r="48072" hidden="1">
      <c r="E48072" s="96"/>
    </row>
    <row r="48073" hidden="1">
      <c r="E48073" s="96"/>
    </row>
    <row r="48074" hidden="1">
      <c r="E48074" s="96"/>
    </row>
    <row r="48075" hidden="1">
      <c r="E48075" s="96"/>
    </row>
    <row r="48076" hidden="1">
      <c r="E48076" s="96"/>
    </row>
    <row r="48077" hidden="1">
      <c r="E48077" s="96"/>
    </row>
    <row r="48078" hidden="1">
      <c r="E48078" s="96"/>
    </row>
    <row r="48079" hidden="1">
      <c r="E48079" s="96"/>
    </row>
    <row r="48080" hidden="1">
      <c r="E48080" s="96"/>
    </row>
    <row r="48081" hidden="1">
      <c r="E48081" s="96"/>
    </row>
    <row r="48082" hidden="1">
      <c r="E48082" s="96"/>
    </row>
    <row r="48083" hidden="1">
      <c r="E48083" s="96"/>
    </row>
    <row r="48084" hidden="1">
      <c r="E48084" s="96"/>
    </row>
    <row r="48085" hidden="1">
      <c r="E48085" s="96"/>
    </row>
    <row r="48086" hidden="1">
      <c r="E48086" s="96"/>
    </row>
    <row r="48087" hidden="1">
      <c r="E48087" s="96"/>
    </row>
    <row r="48088" hidden="1">
      <c r="E48088" s="96"/>
    </row>
    <row r="48089" hidden="1">
      <c r="E48089" s="96"/>
    </row>
    <row r="48090" hidden="1">
      <c r="E48090" s="96"/>
    </row>
    <row r="48091" hidden="1">
      <c r="E48091" s="96"/>
    </row>
    <row r="48092" hidden="1">
      <c r="E48092" s="96"/>
    </row>
    <row r="48093" hidden="1">
      <c r="E48093" s="96"/>
    </row>
    <row r="48094" hidden="1">
      <c r="E48094" s="96"/>
    </row>
    <row r="48095" hidden="1">
      <c r="E48095" s="96"/>
    </row>
    <row r="48096" hidden="1">
      <c r="E48096" s="96"/>
    </row>
    <row r="48097" hidden="1">
      <c r="E48097" s="96"/>
    </row>
    <row r="48098" hidden="1">
      <c r="E48098" s="96"/>
    </row>
    <row r="48099" hidden="1">
      <c r="E48099" s="96"/>
    </row>
    <row r="48100" hidden="1">
      <c r="E48100" s="96"/>
    </row>
    <row r="48101" hidden="1">
      <c r="E48101" s="96"/>
    </row>
    <row r="48102" hidden="1">
      <c r="E48102" s="96"/>
    </row>
    <row r="48103" hidden="1">
      <c r="E48103" s="96"/>
    </row>
    <row r="48104" hidden="1">
      <c r="E48104" s="96"/>
    </row>
    <row r="48105" hidden="1">
      <c r="E48105" s="96"/>
    </row>
    <row r="48106" hidden="1">
      <c r="E48106" s="96"/>
    </row>
    <row r="48107" hidden="1">
      <c r="E48107" s="96"/>
    </row>
    <row r="48108" hidden="1">
      <c r="E48108" s="96"/>
    </row>
    <row r="48109" hidden="1">
      <c r="E48109" s="96"/>
    </row>
    <row r="48110" hidden="1">
      <c r="E48110" s="96"/>
    </row>
    <row r="48111" hidden="1">
      <c r="E48111" s="96"/>
    </row>
    <row r="48112" hidden="1">
      <c r="E48112" s="96"/>
    </row>
    <row r="48113" hidden="1">
      <c r="E48113" s="96"/>
    </row>
    <row r="48114" hidden="1">
      <c r="E48114" s="96"/>
    </row>
    <row r="48115" hidden="1">
      <c r="E48115" s="96"/>
    </row>
    <row r="48116" hidden="1">
      <c r="E48116" s="96"/>
    </row>
    <row r="48117" hidden="1">
      <c r="E48117" s="96"/>
    </row>
    <row r="48118" hidden="1">
      <c r="E48118" s="96"/>
    </row>
    <row r="48119" hidden="1">
      <c r="E48119" s="96"/>
    </row>
    <row r="48120" hidden="1">
      <c r="E48120" s="96"/>
    </row>
    <row r="48121" hidden="1">
      <c r="E48121" s="96"/>
    </row>
    <row r="48122" hidden="1">
      <c r="E48122" s="96"/>
    </row>
    <row r="48123" hidden="1">
      <c r="E48123" s="96"/>
    </row>
    <row r="48124" hidden="1">
      <c r="E48124" s="96"/>
    </row>
    <row r="48125" hidden="1">
      <c r="E48125" s="96"/>
    </row>
    <row r="48126" hidden="1">
      <c r="E48126" s="96"/>
    </row>
    <row r="48127" hidden="1">
      <c r="E48127" s="96"/>
    </row>
    <row r="48128" hidden="1">
      <c r="E48128" s="96"/>
    </row>
    <row r="48129" hidden="1">
      <c r="E48129" s="96"/>
    </row>
    <row r="48130" hidden="1">
      <c r="E48130" s="96"/>
    </row>
    <row r="48131" hidden="1">
      <c r="E48131" s="96"/>
    </row>
    <row r="48132" hidden="1">
      <c r="E48132" s="96"/>
    </row>
    <row r="48133" hidden="1">
      <c r="E48133" s="96"/>
    </row>
    <row r="48134" hidden="1">
      <c r="E48134" s="96"/>
    </row>
    <row r="48135" hidden="1">
      <c r="E48135" s="96"/>
    </row>
    <row r="48136" hidden="1">
      <c r="E48136" s="96"/>
    </row>
    <row r="48137" hidden="1">
      <c r="E48137" s="96"/>
    </row>
    <row r="48138" hidden="1">
      <c r="E48138" s="96"/>
    </row>
    <row r="48139" hidden="1">
      <c r="E48139" s="96"/>
    </row>
    <row r="48140" hidden="1">
      <c r="E48140" s="96"/>
    </row>
    <row r="48141" hidden="1">
      <c r="E48141" s="96"/>
    </row>
    <row r="48142" hidden="1">
      <c r="E48142" s="96"/>
    </row>
    <row r="48143" hidden="1">
      <c r="E48143" s="96"/>
    </row>
    <row r="48144" hidden="1">
      <c r="E48144" s="96"/>
    </row>
    <row r="48145" hidden="1">
      <c r="E48145" s="96"/>
    </row>
    <row r="48146" hidden="1">
      <c r="E48146" s="96"/>
    </row>
    <row r="48147" hidden="1">
      <c r="E48147" s="96"/>
    </row>
    <row r="48148" hidden="1">
      <c r="E48148" s="96"/>
    </row>
    <row r="48149" hidden="1">
      <c r="E48149" s="96"/>
    </row>
    <row r="48150" hidden="1">
      <c r="E48150" s="96"/>
    </row>
    <row r="48151" hidden="1">
      <c r="E48151" s="96"/>
    </row>
    <row r="48152" hidden="1">
      <c r="E48152" s="96"/>
    </row>
    <row r="48153" hidden="1">
      <c r="E48153" s="96"/>
    </row>
    <row r="48154" hidden="1">
      <c r="E48154" s="96"/>
    </row>
    <row r="48155" hidden="1">
      <c r="E48155" s="96"/>
    </row>
    <row r="48156" hidden="1">
      <c r="E48156" s="96"/>
    </row>
    <row r="48157" hidden="1">
      <c r="E48157" s="96"/>
    </row>
    <row r="48158" hidden="1">
      <c r="E48158" s="96"/>
    </row>
    <row r="48159" hidden="1">
      <c r="E48159" s="96"/>
    </row>
    <row r="48160" hidden="1">
      <c r="E48160" s="96"/>
    </row>
    <row r="48161" hidden="1">
      <c r="E48161" s="96"/>
    </row>
    <row r="48162" hidden="1">
      <c r="E48162" s="96"/>
    </row>
    <row r="48163" hidden="1">
      <c r="E48163" s="96"/>
    </row>
    <row r="48164" hidden="1">
      <c r="E48164" s="96"/>
    </row>
    <row r="48165" hidden="1">
      <c r="E48165" s="96"/>
    </row>
    <row r="48166" hidden="1">
      <c r="E48166" s="96"/>
    </row>
    <row r="48167" hidden="1">
      <c r="E48167" s="96"/>
    </row>
    <row r="48168" hidden="1">
      <c r="E48168" s="96"/>
    </row>
    <row r="48169" hidden="1">
      <c r="E48169" s="96"/>
    </row>
    <row r="48170" hidden="1">
      <c r="E48170" s="96"/>
    </row>
    <row r="48171" hidden="1">
      <c r="E48171" s="96"/>
    </row>
    <row r="48172" hidden="1">
      <c r="E48172" s="96"/>
    </row>
    <row r="48173" hidden="1">
      <c r="E48173" s="96"/>
    </row>
    <row r="48174" hidden="1">
      <c r="E48174" s="96"/>
    </row>
    <row r="48175" hidden="1">
      <c r="E48175" s="96"/>
    </row>
    <row r="48176" hidden="1">
      <c r="E48176" s="96"/>
    </row>
    <row r="48177" hidden="1">
      <c r="E48177" s="96"/>
    </row>
    <row r="48178" hidden="1">
      <c r="E48178" s="96"/>
    </row>
    <row r="48179" hidden="1">
      <c r="E48179" s="96"/>
    </row>
    <row r="48180" hidden="1">
      <c r="E48180" s="96"/>
    </row>
    <row r="48181" hidden="1">
      <c r="E48181" s="96"/>
    </row>
    <row r="48182" hidden="1">
      <c r="E48182" s="96"/>
    </row>
    <row r="48183" hidden="1">
      <c r="E48183" s="96"/>
    </row>
    <row r="48184" hidden="1">
      <c r="E48184" s="96"/>
    </row>
    <row r="48185" hidden="1">
      <c r="E48185" s="96"/>
    </row>
    <row r="48186" hidden="1">
      <c r="E48186" s="96"/>
    </row>
    <row r="48187" hidden="1">
      <c r="E48187" s="96"/>
    </row>
    <row r="48188" hidden="1">
      <c r="E48188" s="96"/>
    </row>
    <row r="48189" hidden="1">
      <c r="E48189" s="96"/>
    </row>
    <row r="48190" hidden="1">
      <c r="E48190" s="96"/>
    </row>
    <row r="48191" hidden="1">
      <c r="E48191" s="96"/>
    </row>
    <row r="48192" hidden="1">
      <c r="E48192" s="96"/>
    </row>
    <row r="48193" hidden="1">
      <c r="E48193" s="96"/>
    </row>
    <row r="48194" hidden="1">
      <c r="E48194" s="96"/>
    </row>
    <row r="48195" hidden="1">
      <c r="E48195" s="96"/>
    </row>
    <row r="48196" hidden="1">
      <c r="E48196" s="96"/>
    </row>
    <row r="48197" hidden="1">
      <c r="E48197" s="96"/>
    </row>
    <row r="48198" hidden="1">
      <c r="E48198" s="96"/>
    </row>
    <row r="48199" hidden="1">
      <c r="E48199" s="96"/>
    </row>
    <row r="48200" hidden="1">
      <c r="E48200" s="96"/>
    </row>
    <row r="48201" hidden="1">
      <c r="E48201" s="96"/>
    </row>
    <row r="48202" hidden="1">
      <c r="E48202" s="96"/>
    </row>
    <row r="48203" hidden="1">
      <c r="E48203" s="96"/>
    </row>
    <row r="48204" hidden="1">
      <c r="E48204" s="96"/>
    </row>
    <row r="48205" hidden="1">
      <c r="E48205" s="96"/>
    </row>
    <row r="48206" hidden="1">
      <c r="E48206" s="96"/>
    </row>
    <row r="48207" hidden="1">
      <c r="E48207" s="96"/>
    </row>
    <row r="48208" hidden="1">
      <c r="E48208" s="96"/>
    </row>
    <row r="48209" hidden="1">
      <c r="E48209" s="96"/>
    </row>
    <row r="48210" hidden="1">
      <c r="E48210" s="96"/>
    </row>
    <row r="48211" hidden="1">
      <c r="E48211" s="96"/>
    </row>
    <row r="48212" hidden="1">
      <c r="E48212" s="96"/>
    </row>
    <row r="48213" hidden="1">
      <c r="E48213" s="96"/>
    </row>
    <row r="48214" hidden="1">
      <c r="E48214" s="96"/>
    </row>
    <row r="48215" hidden="1">
      <c r="E48215" s="96"/>
    </row>
    <row r="48216" hidden="1">
      <c r="E48216" s="96"/>
    </row>
    <row r="48217" hidden="1">
      <c r="E48217" s="96"/>
    </row>
    <row r="48218" hidden="1">
      <c r="E48218" s="96"/>
    </row>
    <row r="48219" hidden="1">
      <c r="E48219" s="96"/>
    </row>
    <row r="48220" hidden="1">
      <c r="E48220" s="96"/>
    </row>
    <row r="48221" hidden="1">
      <c r="E48221" s="96"/>
    </row>
    <row r="48222" hidden="1">
      <c r="E48222" s="96"/>
    </row>
    <row r="48223" hidden="1">
      <c r="E48223" s="96"/>
    </row>
    <row r="48224" hidden="1">
      <c r="E48224" s="96"/>
    </row>
    <row r="48225" hidden="1">
      <c r="E48225" s="96"/>
    </row>
    <row r="48226" hidden="1">
      <c r="E48226" s="96"/>
    </row>
    <row r="48227" hidden="1">
      <c r="E48227" s="96"/>
    </row>
    <row r="48228" hidden="1">
      <c r="E48228" s="96"/>
    </row>
    <row r="48229" hidden="1">
      <c r="E48229" s="96"/>
    </row>
    <row r="48230" hidden="1">
      <c r="E48230" s="96"/>
    </row>
    <row r="48231" hidden="1">
      <c r="E48231" s="96"/>
    </row>
    <row r="48232" hidden="1">
      <c r="E48232" s="96"/>
    </row>
    <row r="48233" hidden="1">
      <c r="E48233" s="96"/>
    </row>
    <row r="48234" hidden="1">
      <c r="E48234" s="96"/>
    </row>
    <row r="48235" hidden="1">
      <c r="E48235" s="96"/>
    </row>
    <row r="48236" hidden="1">
      <c r="E48236" s="96"/>
    </row>
    <row r="48237" hidden="1">
      <c r="E48237" s="96"/>
    </row>
    <row r="48238" hidden="1">
      <c r="E48238" s="96"/>
    </row>
    <row r="48239" hidden="1">
      <c r="E48239" s="96"/>
    </row>
    <row r="48240" hidden="1">
      <c r="E48240" s="96"/>
    </row>
    <row r="48241" hidden="1">
      <c r="E48241" s="96"/>
    </row>
    <row r="48242" hidden="1">
      <c r="E48242" s="96"/>
    </row>
    <row r="48243" hidden="1">
      <c r="E48243" s="96"/>
    </row>
    <row r="48244" hidden="1">
      <c r="E48244" s="96"/>
    </row>
    <row r="48245" hidden="1">
      <c r="E48245" s="96"/>
    </row>
    <row r="48246" hidden="1">
      <c r="E48246" s="96"/>
    </row>
    <row r="48247" hidden="1">
      <c r="E48247" s="96"/>
    </row>
    <row r="48248" hidden="1">
      <c r="E48248" s="96"/>
    </row>
    <row r="48249" hidden="1">
      <c r="E48249" s="96"/>
    </row>
    <row r="48250" hidden="1">
      <c r="E48250" s="96"/>
    </row>
    <row r="48251" hidden="1">
      <c r="E48251" s="96"/>
    </row>
    <row r="48252" hidden="1">
      <c r="E48252" s="96"/>
    </row>
    <row r="48253" hidden="1">
      <c r="E48253" s="96"/>
    </row>
    <row r="48254" hidden="1">
      <c r="E48254" s="96"/>
    </row>
    <row r="48255" hidden="1">
      <c r="E48255" s="96"/>
    </row>
    <row r="48256" hidden="1">
      <c r="E48256" s="96"/>
    </row>
    <row r="48257" hidden="1">
      <c r="E48257" s="96"/>
    </row>
    <row r="48258" hidden="1">
      <c r="E48258" s="96"/>
    </row>
    <row r="48259" hidden="1">
      <c r="E48259" s="96"/>
    </row>
    <row r="48260" hidden="1">
      <c r="E48260" s="96"/>
    </row>
    <row r="48261" hidden="1">
      <c r="E48261" s="96"/>
    </row>
    <row r="48262" hidden="1">
      <c r="E48262" s="96"/>
    </row>
    <row r="48263" hidden="1">
      <c r="E48263" s="96"/>
    </row>
    <row r="48264" hidden="1">
      <c r="E48264" s="96"/>
    </row>
    <row r="48265" hidden="1">
      <c r="E48265" s="96"/>
    </row>
    <row r="48266" hidden="1">
      <c r="E48266" s="96"/>
    </row>
    <row r="48267" hidden="1">
      <c r="E48267" s="96"/>
    </row>
    <row r="48268" hidden="1">
      <c r="E48268" s="96"/>
    </row>
    <row r="48269" hidden="1">
      <c r="E48269" s="96"/>
    </row>
    <row r="48270" hidden="1">
      <c r="E48270" s="96"/>
    </row>
    <row r="48271" hidden="1">
      <c r="E48271" s="96"/>
    </row>
    <row r="48272" hidden="1">
      <c r="E48272" s="96"/>
    </row>
    <row r="48273" hidden="1">
      <c r="E48273" s="96"/>
    </row>
    <row r="48274" hidden="1">
      <c r="E48274" s="96"/>
    </row>
    <row r="48275" hidden="1">
      <c r="E48275" s="96"/>
    </row>
    <row r="48276" hidden="1">
      <c r="E48276" s="96"/>
    </row>
    <row r="48277" hidden="1">
      <c r="E48277" s="96"/>
    </row>
    <row r="48278" hidden="1">
      <c r="E48278" s="96"/>
    </row>
    <row r="48279" hidden="1">
      <c r="E48279" s="96"/>
    </row>
    <row r="48280" hidden="1">
      <c r="E48280" s="96"/>
    </row>
    <row r="48281" hidden="1">
      <c r="E48281" s="96"/>
    </row>
    <row r="48282" hidden="1">
      <c r="E48282" s="96"/>
    </row>
    <row r="48283" hidden="1">
      <c r="E48283" s="96"/>
    </row>
    <row r="48284" hidden="1">
      <c r="E48284" s="96"/>
    </row>
    <row r="48285" hidden="1">
      <c r="E48285" s="96"/>
    </row>
    <row r="48286" hidden="1">
      <c r="E48286" s="96"/>
    </row>
    <row r="48287" hidden="1">
      <c r="E48287" s="96"/>
    </row>
    <row r="48288" hidden="1">
      <c r="E48288" s="96"/>
    </row>
    <row r="48289" hidden="1">
      <c r="E48289" s="96"/>
    </row>
    <row r="48290" hidden="1">
      <c r="E48290" s="96"/>
    </row>
    <row r="48291" hidden="1">
      <c r="E48291" s="96"/>
    </row>
    <row r="48292" hidden="1">
      <c r="E48292" s="96"/>
    </row>
    <row r="48293" hidden="1">
      <c r="E48293" s="96"/>
    </row>
    <row r="48294" hidden="1">
      <c r="E48294" s="96"/>
    </row>
    <row r="48295" hidden="1">
      <c r="E48295" s="96"/>
    </row>
    <row r="48296" hidden="1">
      <c r="E48296" s="96"/>
    </row>
    <row r="48297" hidden="1">
      <c r="E48297" s="96"/>
    </row>
    <row r="48298" hidden="1">
      <c r="E48298" s="96"/>
    </row>
    <row r="48299" hidden="1">
      <c r="E48299" s="96"/>
    </row>
    <row r="48300" hidden="1">
      <c r="E48300" s="96"/>
    </row>
    <row r="48301" hidden="1">
      <c r="E48301" s="96"/>
    </row>
    <row r="48302" hidden="1">
      <c r="E48302" s="96"/>
    </row>
    <row r="48303" hidden="1">
      <c r="E48303" s="96"/>
    </row>
    <row r="48304" hidden="1">
      <c r="E48304" s="96"/>
    </row>
    <row r="48305" hidden="1">
      <c r="E48305" s="96"/>
    </row>
    <row r="48306" hidden="1">
      <c r="E48306" s="96"/>
    </row>
    <row r="48307" hidden="1">
      <c r="E48307" s="96"/>
    </row>
    <row r="48308" hidden="1">
      <c r="E48308" s="96"/>
    </row>
    <row r="48309" hidden="1">
      <c r="E48309" s="96"/>
    </row>
    <row r="48310" hidden="1">
      <c r="E48310" s="96"/>
    </row>
    <row r="48311" hidden="1">
      <c r="E48311" s="96"/>
    </row>
    <row r="48312" hidden="1">
      <c r="E48312" s="96"/>
    </row>
    <row r="48313" hidden="1">
      <c r="E48313" s="96"/>
    </row>
    <row r="48314" hidden="1">
      <c r="E48314" s="96"/>
    </row>
    <row r="48315" hidden="1">
      <c r="E48315" s="96"/>
    </row>
    <row r="48316" hidden="1">
      <c r="E48316" s="96"/>
    </row>
    <row r="48317" hidden="1">
      <c r="E48317" s="96"/>
    </row>
    <row r="48318" hidden="1">
      <c r="E48318" s="96"/>
    </row>
    <row r="48319" hidden="1">
      <c r="E48319" s="96"/>
    </row>
    <row r="48320" hidden="1">
      <c r="E48320" s="96"/>
    </row>
    <row r="48321" hidden="1">
      <c r="E48321" s="96"/>
    </row>
    <row r="48322" hidden="1">
      <c r="E48322" s="96"/>
    </row>
    <row r="48323" hidden="1">
      <c r="E48323" s="96"/>
    </row>
    <row r="48324" hidden="1">
      <c r="E48324" s="96"/>
    </row>
    <row r="48325" hidden="1">
      <c r="E48325" s="96"/>
    </row>
    <row r="48326" hidden="1">
      <c r="E48326" s="96"/>
    </row>
    <row r="48327" hidden="1">
      <c r="E48327" s="96"/>
    </row>
    <row r="48328" hidden="1">
      <c r="E48328" s="96"/>
    </row>
    <row r="48329" hidden="1">
      <c r="E48329" s="96"/>
    </row>
    <row r="48330" hidden="1">
      <c r="E48330" s="96"/>
    </row>
    <row r="48331" hidden="1">
      <c r="E48331" s="96"/>
    </row>
    <row r="48332" hidden="1">
      <c r="E48332" s="96"/>
    </row>
    <row r="48333" hidden="1">
      <c r="E48333" s="96"/>
    </row>
    <row r="48334" hidden="1">
      <c r="E48334" s="96"/>
    </row>
    <row r="48335" hidden="1">
      <c r="E48335" s="96"/>
    </row>
    <row r="48336" hidden="1">
      <c r="E48336" s="96"/>
    </row>
    <row r="48337" hidden="1">
      <c r="E48337" s="96"/>
    </row>
    <row r="48338" hidden="1">
      <c r="E48338" s="96"/>
    </row>
    <row r="48339" hidden="1">
      <c r="E48339" s="96"/>
    </row>
    <row r="48340" hidden="1">
      <c r="E48340" s="96"/>
    </row>
    <row r="48341" hidden="1">
      <c r="E48341" s="96"/>
    </row>
    <row r="48342" hidden="1">
      <c r="E48342" s="96"/>
    </row>
    <row r="48343" hidden="1">
      <c r="E48343" s="96"/>
    </row>
    <row r="48344" hidden="1">
      <c r="E48344" s="96"/>
    </row>
    <row r="48345" hidden="1">
      <c r="E48345" s="96"/>
    </row>
    <row r="48346" hidden="1">
      <c r="E48346" s="96"/>
    </row>
    <row r="48347" hidden="1">
      <c r="E48347" s="96"/>
    </row>
    <row r="48348" hidden="1">
      <c r="E48348" s="96"/>
    </row>
    <row r="48349" hidden="1">
      <c r="E48349" s="96"/>
    </row>
    <row r="48350" hidden="1">
      <c r="E48350" s="96"/>
    </row>
    <row r="48351" hidden="1">
      <c r="E48351" s="96"/>
    </row>
    <row r="48352" hidden="1">
      <c r="E48352" s="96"/>
    </row>
    <row r="48353" hidden="1">
      <c r="E48353" s="96"/>
    </row>
    <row r="48354" hidden="1">
      <c r="E48354" s="96"/>
    </row>
    <row r="48355" hidden="1">
      <c r="E48355" s="96"/>
    </row>
    <row r="48356" hidden="1">
      <c r="E48356" s="96"/>
    </row>
    <row r="48357" hidden="1">
      <c r="E48357" s="96"/>
    </row>
    <row r="48358" hidden="1">
      <c r="E48358" s="96"/>
    </row>
    <row r="48359" hidden="1">
      <c r="E48359" s="96"/>
    </row>
    <row r="48360" hidden="1">
      <c r="E48360" s="96"/>
    </row>
    <row r="48361" hidden="1">
      <c r="E48361" s="96"/>
    </row>
    <row r="48362" hidden="1">
      <c r="E48362" s="96"/>
    </row>
    <row r="48363" hidden="1">
      <c r="E48363" s="96"/>
    </row>
    <row r="48364" hidden="1">
      <c r="E48364" s="96"/>
    </row>
    <row r="48365" hidden="1">
      <c r="E48365" s="96"/>
    </row>
    <row r="48366" hidden="1">
      <c r="E48366" s="96"/>
    </row>
    <row r="48367" hidden="1">
      <c r="E48367" s="96"/>
    </row>
    <row r="48368" hidden="1">
      <c r="E48368" s="96"/>
    </row>
    <row r="48369" hidden="1">
      <c r="E48369" s="96"/>
    </row>
    <row r="48370" hidden="1">
      <c r="E48370" s="96"/>
    </row>
    <row r="48371" hidden="1">
      <c r="E48371" s="96"/>
    </row>
    <row r="48372" hidden="1">
      <c r="E48372" s="96"/>
    </row>
    <row r="48373" hidden="1">
      <c r="E48373" s="96"/>
    </row>
    <row r="48374" hidden="1">
      <c r="E48374" s="96"/>
    </row>
    <row r="48375" hidden="1">
      <c r="E48375" s="96"/>
    </row>
    <row r="48376" hidden="1">
      <c r="E48376" s="96"/>
    </row>
    <row r="48377" hidden="1">
      <c r="E48377" s="96"/>
    </row>
    <row r="48378" hidden="1">
      <c r="E48378" s="96"/>
    </row>
    <row r="48379" hidden="1">
      <c r="E48379" s="96"/>
    </row>
    <row r="48380" hidden="1">
      <c r="E48380" s="96"/>
    </row>
    <row r="48381" hidden="1">
      <c r="E48381" s="96"/>
    </row>
    <row r="48382" hidden="1">
      <c r="E48382" s="96"/>
    </row>
    <row r="48383" hidden="1">
      <c r="E48383" s="96"/>
    </row>
    <row r="48384" hidden="1">
      <c r="E48384" s="96"/>
    </row>
    <row r="48385" hidden="1">
      <c r="E48385" s="96"/>
    </row>
    <row r="48386" hidden="1">
      <c r="E48386" s="96"/>
    </row>
    <row r="48387" hidden="1">
      <c r="E48387" s="96"/>
    </row>
    <row r="48388" hidden="1">
      <c r="E48388" s="96"/>
    </row>
    <row r="48389" hidden="1">
      <c r="E48389" s="96"/>
    </row>
    <row r="48390" hidden="1">
      <c r="E48390" s="96"/>
    </row>
    <row r="48391" hidden="1">
      <c r="E48391" s="96"/>
    </row>
    <row r="48392" hidden="1">
      <c r="E48392" s="96"/>
    </row>
    <row r="48393" hidden="1">
      <c r="E48393" s="96"/>
    </row>
    <row r="48394" hidden="1">
      <c r="E48394" s="96"/>
    </row>
    <row r="48395" hidden="1">
      <c r="E48395" s="96"/>
    </row>
    <row r="48396" hidden="1">
      <c r="E48396" s="96"/>
    </row>
    <row r="48397" hidden="1">
      <c r="E48397" s="96"/>
    </row>
    <row r="48398" hidden="1">
      <c r="E48398" s="96"/>
    </row>
    <row r="48399" hidden="1">
      <c r="E48399" s="96"/>
    </row>
    <row r="48400" hidden="1">
      <c r="E48400" s="96"/>
    </row>
    <row r="48401" hidden="1">
      <c r="E48401" s="96"/>
    </row>
    <row r="48402" hidden="1">
      <c r="E48402" s="96"/>
    </row>
    <row r="48403" hidden="1">
      <c r="E48403" s="96"/>
    </row>
    <row r="48404" hidden="1">
      <c r="E48404" s="96"/>
    </row>
    <row r="48405" hidden="1">
      <c r="E48405" s="96"/>
    </row>
    <row r="48406" hidden="1">
      <c r="E48406" s="96"/>
    </row>
    <row r="48407" hidden="1">
      <c r="E48407" s="96"/>
    </row>
    <row r="48408" hidden="1">
      <c r="E48408" s="96"/>
    </row>
    <row r="48409" hidden="1">
      <c r="E48409" s="96"/>
    </row>
    <row r="48410" hidden="1">
      <c r="E48410" s="96"/>
    </row>
    <row r="48411" hidden="1">
      <c r="E48411" s="96"/>
    </row>
    <row r="48412" hidden="1">
      <c r="E48412" s="96"/>
    </row>
    <row r="48413" hidden="1">
      <c r="E48413" s="96"/>
    </row>
    <row r="48414" hidden="1">
      <c r="E48414" s="96"/>
    </row>
    <row r="48415" hidden="1">
      <c r="E48415" s="96"/>
    </row>
    <row r="48416" hidden="1">
      <c r="E48416" s="96"/>
    </row>
    <row r="48417" hidden="1">
      <c r="E48417" s="96"/>
    </row>
    <row r="48418" hidden="1">
      <c r="E48418" s="96"/>
    </row>
    <row r="48419" hidden="1">
      <c r="E48419" s="96"/>
    </row>
    <row r="48420" hidden="1">
      <c r="E48420" s="96"/>
    </row>
    <row r="48421" hidden="1">
      <c r="E48421" s="96"/>
    </row>
    <row r="48422" hidden="1">
      <c r="E48422" s="96"/>
    </row>
    <row r="48423" hidden="1">
      <c r="E48423" s="96"/>
    </row>
    <row r="48424" hidden="1">
      <c r="E48424" s="96"/>
    </row>
    <row r="48425" hidden="1">
      <c r="E48425" s="96"/>
    </row>
    <row r="48426" hidden="1">
      <c r="E48426" s="96"/>
    </row>
    <row r="48427" hidden="1">
      <c r="E48427" s="96"/>
    </row>
    <row r="48428" hidden="1">
      <c r="E48428" s="96"/>
    </row>
    <row r="48429" hidden="1">
      <c r="E48429" s="96"/>
    </row>
    <row r="48430" hidden="1">
      <c r="E48430" s="96"/>
    </row>
    <row r="48431" hidden="1">
      <c r="E48431" s="96"/>
    </row>
    <row r="48432" hidden="1">
      <c r="E48432" s="96"/>
    </row>
    <row r="48433" hidden="1">
      <c r="E48433" s="96"/>
    </row>
    <row r="48434" hidden="1">
      <c r="E48434" s="96"/>
    </row>
    <row r="48435" hidden="1">
      <c r="E48435" s="96"/>
    </row>
    <row r="48436" hidden="1">
      <c r="E48436" s="96"/>
    </row>
    <row r="48437" hidden="1">
      <c r="E48437" s="96"/>
    </row>
    <row r="48438" hidden="1">
      <c r="E48438" s="96"/>
    </row>
    <row r="48439" hidden="1">
      <c r="E48439" s="96"/>
    </row>
    <row r="48440" hidden="1">
      <c r="E48440" s="96"/>
    </row>
    <row r="48441" hidden="1">
      <c r="E48441" s="96"/>
    </row>
    <row r="48442" hidden="1">
      <c r="E48442" s="96"/>
    </row>
    <row r="48443" hidden="1">
      <c r="E48443" s="96"/>
    </row>
    <row r="48444" hidden="1">
      <c r="E48444" s="96"/>
    </row>
    <row r="48445" hidden="1">
      <c r="E48445" s="96"/>
    </row>
    <row r="48446" hidden="1">
      <c r="E48446" s="96"/>
    </row>
    <row r="48447" hidden="1">
      <c r="E48447" s="96"/>
    </row>
    <row r="48448" hidden="1">
      <c r="E48448" s="96"/>
    </row>
    <row r="48449" hidden="1">
      <c r="E48449" s="96"/>
    </row>
    <row r="48450" hidden="1">
      <c r="E48450" s="96"/>
    </row>
    <row r="48451" hidden="1">
      <c r="E48451" s="96"/>
    </row>
    <row r="48452" hidden="1">
      <c r="E48452" s="96"/>
    </row>
    <row r="48453" hidden="1">
      <c r="E48453" s="96"/>
    </row>
    <row r="48454" hidden="1">
      <c r="E48454" s="96"/>
    </row>
    <row r="48455" hidden="1">
      <c r="E48455" s="96"/>
    </row>
    <row r="48456" hidden="1">
      <c r="E48456" s="96"/>
    </row>
    <row r="48457" hidden="1">
      <c r="E48457" s="96"/>
    </row>
    <row r="48458" hidden="1">
      <c r="E48458" s="96"/>
    </row>
    <row r="48459" hidden="1">
      <c r="E48459" s="96"/>
    </row>
    <row r="48460" hidden="1">
      <c r="E48460" s="96"/>
    </row>
    <row r="48461" hidden="1">
      <c r="E48461" s="96"/>
    </row>
    <row r="48462" hidden="1">
      <c r="E48462" s="96"/>
    </row>
    <row r="48463" hidden="1">
      <c r="E48463" s="96"/>
    </row>
    <row r="48464" hidden="1">
      <c r="E48464" s="96"/>
    </row>
    <row r="48465" hidden="1">
      <c r="E48465" s="96"/>
    </row>
    <row r="48466" hidden="1">
      <c r="E48466" s="96"/>
    </row>
    <row r="48467" hidden="1">
      <c r="E48467" s="96"/>
    </row>
    <row r="48468" hidden="1">
      <c r="E48468" s="96"/>
    </row>
    <row r="48469" hidden="1">
      <c r="E48469" s="96"/>
    </row>
    <row r="48470" hidden="1">
      <c r="E48470" s="96"/>
    </row>
    <row r="48471" hidden="1">
      <c r="E48471" s="96"/>
    </row>
    <row r="48472" hidden="1">
      <c r="E48472" s="96"/>
    </row>
    <row r="48473" hidden="1">
      <c r="E48473" s="96"/>
    </row>
    <row r="48474" hidden="1">
      <c r="E48474" s="96"/>
    </row>
    <row r="48475" hidden="1">
      <c r="E48475" s="96"/>
    </row>
    <row r="48476" hidden="1">
      <c r="E48476" s="96"/>
    </row>
    <row r="48477" hidden="1">
      <c r="E48477" s="96"/>
    </row>
    <row r="48478" hidden="1">
      <c r="E48478" s="96"/>
    </row>
    <row r="48479" hidden="1">
      <c r="E48479" s="96"/>
    </row>
    <row r="48480" hidden="1">
      <c r="E48480" s="96"/>
    </row>
    <row r="48481" hidden="1">
      <c r="E48481" s="96"/>
    </row>
    <row r="48482" hidden="1">
      <c r="E48482" s="96"/>
    </row>
    <row r="48483" hidden="1">
      <c r="E48483" s="96"/>
    </row>
    <row r="48484" hidden="1">
      <c r="E48484" s="96"/>
    </row>
    <row r="48485" hidden="1">
      <c r="E48485" s="96"/>
    </row>
    <row r="48486" hidden="1">
      <c r="E48486" s="96"/>
    </row>
    <row r="48487" hidden="1">
      <c r="E48487" s="96"/>
    </row>
    <row r="48488" hidden="1">
      <c r="E48488" s="96"/>
    </row>
    <row r="48489" hidden="1">
      <c r="E48489" s="96"/>
    </row>
    <row r="48490" hidden="1">
      <c r="E48490" s="96"/>
    </row>
    <row r="48491" hidden="1">
      <c r="E48491" s="96"/>
    </row>
    <row r="48492" hidden="1">
      <c r="E48492" s="96"/>
    </row>
    <row r="48493" hidden="1">
      <c r="E48493" s="96"/>
    </row>
    <row r="48494" hidden="1">
      <c r="E48494" s="96"/>
    </row>
    <row r="48495" hidden="1">
      <c r="E48495" s="96"/>
    </row>
    <row r="48496" hidden="1">
      <c r="E48496" s="96"/>
    </row>
    <row r="48497" hidden="1">
      <c r="E48497" s="96"/>
    </row>
    <row r="48498" hidden="1">
      <c r="E48498" s="96"/>
    </row>
    <row r="48499" hidden="1">
      <c r="E48499" s="96"/>
    </row>
    <row r="48500" hidden="1">
      <c r="E48500" s="96"/>
    </row>
    <row r="48501" hidden="1">
      <c r="E48501" s="96"/>
    </row>
    <row r="48502" hidden="1">
      <c r="E48502" s="96"/>
    </row>
    <row r="48503" hidden="1">
      <c r="E48503" s="96"/>
    </row>
    <row r="48504" hidden="1">
      <c r="E48504" s="96"/>
    </row>
    <row r="48505" hidden="1">
      <c r="E48505" s="96"/>
    </row>
    <row r="48506" hidden="1">
      <c r="E48506" s="96"/>
    </row>
    <row r="48507" hidden="1">
      <c r="E48507" s="96"/>
    </row>
    <row r="48508" hidden="1">
      <c r="E48508" s="96"/>
    </row>
    <row r="48509" hidden="1">
      <c r="E48509" s="96"/>
    </row>
    <row r="48510" hidden="1">
      <c r="E48510" s="96"/>
    </row>
    <row r="48511" hidden="1">
      <c r="E48511" s="96"/>
    </row>
    <row r="48512" hidden="1">
      <c r="E48512" s="96"/>
    </row>
    <row r="48513" hidden="1">
      <c r="E48513" s="96"/>
    </row>
    <row r="48514" hidden="1">
      <c r="E48514" s="96"/>
    </row>
    <row r="48515" hidden="1">
      <c r="E48515" s="96"/>
    </row>
    <row r="48516" hidden="1">
      <c r="E48516" s="96"/>
    </row>
    <row r="48517" hidden="1">
      <c r="E48517" s="96"/>
    </row>
    <row r="48518" hidden="1">
      <c r="E48518" s="96"/>
    </row>
    <row r="48519" hidden="1">
      <c r="E48519" s="96"/>
    </row>
    <row r="48520" hidden="1">
      <c r="E48520" s="96"/>
    </row>
    <row r="48521" hidden="1">
      <c r="E48521" s="96"/>
    </row>
    <row r="48522" hidden="1">
      <c r="E48522" s="96"/>
    </row>
    <row r="48523" hidden="1">
      <c r="E48523" s="96"/>
    </row>
    <row r="48524" hidden="1">
      <c r="E48524" s="96"/>
    </row>
    <row r="48525" hidden="1">
      <c r="E48525" s="96"/>
    </row>
    <row r="48526" hidden="1">
      <c r="E48526" s="96"/>
    </row>
    <row r="48527" hidden="1">
      <c r="E48527" s="96"/>
    </row>
    <row r="48528" hidden="1">
      <c r="E48528" s="96"/>
    </row>
    <row r="48529" hidden="1">
      <c r="E48529" s="96"/>
    </row>
    <row r="48530" hidden="1">
      <c r="E48530" s="96"/>
    </row>
    <row r="48531" hidden="1">
      <c r="E48531" s="96"/>
    </row>
    <row r="48532" hidden="1">
      <c r="E48532" s="96"/>
    </row>
    <row r="48533" hidden="1">
      <c r="E48533" s="96"/>
    </row>
    <row r="48534" hidden="1">
      <c r="E48534" s="96"/>
    </row>
    <row r="48535" hidden="1">
      <c r="E48535" s="96"/>
    </row>
    <row r="48536" hidden="1">
      <c r="E48536" s="96"/>
    </row>
    <row r="48537" hidden="1">
      <c r="E48537" s="96"/>
    </row>
    <row r="48538" hidden="1">
      <c r="E48538" s="96"/>
    </row>
    <row r="48539" hidden="1">
      <c r="E48539" s="96"/>
    </row>
    <row r="48540" hidden="1">
      <c r="E48540" s="96"/>
    </row>
    <row r="48541" hidden="1">
      <c r="E48541" s="96"/>
    </row>
    <row r="48542" hidden="1">
      <c r="E48542" s="96"/>
    </row>
    <row r="48543" hidden="1">
      <c r="E48543" s="96"/>
    </row>
    <row r="48544" hidden="1">
      <c r="E48544" s="96"/>
    </row>
    <row r="48545" hidden="1">
      <c r="E48545" s="96"/>
    </row>
    <row r="48546" hidden="1">
      <c r="E48546" s="96"/>
    </row>
    <row r="48547" hidden="1">
      <c r="E48547" s="96"/>
    </row>
    <row r="48548" hidden="1">
      <c r="E48548" s="96"/>
    </row>
    <row r="48549" hidden="1">
      <c r="E48549" s="96"/>
    </row>
    <row r="48550" hidden="1">
      <c r="E48550" s="96"/>
    </row>
    <row r="48551" hidden="1">
      <c r="E48551" s="96"/>
    </row>
    <row r="48552" hidden="1">
      <c r="E48552" s="96"/>
    </row>
    <row r="48553" hidden="1">
      <c r="E48553" s="96"/>
    </row>
    <row r="48554" hidden="1">
      <c r="E48554" s="96"/>
    </row>
    <row r="48555" hidden="1">
      <c r="E48555" s="96"/>
    </row>
    <row r="48556" hidden="1">
      <c r="E48556" s="96"/>
    </row>
    <row r="48557" hidden="1">
      <c r="E48557" s="96"/>
    </row>
    <row r="48558" hidden="1">
      <c r="E48558" s="96"/>
    </row>
    <row r="48559" hidden="1">
      <c r="E48559" s="96"/>
    </row>
    <row r="48560" hidden="1">
      <c r="E48560" s="96"/>
    </row>
    <row r="48561" hidden="1">
      <c r="E48561" s="96"/>
    </row>
    <row r="48562" hidden="1">
      <c r="E48562" s="96"/>
    </row>
    <row r="48563" hidden="1">
      <c r="E48563" s="96"/>
    </row>
    <row r="48564" hidden="1">
      <c r="E48564" s="96"/>
    </row>
    <row r="48565" hidden="1">
      <c r="E48565" s="96"/>
    </row>
    <row r="48566" hidden="1">
      <c r="E48566" s="96"/>
    </row>
    <row r="48567" hidden="1">
      <c r="E48567" s="96"/>
    </row>
    <row r="48568" hidden="1">
      <c r="E48568" s="96"/>
    </row>
    <row r="48569" hidden="1">
      <c r="E48569" s="96"/>
    </row>
    <row r="48570" hidden="1">
      <c r="E48570" s="96"/>
    </row>
    <row r="48571" hidden="1">
      <c r="E48571" s="96"/>
    </row>
    <row r="48572" hidden="1">
      <c r="E48572" s="96"/>
    </row>
    <row r="48573" hidden="1">
      <c r="E48573" s="96"/>
    </row>
    <row r="48574" hidden="1">
      <c r="E48574" s="96"/>
    </row>
    <row r="48575" hidden="1">
      <c r="E48575" s="96"/>
    </row>
    <row r="48576" hidden="1">
      <c r="E48576" s="96"/>
    </row>
    <row r="48577" hidden="1">
      <c r="E48577" s="96"/>
    </row>
    <row r="48578" hidden="1">
      <c r="E48578" s="96"/>
    </row>
    <row r="48579" hidden="1">
      <c r="E48579" s="96"/>
    </row>
    <row r="48580" hidden="1">
      <c r="E48580" s="96"/>
    </row>
    <row r="48581" hidden="1">
      <c r="E48581" s="96"/>
    </row>
    <row r="48582" hidden="1">
      <c r="E48582" s="96"/>
    </row>
    <row r="48583" hidden="1">
      <c r="E48583" s="96"/>
    </row>
    <row r="48584" hidden="1">
      <c r="E48584" s="96"/>
    </row>
    <row r="48585" hidden="1">
      <c r="E48585" s="96"/>
    </row>
    <row r="48586" hidden="1">
      <c r="E48586" s="96"/>
    </row>
    <row r="48587" hidden="1">
      <c r="E48587" s="96"/>
    </row>
    <row r="48588" hidden="1">
      <c r="E48588" s="96"/>
    </row>
    <row r="48589" hidden="1">
      <c r="E48589" s="96"/>
    </row>
    <row r="48590" hidden="1">
      <c r="E48590" s="96"/>
    </row>
    <row r="48591" hidden="1">
      <c r="E48591" s="96"/>
    </row>
    <row r="48592" hidden="1">
      <c r="E48592" s="96"/>
    </row>
    <row r="48593" hidden="1">
      <c r="E48593" s="96"/>
    </row>
    <row r="48594" hidden="1">
      <c r="E48594" s="96"/>
    </row>
    <row r="48595" hidden="1">
      <c r="E48595" s="96"/>
    </row>
    <row r="48596" hidden="1">
      <c r="E48596" s="96"/>
    </row>
    <row r="48597" hidden="1">
      <c r="E48597" s="96"/>
    </row>
    <row r="48598" hidden="1">
      <c r="E48598" s="96"/>
    </row>
    <row r="48599" hidden="1">
      <c r="E48599" s="96"/>
    </row>
    <row r="48600" hidden="1">
      <c r="E48600" s="96"/>
    </row>
    <row r="48601" hidden="1">
      <c r="E48601" s="96"/>
    </row>
    <row r="48602" hidden="1">
      <c r="E48602" s="96"/>
    </row>
    <row r="48603" hidden="1">
      <c r="E48603" s="96"/>
    </row>
    <row r="48604" hidden="1">
      <c r="E48604" s="96"/>
    </row>
    <row r="48605" hidden="1">
      <c r="E48605" s="96"/>
    </row>
    <row r="48606" hidden="1">
      <c r="E48606" s="96"/>
    </row>
    <row r="48607" hidden="1">
      <c r="E48607" s="96"/>
    </row>
    <row r="48608" hidden="1">
      <c r="E48608" s="96"/>
    </row>
    <row r="48609" hidden="1">
      <c r="E48609" s="96"/>
    </row>
    <row r="48610" hidden="1">
      <c r="E48610" s="96"/>
    </row>
    <row r="48611" hidden="1">
      <c r="E48611" s="96"/>
    </row>
    <row r="48612" hidden="1">
      <c r="E48612" s="96"/>
    </row>
    <row r="48613" hidden="1">
      <c r="E48613" s="96"/>
    </row>
    <row r="48614" hidden="1">
      <c r="E48614" s="96"/>
    </row>
    <row r="48615" hidden="1">
      <c r="E48615" s="96"/>
    </row>
    <row r="48616" hidden="1">
      <c r="E48616" s="96"/>
    </row>
    <row r="48617" hidden="1">
      <c r="E48617" s="96"/>
    </row>
    <row r="48618" hidden="1">
      <c r="E48618" s="96"/>
    </row>
    <row r="48619" hidden="1">
      <c r="E48619" s="96"/>
    </row>
    <row r="48620" hidden="1">
      <c r="E48620" s="96"/>
    </row>
    <row r="48621" hidden="1">
      <c r="E48621" s="96"/>
    </row>
    <row r="48622" hidden="1">
      <c r="E48622" s="96"/>
    </row>
    <row r="48623" hidden="1">
      <c r="E48623" s="96"/>
    </row>
    <row r="48624" hidden="1">
      <c r="E48624" s="96"/>
    </row>
    <row r="48625" hidden="1">
      <c r="E48625" s="96"/>
    </row>
    <row r="48626" hidden="1">
      <c r="E48626" s="96"/>
    </row>
    <row r="48627" hidden="1">
      <c r="E48627" s="96"/>
    </row>
    <row r="48628" hidden="1">
      <c r="E48628" s="96"/>
    </row>
    <row r="48629" hidden="1">
      <c r="E48629" s="96"/>
    </row>
    <row r="48630" hidden="1">
      <c r="E48630" s="96"/>
    </row>
    <row r="48631" hidden="1">
      <c r="E48631" s="96"/>
    </row>
    <row r="48632" hidden="1">
      <c r="E48632" s="96"/>
    </row>
    <row r="48633" hidden="1">
      <c r="E48633" s="96"/>
    </row>
    <row r="48634" hidden="1">
      <c r="E48634" s="96"/>
    </row>
    <row r="48635" hidden="1">
      <c r="E48635" s="96"/>
    </row>
    <row r="48636" hidden="1">
      <c r="E48636" s="96"/>
    </row>
    <row r="48637" hidden="1">
      <c r="E48637" s="96"/>
    </row>
    <row r="48638" hidden="1">
      <c r="E48638" s="96"/>
    </row>
    <row r="48639" hidden="1">
      <c r="E48639" s="96"/>
    </row>
    <row r="48640" hidden="1">
      <c r="E48640" s="96"/>
    </row>
    <row r="48641" hidden="1">
      <c r="E48641" s="96"/>
    </row>
    <row r="48642" hidden="1">
      <c r="E48642" s="96"/>
    </row>
    <row r="48643" hidden="1">
      <c r="E48643" s="96"/>
    </row>
    <row r="48644" hidden="1">
      <c r="E48644" s="96"/>
    </row>
    <row r="48645" hidden="1">
      <c r="E48645" s="96"/>
    </row>
    <row r="48646" hidden="1">
      <c r="E48646" s="96"/>
    </row>
    <row r="48647" hidden="1">
      <c r="E48647" s="96"/>
    </row>
    <row r="48648" hidden="1">
      <c r="E48648" s="96"/>
    </row>
    <row r="48649" hidden="1">
      <c r="E48649" s="96"/>
    </row>
    <row r="48650" hidden="1">
      <c r="E48650" s="96"/>
    </row>
    <row r="48651" hidden="1">
      <c r="E48651" s="96"/>
    </row>
    <row r="48652" hidden="1">
      <c r="E48652" s="96"/>
    </row>
    <row r="48653" hidden="1">
      <c r="E48653" s="96"/>
    </row>
    <row r="48654" hidden="1">
      <c r="E48654" s="96"/>
    </row>
    <row r="48655" hidden="1">
      <c r="E48655" s="96"/>
    </row>
    <row r="48656" hidden="1">
      <c r="E48656" s="96"/>
    </row>
    <row r="48657" hidden="1">
      <c r="E48657" s="96"/>
    </row>
    <row r="48658" hidden="1">
      <c r="E48658" s="96"/>
    </row>
    <row r="48659" hidden="1">
      <c r="E48659" s="96"/>
    </row>
    <row r="48660" hidden="1">
      <c r="E48660" s="96"/>
    </row>
    <row r="48661" hidden="1">
      <c r="E48661" s="96"/>
    </row>
    <row r="48662" hidden="1">
      <c r="E48662" s="96"/>
    </row>
    <row r="48663" hidden="1">
      <c r="E48663" s="96"/>
    </row>
    <row r="48664" hidden="1">
      <c r="E48664" s="96"/>
    </row>
    <row r="48665" hidden="1">
      <c r="E48665" s="96"/>
    </row>
    <row r="48666" hidden="1">
      <c r="E48666" s="96"/>
    </row>
    <row r="48667" hidden="1">
      <c r="E48667" s="96"/>
    </row>
    <row r="48668" hidden="1">
      <c r="E48668" s="96"/>
    </row>
    <row r="48669" hidden="1">
      <c r="E48669" s="96"/>
    </row>
    <row r="48670" hidden="1">
      <c r="E48670" s="96"/>
    </row>
    <row r="48671" hidden="1">
      <c r="E48671" s="96"/>
    </row>
    <row r="48672" hidden="1">
      <c r="E48672" s="96"/>
    </row>
    <row r="48673" hidden="1">
      <c r="E48673" s="96"/>
    </row>
    <row r="48674" hidden="1">
      <c r="E48674" s="96"/>
    </row>
    <row r="48675" hidden="1">
      <c r="E48675" s="96"/>
    </row>
    <row r="48676" hidden="1">
      <c r="E48676" s="96"/>
    </row>
    <row r="48677" hidden="1">
      <c r="E48677" s="96"/>
    </row>
    <row r="48678" hidden="1">
      <c r="E48678" s="96"/>
    </row>
    <row r="48679" hidden="1">
      <c r="E48679" s="96"/>
    </row>
    <row r="48680" hidden="1">
      <c r="E48680" s="96"/>
    </row>
    <row r="48681" hidden="1">
      <c r="E48681" s="96"/>
    </row>
    <row r="48682" hidden="1">
      <c r="E48682" s="96"/>
    </row>
    <row r="48683" hidden="1">
      <c r="E48683" s="96"/>
    </row>
    <row r="48684" hidden="1">
      <c r="E48684" s="96"/>
    </row>
    <row r="48685" hidden="1">
      <c r="E48685" s="96"/>
    </row>
    <row r="48686" hidden="1">
      <c r="E48686" s="96"/>
    </row>
    <row r="48687" hidden="1">
      <c r="E48687" s="96"/>
    </row>
    <row r="48688" hidden="1">
      <c r="E48688" s="96"/>
    </row>
    <row r="48689" hidden="1">
      <c r="E48689" s="96"/>
    </row>
    <row r="48690" hidden="1">
      <c r="E48690" s="96"/>
    </row>
    <row r="48691" hidden="1">
      <c r="E48691" s="96"/>
    </row>
    <row r="48692" hidden="1">
      <c r="E48692" s="96"/>
    </row>
    <row r="48693" hidden="1">
      <c r="E48693" s="96"/>
    </row>
    <row r="48694" hidden="1">
      <c r="E48694" s="96"/>
    </row>
    <row r="48695" hidden="1">
      <c r="E48695" s="96"/>
    </row>
    <row r="48696" hidden="1">
      <c r="E48696" s="96"/>
    </row>
    <row r="48697" hidden="1">
      <c r="E48697" s="96"/>
    </row>
    <row r="48698" hidden="1">
      <c r="E48698" s="96"/>
    </row>
    <row r="48699" hidden="1">
      <c r="E48699" s="96"/>
    </row>
    <row r="48700" hidden="1">
      <c r="E48700" s="96"/>
    </row>
    <row r="48701" hidden="1">
      <c r="E48701" s="96"/>
    </row>
    <row r="48702" hidden="1">
      <c r="E48702" s="96"/>
    </row>
    <row r="48703" hidden="1">
      <c r="E48703" s="96"/>
    </row>
    <row r="48704" hidden="1">
      <c r="E48704" s="96"/>
    </row>
    <row r="48705" hidden="1">
      <c r="E48705" s="96"/>
    </row>
    <row r="48706" hidden="1">
      <c r="E48706" s="96"/>
    </row>
    <row r="48707" hidden="1">
      <c r="E48707" s="96"/>
    </row>
    <row r="48708" hidden="1">
      <c r="E48708" s="96"/>
    </row>
    <row r="48709" hidden="1">
      <c r="E48709" s="96"/>
    </row>
    <row r="48710" hidden="1">
      <c r="E48710" s="96"/>
    </row>
    <row r="48711" hidden="1">
      <c r="E48711" s="96"/>
    </row>
    <row r="48712" hidden="1">
      <c r="E48712" s="96"/>
    </row>
    <row r="48713" hidden="1">
      <c r="E48713" s="96"/>
    </row>
    <row r="48714" hidden="1">
      <c r="E48714" s="96"/>
    </row>
    <row r="48715" hidden="1">
      <c r="E48715" s="96"/>
    </row>
    <row r="48716" hidden="1">
      <c r="E48716" s="96"/>
    </row>
    <row r="48717" hidden="1">
      <c r="E48717" s="96"/>
    </row>
    <row r="48718" hidden="1">
      <c r="E48718" s="96"/>
    </row>
    <row r="48719" hidden="1">
      <c r="E48719" s="96"/>
    </row>
    <row r="48720" hidden="1">
      <c r="E48720" s="96"/>
    </row>
    <row r="48721" hidden="1">
      <c r="E48721" s="96"/>
    </row>
    <row r="48722" hidden="1">
      <c r="E48722" s="96"/>
    </row>
    <row r="48723" hidden="1">
      <c r="E48723" s="96"/>
    </row>
    <row r="48724" hidden="1">
      <c r="E48724" s="96"/>
    </row>
    <row r="48725" hidden="1">
      <c r="E48725" s="96"/>
    </row>
    <row r="48726" hidden="1">
      <c r="E48726" s="96"/>
    </row>
    <row r="48727" hidden="1">
      <c r="E48727" s="96"/>
    </row>
    <row r="48728" hidden="1">
      <c r="E48728" s="96"/>
    </row>
    <row r="48729" hidden="1">
      <c r="E48729" s="96"/>
    </row>
    <row r="48730" hidden="1">
      <c r="E48730" s="96"/>
    </row>
    <row r="48731" hidden="1">
      <c r="E48731" s="96"/>
    </row>
    <row r="48732" hidden="1">
      <c r="E48732" s="96"/>
    </row>
    <row r="48733" hidden="1">
      <c r="E48733" s="96"/>
    </row>
    <row r="48734" hidden="1">
      <c r="E48734" s="96"/>
    </row>
    <row r="48735" hidden="1">
      <c r="E48735" s="96"/>
    </row>
    <row r="48736" hidden="1">
      <c r="E48736" s="96"/>
    </row>
    <row r="48737" hidden="1">
      <c r="E48737" s="96"/>
    </row>
    <row r="48738" hidden="1">
      <c r="E48738" s="96"/>
    </row>
    <row r="48739" hidden="1">
      <c r="E48739" s="96"/>
    </row>
    <row r="48740" hidden="1">
      <c r="E48740" s="96"/>
    </row>
    <row r="48741" hidden="1">
      <c r="E48741" s="96"/>
    </row>
    <row r="48742" hidden="1">
      <c r="E48742" s="96"/>
    </row>
    <row r="48743" hidden="1">
      <c r="E48743" s="96"/>
    </row>
    <row r="48744" hidden="1">
      <c r="E48744" s="96"/>
    </row>
    <row r="48745" hidden="1">
      <c r="E48745" s="96"/>
    </row>
    <row r="48746" hidden="1">
      <c r="E48746" s="96"/>
    </row>
    <row r="48747" hidden="1">
      <c r="E48747" s="96"/>
    </row>
    <row r="48748" hidden="1">
      <c r="E48748" s="96"/>
    </row>
    <row r="48749" hidden="1">
      <c r="E48749" s="96"/>
    </row>
    <row r="48750" hidden="1">
      <c r="E48750" s="96"/>
    </row>
    <row r="48751" hidden="1">
      <c r="E48751" s="96"/>
    </row>
    <row r="48752" hidden="1">
      <c r="E48752" s="96"/>
    </row>
    <row r="48753" hidden="1">
      <c r="E48753" s="96"/>
    </row>
    <row r="48754" hidden="1">
      <c r="E48754" s="96"/>
    </row>
    <row r="48755" hidden="1">
      <c r="E48755" s="96"/>
    </row>
    <row r="48756" hidden="1">
      <c r="E48756" s="96"/>
    </row>
    <row r="48757" hidden="1">
      <c r="E48757" s="96"/>
    </row>
    <row r="48758" hidden="1">
      <c r="E48758" s="96"/>
    </row>
    <row r="48759" hidden="1">
      <c r="E48759" s="96"/>
    </row>
    <row r="48760" hidden="1">
      <c r="E48760" s="96"/>
    </row>
    <row r="48761" hidden="1">
      <c r="E48761" s="96"/>
    </row>
    <row r="48762" hidden="1">
      <c r="E48762" s="96"/>
    </row>
    <row r="48763" hidden="1">
      <c r="E48763" s="96"/>
    </row>
    <row r="48764" hidden="1">
      <c r="E48764" s="96"/>
    </row>
    <row r="48765" hidden="1">
      <c r="E48765" s="96"/>
    </row>
    <row r="48766" hidden="1">
      <c r="E48766" s="96"/>
    </row>
    <row r="48767" hidden="1">
      <c r="E48767" s="96"/>
    </row>
    <row r="48768" hidden="1">
      <c r="E48768" s="96"/>
    </row>
    <row r="48769" hidden="1">
      <c r="E48769" s="96"/>
    </row>
    <row r="48770" hidden="1">
      <c r="E48770" s="96"/>
    </row>
    <row r="48771" hidden="1">
      <c r="E48771" s="96"/>
    </row>
    <row r="48772" hidden="1">
      <c r="E48772" s="96"/>
    </row>
    <row r="48773" hidden="1">
      <c r="E48773" s="96"/>
    </row>
    <row r="48774" hidden="1">
      <c r="E48774" s="96"/>
    </row>
    <row r="48775" hidden="1">
      <c r="E48775" s="96"/>
    </row>
    <row r="48776" hidden="1">
      <c r="E48776" s="96"/>
    </row>
    <row r="48777" hidden="1">
      <c r="E48777" s="96"/>
    </row>
    <row r="48778" hidden="1">
      <c r="E48778" s="96"/>
    </row>
    <row r="48779" hidden="1">
      <c r="E48779" s="96"/>
    </row>
    <row r="48780" hidden="1">
      <c r="E48780" s="96"/>
    </row>
    <row r="48781" hidden="1">
      <c r="E48781" s="96"/>
    </row>
    <row r="48782" hidden="1">
      <c r="E48782" s="96"/>
    </row>
    <row r="48783" hidden="1">
      <c r="E48783" s="96"/>
    </row>
    <row r="48784" hidden="1">
      <c r="E48784" s="96"/>
    </row>
    <row r="48785" hidden="1">
      <c r="E48785" s="96"/>
    </row>
    <row r="48786" hidden="1">
      <c r="E48786" s="96"/>
    </row>
    <row r="48787" hidden="1">
      <c r="E48787" s="96"/>
    </row>
    <row r="48788" hidden="1">
      <c r="E48788" s="96"/>
    </row>
    <row r="48789" hidden="1">
      <c r="E48789" s="96"/>
    </row>
    <row r="48790" hidden="1">
      <c r="E48790" s="96"/>
    </row>
    <row r="48791" hidden="1">
      <c r="E48791" s="96"/>
    </row>
    <row r="48792" hidden="1">
      <c r="E48792" s="96"/>
    </row>
    <row r="48793" hidden="1">
      <c r="E48793" s="96"/>
    </row>
    <row r="48794" hidden="1">
      <c r="E48794" s="96"/>
    </row>
    <row r="48795" hidden="1">
      <c r="E48795" s="96"/>
    </row>
    <row r="48796" hidden="1">
      <c r="E48796" s="96"/>
    </row>
    <row r="48797" hidden="1">
      <c r="E48797" s="96"/>
    </row>
    <row r="48798" hidden="1">
      <c r="E48798" s="96"/>
    </row>
    <row r="48799" hidden="1">
      <c r="E48799" s="96"/>
    </row>
    <row r="48800" hidden="1">
      <c r="E48800" s="96"/>
    </row>
    <row r="48801" hidden="1">
      <c r="E48801" s="96"/>
    </row>
    <row r="48802" hidden="1">
      <c r="E48802" s="96"/>
    </row>
    <row r="48803" hidden="1">
      <c r="E48803" s="96"/>
    </row>
    <row r="48804" hidden="1">
      <c r="E48804" s="96"/>
    </row>
    <row r="48805" hidden="1">
      <c r="E48805" s="96"/>
    </row>
    <row r="48806" hidden="1">
      <c r="E48806" s="96"/>
    </row>
    <row r="48807" hidden="1">
      <c r="E48807" s="96"/>
    </row>
    <row r="48808" hidden="1">
      <c r="E48808" s="96"/>
    </row>
    <row r="48809" hidden="1">
      <c r="E48809" s="96"/>
    </row>
    <row r="48810" hidden="1">
      <c r="E48810" s="96"/>
    </row>
    <row r="48811" hidden="1">
      <c r="E48811" s="96"/>
    </row>
    <row r="48812" hidden="1">
      <c r="E48812" s="96"/>
    </row>
    <row r="48813" hidden="1">
      <c r="E48813" s="96"/>
    </row>
    <row r="48814" hidden="1">
      <c r="E48814" s="96"/>
    </row>
    <row r="48815" hidden="1">
      <c r="E48815" s="96"/>
    </row>
    <row r="48816" hidden="1">
      <c r="E48816" s="96"/>
    </row>
    <row r="48817" hidden="1">
      <c r="E48817" s="96"/>
    </row>
    <row r="48818" hidden="1">
      <c r="E48818" s="96"/>
    </row>
    <row r="48819" hidden="1">
      <c r="E48819" s="96"/>
    </row>
    <row r="48820" hidden="1">
      <c r="E48820" s="96"/>
    </row>
    <row r="48821" hidden="1">
      <c r="E48821" s="96"/>
    </row>
    <row r="48822" hidden="1">
      <c r="E48822" s="96"/>
    </row>
    <row r="48823" hidden="1">
      <c r="E48823" s="96"/>
    </row>
    <row r="48824" hidden="1">
      <c r="E48824" s="96"/>
    </row>
    <row r="48825" hidden="1">
      <c r="E48825" s="96"/>
    </row>
    <row r="48826" hidden="1">
      <c r="E48826" s="96"/>
    </row>
    <row r="48827" hidden="1">
      <c r="E48827" s="96"/>
    </row>
    <row r="48828" hidden="1">
      <c r="E48828" s="96"/>
    </row>
    <row r="48829" hidden="1">
      <c r="E48829" s="96"/>
    </row>
    <row r="48830" hidden="1">
      <c r="E48830" s="96"/>
    </row>
    <row r="48831" hidden="1">
      <c r="E48831" s="96"/>
    </row>
    <row r="48832" hidden="1">
      <c r="E48832" s="96"/>
    </row>
    <row r="48833" hidden="1">
      <c r="E48833" s="96"/>
    </row>
    <row r="48834" hidden="1">
      <c r="E48834" s="96"/>
    </row>
    <row r="48835" hidden="1">
      <c r="E48835" s="96"/>
    </row>
    <row r="48836" hidden="1">
      <c r="E48836" s="96"/>
    </row>
    <row r="48837" hidden="1">
      <c r="E48837" s="96"/>
    </row>
    <row r="48838" hidden="1">
      <c r="E48838" s="96"/>
    </row>
    <row r="48839" hidden="1">
      <c r="E48839" s="96"/>
    </row>
    <row r="48840" hidden="1">
      <c r="E48840" s="96"/>
    </row>
    <row r="48841" hidden="1">
      <c r="E48841" s="96"/>
    </row>
    <row r="48842" hidden="1">
      <c r="E48842" s="96"/>
    </row>
    <row r="48843" hidden="1">
      <c r="E48843" s="96"/>
    </row>
    <row r="48844" hidden="1">
      <c r="E48844" s="96"/>
    </row>
    <row r="48845" hidden="1">
      <c r="E48845" s="96"/>
    </row>
    <row r="48846" hidden="1">
      <c r="E48846" s="96"/>
    </row>
    <row r="48847" hidden="1">
      <c r="E48847" s="96"/>
    </row>
    <row r="48848" hidden="1">
      <c r="E48848" s="96"/>
    </row>
    <row r="48849" hidden="1">
      <c r="E48849" s="96"/>
    </row>
    <row r="48850" hidden="1">
      <c r="E48850" s="96"/>
    </row>
    <row r="48851" hidden="1">
      <c r="E48851" s="96"/>
    </row>
    <row r="48852" hidden="1">
      <c r="E48852" s="96"/>
    </row>
    <row r="48853" hidden="1">
      <c r="E48853" s="96"/>
    </row>
    <row r="48854" hidden="1">
      <c r="E48854" s="96"/>
    </row>
    <row r="48855" hidden="1">
      <c r="E48855" s="96"/>
    </row>
    <row r="48856" hidden="1">
      <c r="E48856" s="96"/>
    </row>
    <row r="48857" hidden="1">
      <c r="E48857" s="96"/>
    </row>
    <row r="48858" hidden="1">
      <c r="E48858" s="96"/>
    </row>
    <row r="48859" hidden="1">
      <c r="E48859" s="96"/>
    </row>
    <row r="48860" hidden="1">
      <c r="E48860" s="96"/>
    </row>
    <row r="48861" hidden="1">
      <c r="E48861" s="96"/>
    </row>
    <row r="48862" hidden="1">
      <c r="E48862" s="96"/>
    </row>
    <row r="48863" hidden="1">
      <c r="E48863" s="96"/>
    </row>
    <row r="48864" hidden="1">
      <c r="E48864" s="96"/>
    </row>
    <row r="48865" hidden="1">
      <c r="E48865" s="96"/>
    </row>
    <row r="48866" hidden="1">
      <c r="E48866" s="96"/>
    </row>
    <row r="48867" hidden="1">
      <c r="E48867" s="96"/>
    </row>
    <row r="48868" hidden="1">
      <c r="E48868" s="96"/>
    </row>
    <row r="48869" hidden="1">
      <c r="E48869" s="96"/>
    </row>
    <row r="48870" hidden="1">
      <c r="E48870" s="96"/>
    </row>
    <row r="48871" hidden="1">
      <c r="E48871" s="96"/>
    </row>
    <row r="48872" hidden="1">
      <c r="E48872" s="96"/>
    </row>
    <row r="48873" hidden="1">
      <c r="E48873" s="96"/>
    </row>
    <row r="48874" hidden="1">
      <c r="E48874" s="96"/>
    </row>
    <row r="48875" hidden="1">
      <c r="E48875" s="96"/>
    </row>
    <row r="48876" hidden="1">
      <c r="E48876" s="96"/>
    </row>
    <row r="48877" hidden="1">
      <c r="E48877" s="96"/>
    </row>
    <row r="48878" hidden="1">
      <c r="E48878" s="96"/>
    </row>
    <row r="48879" hidden="1">
      <c r="E48879" s="96"/>
    </row>
    <row r="48880" hidden="1">
      <c r="E48880" s="96"/>
    </row>
    <row r="48881" hidden="1">
      <c r="E48881" s="96"/>
    </row>
    <row r="48882" hidden="1">
      <c r="E48882" s="96"/>
    </row>
    <row r="48883" hidden="1">
      <c r="E48883" s="96"/>
    </row>
    <row r="48884" hidden="1">
      <c r="E48884" s="96"/>
    </row>
    <row r="48885" hidden="1">
      <c r="E48885" s="96"/>
    </row>
    <row r="48886" hidden="1">
      <c r="E48886" s="96"/>
    </row>
    <row r="48887" hidden="1">
      <c r="E48887" s="96"/>
    </row>
    <row r="48888" hidden="1">
      <c r="E48888" s="96"/>
    </row>
    <row r="48889" hidden="1">
      <c r="E48889" s="96"/>
    </row>
    <row r="48890" hidden="1">
      <c r="E48890" s="96"/>
    </row>
    <row r="48891" hidden="1">
      <c r="E48891" s="96"/>
    </row>
    <row r="48892" hidden="1">
      <c r="E48892" s="96"/>
    </row>
    <row r="48893" hidden="1">
      <c r="E48893" s="96"/>
    </row>
    <row r="48894" hidden="1">
      <c r="E48894" s="96"/>
    </row>
    <row r="48895" hidden="1">
      <c r="E48895" s="96"/>
    </row>
    <row r="48896" hidden="1">
      <c r="E48896" s="96"/>
    </row>
    <row r="48897" hidden="1">
      <c r="E48897" s="96"/>
    </row>
    <row r="48898" hidden="1">
      <c r="E48898" s="96"/>
    </row>
    <row r="48899" hidden="1">
      <c r="E48899" s="96"/>
    </row>
    <row r="48900" hidden="1">
      <c r="E48900" s="96"/>
    </row>
    <row r="48901" hidden="1">
      <c r="E48901" s="96"/>
    </row>
    <row r="48902" hidden="1">
      <c r="E48902" s="96"/>
    </row>
    <row r="48903" hidden="1">
      <c r="E48903" s="96"/>
    </row>
    <row r="48904" hidden="1">
      <c r="E48904" s="96"/>
    </row>
    <row r="48905" hidden="1">
      <c r="E48905" s="96"/>
    </row>
    <row r="48906" hidden="1">
      <c r="E48906" s="96"/>
    </row>
    <row r="48907" hidden="1">
      <c r="E48907" s="96"/>
    </row>
    <row r="48908" hidden="1">
      <c r="E48908" s="96"/>
    </row>
    <row r="48909" hidden="1">
      <c r="E48909" s="96"/>
    </row>
    <row r="48910" hidden="1">
      <c r="E48910" s="96"/>
    </row>
    <row r="48911" hidden="1">
      <c r="E48911" s="96"/>
    </row>
    <row r="48912" hidden="1">
      <c r="E48912" s="96"/>
    </row>
    <row r="48913" hidden="1">
      <c r="E48913" s="96"/>
    </row>
    <row r="48914" hidden="1">
      <c r="E48914" s="96"/>
    </row>
    <row r="48915" hidden="1">
      <c r="E48915" s="96"/>
    </row>
    <row r="48916" hidden="1">
      <c r="E48916" s="96"/>
    </row>
    <row r="48917" hidden="1">
      <c r="E48917" s="96"/>
    </row>
    <row r="48918" hidden="1">
      <c r="E48918" s="96"/>
    </row>
    <row r="48919" hidden="1">
      <c r="E48919" s="96"/>
    </row>
    <row r="48920" hidden="1">
      <c r="E48920" s="96"/>
    </row>
    <row r="48921" hidden="1">
      <c r="E48921" s="96"/>
    </row>
    <row r="48922" hidden="1">
      <c r="E48922" s="96"/>
    </row>
    <row r="48923" hidden="1">
      <c r="E48923" s="96"/>
    </row>
    <row r="48924" hidden="1">
      <c r="E48924" s="96"/>
    </row>
    <row r="48925" hidden="1">
      <c r="E48925" s="96"/>
    </row>
    <row r="48926" hidden="1">
      <c r="E48926" s="96"/>
    </row>
    <row r="48927" hidden="1">
      <c r="E48927" s="96"/>
    </row>
    <row r="48928" hidden="1">
      <c r="E48928" s="96"/>
    </row>
    <row r="48929" hidden="1">
      <c r="E48929" s="96"/>
    </row>
    <row r="48930" hidden="1">
      <c r="E48930" s="96"/>
    </row>
    <row r="48931" hidden="1">
      <c r="E48931" s="96"/>
    </row>
    <row r="48932" hidden="1">
      <c r="E48932" s="96"/>
    </row>
    <row r="48933" hidden="1">
      <c r="E48933" s="96"/>
    </row>
    <row r="48934" hidden="1">
      <c r="E48934" s="96"/>
    </row>
    <row r="48935" hidden="1">
      <c r="E48935" s="96"/>
    </row>
    <row r="48936" hidden="1">
      <c r="E48936" s="96"/>
    </row>
    <row r="48937" hidden="1">
      <c r="E48937" s="96"/>
    </row>
    <row r="48938" hidden="1">
      <c r="E48938" s="96"/>
    </row>
    <row r="48939" hidden="1">
      <c r="E48939" s="96"/>
    </row>
    <row r="48940" hidden="1">
      <c r="E48940" s="96"/>
    </row>
    <row r="48941" hidden="1">
      <c r="E48941" s="96"/>
    </row>
    <row r="48942" hidden="1">
      <c r="E48942" s="96"/>
    </row>
    <row r="48943" hidden="1">
      <c r="E48943" s="96"/>
    </row>
    <row r="48944" hidden="1">
      <c r="E48944" s="96"/>
    </row>
    <row r="48945" hidden="1">
      <c r="E48945" s="96"/>
    </row>
    <row r="48946" hidden="1">
      <c r="E48946" s="96"/>
    </row>
    <row r="48947" hidden="1">
      <c r="E48947" s="96"/>
    </row>
    <row r="48948" hidden="1">
      <c r="E48948" s="96"/>
    </row>
    <row r="48949" hidden="1">
      <c r="E48949" s="96"/>
    </row>
    <row r="48950" hidden="1">
      <c r="E48950" s="96"/>
    </row>
    <row r="48951" hidden="1">
      <c r="E48951" s="96"/>
    </row>
    <row r="48952" hidden="1">
      <c r="E48952" s="96"/>
    </row>
    <row r="48953" hidden="1">
      <c r="E48953" s="96"/>
    </row>
    <row r="48954" hidden="1">
      <c r="E48954" s="96"/>
    </row>
    <row r="48955" hidden="1">
      <c r="E48955" s="96"/>
    </row>
    <row r="48956" hidden="1">
      <c r="E48956" s="96"/>
    </row>
    <row r="48957" hidden="1">
      <c r="E48957" s="96"/>
    </row>
    <row r="48958" hidden="1">
      <c r="E48958" s="96"/>
    </row>
    <row r="48959" hidden="1">
      <c r="E48959" s="96"/>
    </row>
    <row r="48960" hidden="1">
      <c r="E48960" s="96"/>
    </row>
    <row r="48961" hidden="1">
      <c r="E48961" s="96"/>
    </row>
    <row r="48962" hidden="1">
      <c r="E48962" s="96"/>
    </row>
    <row r="48963" hidden="1">
      <c r="E48963" s="96"/>
    </row>
    <row r="48964" hidden="1">
      <c r="E48964" s="96"/>
    </row>
    <row r="48965" hidden="1">
      <c r="E48965" s="96"/>
    </row>
    <row r="48966" hidden="1">
      <c r="E48966" s="96"/>
    </row>
    <row r="48967" hidden="1">
      <c r="E48967" s="96"/>
    </row>
    <row r="48968" hidden="1">
      <c r="E48968" s="96"/>
    </row>
    <row r="48969" hidden="1">
      <c r="E48969" s="96"/>
    </row>
    <row r="48970" hidden="1">
      <c r="E48970" s="96"/>
    </row>
    <row r="48971" hidden="1">
      <c r="E48971" s="96"/>
    </row>
    <row r="48972" hidden="1">
      <c r="E48972" s="96"/>
    </row>
    <row r="48973" hidden="1">
      <c r="E48973" s="96"/>
    </row>
    <row r="48974" hidden="1">
      <c r="E48974" s="96"/>
    </row>
    <row r="48975" hidden="1">
      <c r="E48975" s="96"/>
    </row>
    <row r="48976" hidden="1">
      <c r="E48976" s="96"/>
    </row>
    <row r="48977" hidden="1">
      <c r="E48977" s="96"/>
    </row>
    <row r="48978" hidden="1">
      <c r="E48978" s="96"/>
    </row>
    <row r="48979" hidden="1">
      <c r="E48979" s="96"/>
    </row>
    <row r="48980" hidden="1">
      <c r="E48980" s="96"/>
    </row>
    <row r="48981" hidden="1">
      <c r="E48981" s="96"/>
    </row>
    <row r="48982" hidden="1">
      <c r="E48982" s="96"/>
    </row>
    <row r="48983" hidden="1">
      <c r="E48983" s="96"/>
    </row>
    <row r="48984" hidden="1">
      <c r="E48984" s="96"/>
    </row>
    <row r="48985" hidden="1">
      <c r="E48985" s="96"/>
    </row>
    <row r="48986" hidden="1">
      <c r="E48986" s="96"/>
    </row>
    <row r="48987" hidden="1">
      <c r="E48987" s="96"/>
    </row>
    <row r="48988" hidden="1">
      <c r="E48988" s="96"/>
    </row>
    <row r="48989" hidden="1">
      <c r="E48989" s="96"/>
    </row>
    <row r="48990" hidden="1">
      <c r="E48990" s="96"/>
    </row>
    <row r="48991" hidden="1">
      <c r="E48991" s="96"/>
    </row>
    <row r="48992" hidden="1">
      <c r="E48992" s="96"/>
    </row>
    <row r="48993" hidden="1">
      <c r="E48993" s="96"/>
    </row>
    <row r="48994" hidden="1">
      <c r="E48994" s="96"/>
    </row>
    <row r="48995" hidden="1">
      <c r="E48995" s="96"/>
    </row>
    <row r="48996" hidden="1">
      <c r="E48996" s="96"/>
    </row>
    <row r="48997" hidden="1">
      <c r="E48997" s="96"/>
    </row>
    <row r="48998" hidden="1">
      <c r="E48998" s="96"/>
    </row>
    <row r="48999" hidden="1">
      <c r="E48999" s="96"/>
    </row>
    <row r="49000" hidden="1">
      <c r="E49000" s="96"/>
    </row>
    <row r="49001" hidden="1">
      <c r="E49001" s="96"/>
    </row>
    <row r="49002" hidden="1">
      <c r="E49002" s="96"/>
    </row>
    <row r="49003" hidden="1">
      <c r="E49003" s="96"/>
    </row>
    <row r="49004" hidden="1">
      <c r="E49004" s="96"/>
    </row>
    <row r="49005" hidden="1">
      <c r="E49005" s="96"/>
    </row>
    <row r="49006" hidden="1">
      <c r="E49006" s="96"/>
    </row>
    <row r="49007" hidden="1">
      <c r="E49007" s="96"/>
    </row>
    <row r="49008" hidden="1">
      <c r="E49008" s="96"/>
    </row>
    <row r="49009" hidden="1">
      <c r="E49009" s="96"/>
    </row>
    <row r="49010" hidden="1">
      <c r="E49010" s="96"/>
    </row>
    <row r="49011" hidden="1">
      <c r="E49011" s="96"/>
    </row>
    <row r="49012" hidden="1">
      <c r="E49012" s="96"/>
    </row>
    <row r="49013" hidden="1">
      <c r="E49013" s="96"/>
    </row>
    <row r="49014" hidden="1">
      <c r="E49014" s="96"/>
    </row>
    <row r="49015" hidden="1">
      <c r="E49015" s="96"/>
    </row>
    <row r="49016" hidden="1">
      <c r="E49016" s="96"/>
    </row>
    <row r="49017" hidden="1">
      <c r="E49017" s="96"/>
    </row>
    <row r="49018" hidden="1">
      <c r="E49018" s="96"/>
    </row>
    <row r="49019" hidden="1">
      <c r="E49019" s="96"/>
    </row>
    <row r="49020" hidden="1">
      <c r="E49020" s="96"/>
    </row>
    <row r="49021" hidden="1">
      <c r="E49021" s="96"/>
    </row>
    <row r="49022" hidden="1">
      <c r="E49022" s="96"/>
    </row>
    <row r="49023" hidden="1">
      <c r="E49023" s="96"/>
    </row>
    <row r="49024" hidden="1">
      <c r="E49024" s="96"/>
    </row>
    <row r="49025" hidden="1">
      <c r="E49025" s="96"/>
    </row>
    <row r="49026" hidden="1">
      <c r="E49026" s="96"/>
    </row>
    <row r="49027" hidden="1">
      <c r="E49027" s="96"/>
    </row>
    <row r="49028" hidden="1">
      <c r="E49028" s="96"/>
    </row>
    <row r="49029" hidden="1">
      <c r="E49029" s="96"/>
    </row>
    <row r="49030" hidden="1">
      <c r="E49030" s="96"/>
    </row>
    <row r="49031" hidden="1">
      <c r="E49031" s="96"/>
    </row>
    <row r="49032" hidden="1">
      <c r="E49032" s="96"/>
    </row>
    <row r="49033" hidden="1">
      <c r="E49033" s="96"/>
    </row>
    <row r="49034" hidden="1">
      <c r="E49034" s="96"/>
    </row>
    <row r="49035" hidden="1">
      <c r="E49035" s="96"/>
    </row>
    <row r="49036" hidden="1">
      <c r="E49036" s="96"/>
    </row>
    <row r="49037" hidden="1">
      <c r="E49037" s="96"/>
    </row>
    <row r="49038" hidden="1">
      <c r="E49038" s="96"/>
    </row>
    <row r="49039" hidden="1">
      <c r="E49039" s="96"/>
    </row>
    <row r="49040" hidden="1">
      <c r="E49040" s="96"/>
    </row>
    <row r="49041" hidden="1">
      <c r="E49041" s="96"/>
    </row>
    <row r="49042" hidden="1">
      <c r="E49042" s="96"/>
    </row>
    <row r="49043" hidden="1">
      <c r="E49043" s="96"/>
    </row>
    <row r="49044" hidden="1">
      <c r="E49044" s="96"/>
    </row>
    <row r="49045" hidden="1">
      <c r="E49045" s="96"/>
    </row>
    <row r="49046" hidden="1">
      <c r="E49046" s="96"/>
    </row>
    <row r="49047" hidden="1">
      <c r="E49047" s="96"/>
    </row>
    <row r="49048" hidden="1">
      <c r="E49048" s="96"/>
    </row>
    <row r="49049" hidden="1">
      <c r="E49049" s="96"/>
    </row>
    <row r="49050" hidden="1">
      <c r="E49050" s="96"/>
    </row>
    <row r="49051" hidden="1">
      <c r="E49051" s="96"/>
    </row>
    <row r="49052" hidden="1">
      <c r="E49052" s="96"/>
    </row>
    <row r="49053" hidden="1">
      <c r="E49053" s="96"/>
    </row>
    <row r="49054" hidden="1">
      <c r="E49054" s="96"/>
    </row>
    <row r="49055" hidden="1">
      <c r="E49055" s="96"/>
    </row>
    <row r="49056" hidden="1">
      <c r="E49056" s="96"/>
    </row>
    <row r="49057" hidden="1">
      <c r="E49057" s="96"/>
    </row>
    <row r="49058" hidden="1">
      <c r="E49058" s="96"/>
    </row>
    <row r="49059" hidden="1">
      <c r="E49059" s="96"/>
    </row>
    <row r="49060" hidden="1">
      <c r="E49060" s="96"/>
    </row>
    <row r="49061" hidden="1">
      <c r="E49061" s="96"/>
    </row>
    <row r="49062" hidden="1">
      <c r="E49062" s="96"/>
    </row>
    <row r="49063" hidden="1">
      <c r="E49063" s="96"/>
    </row>
    <row r="49064" hidden="1">
      <c r="E49064" s="96"/>
    </row>
    <row r="49065" hidden="1">
      <c r="E49065" s="96"/>
    </row>
    <row r="49066" hidden="1">
      <c r="E49066" s="96"/>
    </row>
    <row r="49067" hidden="1">
      <c r="E49067" s="96"/>
    </row>
    <row r="49068" hidden="1">
      <c r="E49068" s="96"/>
    </row>
    <row r="49069" hidden="1">
      <c r="E49069" s="96"/>
    </row>
    <row r="49070" hidden="1">
      <c r="E49070" s="96"/>
    </row>
    <row r="49071" hidden="1">
      <c r="E49071" s="96"/>
    </row>
    <row r="49072" hidden="1">
      <c r="E49072" s="96"/>
    </row>
    <row r="49073" hidden="1">
      <c r="E49073" s="96"/>
    </row>
    <row r="49074" hidden="1">
      <c r="E49074" s="96"/>
    </row>
    <row r="49075" hidden="1">
      <c r="E49075" s="96"/>
    </row>
    <row r="49076" hidden="1">
      <c r="E49076" s="96"/>
    </row>
    <row r="49077" hidden="1">
      <c r="E49077" s="96"/>
    </row>
    <row r="49078" hidden="1">
      <c r="E49078" s="96"/>
    </row>
    <row r="49079" hidden="1">
      <c r="E49079" s="96"/>
    </row>
    <row r="49080" hidden="1">
      <c r="E49080" s="96"/>
    </row>
    <row r="49081" hidden="1">
      <c r="E49081" s="96"/>
    </row>
    <row r="49082" hidden="1">
      <c r="E49082" s="96"/>
    </row>
    <row r="49083" hidden="1">
      <c r="E49083" s="96"/>
    </row>
    <row r="49084" hidden="1">
      <c r="E49084" s="96"/>
    </row>
    <row r="49085" hidden="1">
      <c r="E49085" s="96"/>
    </row>
    <row r="49086" hidden="1">
      <c r="E49086" s="96"/>
    </row>
    <row r="49087" hidden="1">
      <c r="E49087" s="96"/>
    </row>
    <row r="49088" hidden="1">
      <c r="E49088" s="96"/>
    </row>
    <row r="49089" hidden="1">
      <c r="E49089" s="96"/>
    </row>
    <row r="49090" hidden="1">
      <c r="E49090" s="96"/>
    </row>
    <row r="49091" hidden="1">
      <c r="E49091" s="96"/>
    </row>
    <row r="49092" hidden="1">
      <c r="E49092" s="96"/>
    </row>
    <row r="49093" hidden="1">
      <c r="E49093" s="96"/>
    </row>
    <row r="49094" hidden="1">
      <c r="E49094" s="96"/>
    </row>
    <row r="49095" hidden="1">
      <c r="E49095" s="96"/>
    </row>
    <row r="49096" hidden="1">
      <c r="E49096" s="96"/>
    </row>
    <row r="49097" hidden="1">
      <c r="E49097" s="96"/>
    </row>
    <row r="49098" hidden="1">
      <c r="E49098" s="96"/>
    </row>
    <row r="49099" hidden="1">
      <c r="E49099" s="96"/>
    </row>
    <row r="49100" hidden="1">
      <c r="E49100" s="96"/>
    </row>
    <row r="49101" hidden="1">
      <c r="E49101" s="96"/>
    </row>
    <row r="49102" hidden="1">
      <c r="E49102" s="96"/>
    </row>
    <row r="49103" hidden="1">
      <c r="E49103" s="96"/>
    </row>
    <row r="49104" hidden="1">
      <c r="E49104" s="96"/>
    </row>
    <row r="49105" hidden="1">
      <c r="E49105" s="96"/>
    </row>
    <row r="49106" hidden="1">
      <c r="E49106" s="96"/>
    </row>
    <row r="49107" hidden="1">
      <c r="E49107" s="96"/>
    </row>
    <row r="49108" hidden="1">
      <c r="E49108" s="96"/>
    </row>
    <row r="49109" hidden="1">
      <c r="E49109" s="96"/>
    </row>
    <row r="49110" hidden="1">
      <c r="E49110" s="96"/>
    </row>
    <row r="49111" hidden="1">
      <c r="E49111" s="96"/>
    </row>
    <row r="49112" hidden="1">
      <c r="E49112" s="96"/>
    </row>
    <row r="49113" hidden="1">
      <c r="E49113" s="96"/>
    </row>
    <row r="49114" hidden="1">
      <c r="E49114" s="96"/>
    </row>
    <row r="49115" hidden="1">
      <c r="E49115" s="96"/>
    </row>
    <row r="49116" hidden="1">
      <c r="E49116" s="96"/>
    </row>
    <row r="49117" hidden="1">
      <c r="E49117" s="96"/>
    </row>
    <row r="49118" hidden="1">
      <c r="E49118" s="96"/>
    </row>
    <row r="49119" hidden="1">
      <c r="E49119" s="96"/>
    </row>
    <row r="49120" hidden="1">
      <c r="E49120" s="96"/>
    </row>
    <row r="49121" hidden="1">
      <c r="E49121" s="96"/>
    </row>
    <row r="49122" hidden="1">
      <c r="E49122" s="96"/>
    </row>
    <row r="49123" hidden="1">
      <c r="E49123" s="96"/>
    </row>
    <row r="49124" hidden="1">
      <c r="E49124" s="96"/>
    </row>
    <row r="49125" hidden="1">
      <c r="E49125" s="96"/>
    </row>
    <row r="49126" hidden="1">
      <c r="E49126" s="96"/>
    </row>
    <row r="49127" hidden="1">
      <c r="E49127" s="96"/>
    </row>
    <row r="49128" hidden="1">
      <c r="E49128" s="96"/>
    </row>
    <row r="49129" hidden="1">
      <c r="E49129" s="96"/>
    </row>
    <row r="49130" hidden="1">
      <c r="E49130" s="96"/>
    </row>
    <row r="49131" hidden="1">
      <c r="E49131" s="96"/>
    </row>
    <row r="49132" hidden="1">
      <c r="E49132" s="96"/>
    </row>
    <row r="49133" hidden="1">
      <c r="E49133" s="96"/>
    </row>
    <row r="49134" hidden="1">
      <c r="E49134" s="96"/>
    </row>
    <row r="49135" hidden="1">
      <c r="E49135" s="96"/>
    </row>
    <row r="49136" hidden="1">
      <c r="E49136" s="96"/>
    </row>
    <row r="49137" hidden="1">
      <c r="E49137" s="96"/>
    </row>
    <row r="49138" hidden="1">
      <c r="E49138" s="96"/>
    </row>
    <row r="49139" hidden="1">
      <c r="E49139" s="96"/>
    </row>
    <row r="49140" hidden="1">
      <c r="E49140" s="96"/>
    </row>
    <row r="49141" hidden="1">
      <c r="E49141" s="96"/>
    </row>
    <row r="49142" hidden="1">
      <c r="E49142" s="96"/>
    </row>
    <row r="49143" hidden="1">
      <c r="E49143" s="96"/>
    </row>
    <row r="49144" hidden="1">
      <c r="E49144" s="96"/>
    </row>
    <row r="49145" hidden="1">
      <c r="E49145" s="96"/>
    </row>
    <row r="49146" hidden="1">
      <c r="E49146" s="96"/>
    </row>
    <row r="49147" hidden="1">
      <c r="E49147" s="96"/>
    </row>
    <row r="49148" hidden="1">
      <c r="E49148" s="96"/>
    </row>
    <row r="49149" hidden="1">
      <c r="E49149" s="96"/>
    </row>
    <row r="49150" hidden="1">
      <c r="E49150" s="96"/>
    </row>
    <row r="49151" hidden="1">
      <c r="E49151" s="96"/>
    </row>
    <row r="49152" hidden="1">
      <c r="E49152" s="96"/>
    </row>
    <row r="49153" hidden="1">
      <c r="E49153" s="96"/>
    </row>
    <row r="49154" hidden="1">
      <c r="E49154" s="96"/>
    </row>
    <row r="49155" hidden="1">
      <c r="E49155" s="96"/>
    </row>
    <row r="49156" hidden="1">
      <c r="E49156" s="96"/>
    </row>
    <row r="49157" hidden="1">
      <c r="E49157" s="96"/>
    </row>
    <row r="49158" hidden="1">
      <c r="E49158" s="96"/>
    </row>
    <row r="49159" hidden="1">
      <c r="E49159" s="96"/>
    </row>
    <row r="49160" hidden="1">
      <c r="E49160" s="96"/>
    </row>
    <row r="49161" hidden="1">
      <c r="E49161" s="96"/>
    </row>
    <row r="49162" hidden="1">
      <c r="E49162" s="96"/>
    </row>
    <row r="49163" hidden="1">
      <c r="E49163" s="96"/>
    </row>
    <row r="49164" hidden="1">
      <c r="E49164" s="96"/>
    </row>
    <row r="49165" hidden="1">
      <c r="E49165" s="96"/>
    </row>
    <row r="49166" hidden="1">
      <c r="E49166" s="96"/>
    </row>
    <row r="49167" hidden="1">
      <c r="E49167" s="96"/>
    </row>
    <row r="49168" hidden="1">
      <c r="E49168" s="96"/>
    </row>
    <row r="49169" hidden="1">
      <c r="E49169" s="96"/>
    </row>
    <row r="49170" hidden="1">
      <c r="E49170" s="96"/>
    </row>
    <row r="49171" hidden="1">
      <c r="E49171" s="96"/>
    </row>
    <row r="49172" hidden="1">
      <c r="E49172" s="96"/>
    </row>
    <row r="49173" hidden="1">
      <c r="E49173" s="96"/>
    </row>
    <row r="49174" hidden="1">
      <c r="E49174" s="96"/>
    </row>
    <row r="49175" hidden="1">
      <c r="E49175" s="96"/>
    </row>
    <row r="49176" hidden="1">
      <c r="E49176" s="96"/>
    </row>
    <row r="49177" hidden="1">
      <c r="E49177" s="96"/>
    </row>
    <row r="49178" hidden="1">
      <c r="E49178" s="96"/>
    </row>
    <row r="49179" hidden="1">
      <c r="E49179" s="96"/>
    </row>
    <row r="49180" hidden="1">
      <c r="E49180" s="96"/>
    </row>
    <row r="49181" hidden="1">
      <c r="E49181" s="96"/>
    </row>
    <row r="49182" hidden="1">
      <c r="E49182" s="96"/>
    </row>
    <row r="49183" hidden="1">
      <c r="E49183" s="96"/>
    </row>
    <row r="49184" hidden="1">
      <c r="E49184" s="96"/>
    </row>
    <row r="49185" hidden="1">
      <c r="E49185" s="96"/>
    </row>
    <row r="49186" hidden="1">
      <c r="E49186" s="96"/>
    </row>
    <row r="49187" hidden="1">
      <c r="E49187" s="96"/>
    </row>
    <row r="49188" hidden="1">
      <c r="E49188" s="96"/>
    </row>
    <row r="49189" hidden="1">
      <c r="E49189" s="96"/>
    </row>
    <row r="49190" hidden="1">
      <c r="E49190" s="96"/>
    </row>
    <row r="49191" hidden="1">
      <c r="E49191" s="96"/>
    </row>
    <row r="49192" hidden="1">
      <c r="E49192" s="96"/>
    </row>
    <row r="49193" hidden="1">
      <c r="E49193" s="96"/>
    </row>
    <row r="49194" hidden="1">
      <c r="E49194" s="96"/>
    </row>
    <row r="49195" hidden="1">
      <c r="E49195" s="96"/>
    </row>
    <row r="49196" hidden="1">
      <c r="E49196" s="96"/>
    </row>
    <row r="49197" hidden="1">
      <c r="E49197" s="96"/>
    </row>
    <row r="49198" hidden="1">
      <c r="E49198" s="96"/>
    </row>
    <row r="49199" hidden="1">
      <c r="E49199" s="96"/>
    </row>
    <row r="49200" hidden="1">
      <c r="E49200" s="96"/>
    </row>
    <row r="49201" hidden="1">
      <c r="E49201" s="96"/>
    </row>
    <row r="49202" hidden="1">
      <c r="E49202" s="96"/>
    </row>
    <row r="49203" hidden="1">
      <c r="E49203" s="96"/>
    </row>
    <row r="49204" hidden="1">
      <c r="E49204" s="96"/>
    </row>
    <row r="49205" hidden="1">
      <c r="E49205" s="96"/>
    </row>
    <row r="49206" hidden="1">
      <c r="E49206" s="96"/>
    </row>
    <row r="49207" hidden="1">
      <c r="E49207" s="96"/>
    </row>
    <row r="49208" hidden="1">
      <c r="E49208" s="96"/>
    </row>
    <row r="49209" hidden="1">
      <c r="E49209" s="96"/>
    </row>
    <row r="49210" hidden="1">
      <c r="E49210" s="96"/>
    </row>
    <row r="49211" hidden="1">
      <c r="E49211" s="96"/>
    </row>
    <row r="49212" hidden="1">
      <c r="E49212" s="96"/>
    </row>
    <row r="49213" hidden="1">
      <c r="E49213" s="96"/>
    </row>
    <row r="49214" hidden="1">
      <c r="E49214" s="96"/>
    </row>
    <row r="49215" hidden="1">
      <c r="E49215" s="96"/>
    </row>
    <row r="49216" hidden="1">
      <c r="E49216" s="96"/>
    </row>
    <row r="49217" hidden="1">
      <c r="E49217" s="96"/>
    </row>
    <row r="49218" hidden="1">
      <c r="E49218" s="96"/>
    </row>
    <row r="49219" hidden="1">
      <c r="E49219" s="96"/>
    </row>
    <row r="49220" hidden="1">
      <c r="E49220" s="96"/>
    </row>
    <row r="49221" hidden="1">
      <c r="E49221" s="96"/>
    </row>
    <row r="49222" hidden="1">
      <c r="E49222" s="96"/>
    </row>
    <row r="49223" hidden="1">
      <c r="E49223" s="96"/>
    </row>
    <row r="49224" hidden="1">
      <c r="E49224" s="96"/>
    </row>
    <row r="49225" hidden="1">
      <c r="E49225" s="96"/>
    </row>
    <row r="49226" hidden="1">
      <c r="E49226" s="96"/>
    </row>
    <row r="49227" hidden="1">
      <c r="E49227" s="96"/>
    </row>
    <row r="49228" hidden="1">
      <c r="E49228" s="96"/>
    </row>
    <row r="49229" hidden="1">
      <c r="E49229" s="96"/>
    </row>
    <row r="49230" hidden="1">
      <c r="E49230" s="96"/>
    </row>
    <row r="49231" hidden="1">
      <c r="E49231" s="96"/>
    </row>
    <row r="49232" hidden="1">
      <c r="E49232" s="96"/>
    </row>
    <row r="49233" hidden="1">
      <c r="E49233" s="96"/>
    </row>
    <row r="49234" hidden="1">
      <c r="E49234" s="96"/>
    </row>
    <row r="49235" hidden="1">
      <c r="E49235" s="96"/>
    </row>
    <row r="49236" hidden="1">
      <c r="E49236" s="96"/>
    </row>
    <row r="49237" hidden="1">
      <c r="E49237" s="96"/>
    </row>
    <row r="49238" hidden="1">
      <c r="E49238" s="96"/>
    </row>
    <row r="49239" hidden="1">
      <c r="E49239" s="96"/>
    </row>
    <row r="49240" hidden="1">
      <c r="E49240" s="96"/>
    </row>
    <row r="49241" hidden="1">
      <c r="E49241" s="96"/>
    </row>
    <row r="49242" hidden="1">
      <c r="E49242" s="96"/>
    </row>
    <row r="49243" hidden="1">
      <c r="E49243" s="96"/>
    </row>
    <row r="49244" hidden="1">
      <c r="E49244" s="96"/>
    </row>
    <row r="49245" hidden="1">
      <c r="E49245" s="96"/>
    </row>
    <row r="49246" hidden="1">
      <c r="E49246" s="96"/>
    </row>
    <row r="49247" hidden="1">
      <c r="E49247" s="96"/>
    </row>
    <row r="49248" hidden="1">
      <c r="E49248" s="96"/>
    </row>
    <row r="49249" hidden="1">
      <c r="E49249" s="96"/>
    </row>
    <row r="49250" hidden="1">
      <c r="E49250" s="96"/>
    </row>
    <row r="49251" hidden="1">
      <c r="E49251" s="96"/>
    </row>
    <row r="49252" hidden="1">
      <c r="E49252" s="96"/>
    </row>
    <row r="49253" hidden="1">
      <c r="E49253" s="96"/>
    </row>
    <row r="49254" hidden="1">
      <c r="E49254" s="96"/>
    </row>
    <row r="49255" hidden="1">
      <c r="E49255" s="96"/>
    </row>
    <row r="49256" hidden="1">
      <c r="E49256" s="96"/>
    </row>
    <row r="49257" hidden="1">
      <c r="E49257" s="96"/>
    </row>
    <row r="49258" hidden="1">
      <c r="E49258" s="96"/>
    </row>
    <row r="49259" hidden="1">
      <c r="E49259" s="96"/>
    </row>
    <row r="49260" hidden="1">
      <c r="E49260" s="96"/>
    </row>
    <row r="49261" hidden="1">
      <c r="E49261" s="96"/>
    </row>
    <row r="49262" hidden="1">
      <c r="E49262" s="96"/>
    </row>
    <row r="49263" hidden="1">
      <c r="E49263" s="96"/>
    </row>
    <row r="49264" hidden="1">
      <c r="E49264" s="96"/>
    </row>
    <row r="49265" hidden="1">
      <c r="E49265" s="96"/>
    </row>
    <row r="49266" hidden="1">
      <c r="E49266" s="96"/>
    </row>
    <row r="49267" hidden="1">
      <c r="E49267" s="96"/>
    </row>
    <row r="49268" hidden="1">
      <c r="E49268" s="96"/>
    </row>
    <row r="49269" hidden="1">
      <c r="E49269" s="96"/>
    </row>
    <row r="49270" hidden="1">
      <c r="E49270" s="96"/>
    </row>
    <row r="49271" hidden="1">
      <c r="E49271" s="96"/>
    </row>
    <row r="49272" hidden="1">
      <c r="E49272" s="96"/>
    </row>
    <row r="49273" hidden="1">
      <c r="E49273" s="96"/>
    </row>
    <row r="49274" hidden="1">
      <c r="E49274" s="96"/>
    </row>
    <row r="49275" hidden="1">
      <c r="E49275" s="96"/>
    </row>
    <row r="49276" hidden="1">
      <c r="E49276" s="96"/>
    </row>
    <row r="49277" hidden="1">
      <c r="E49277" s="96"/>
    </row>
    <row r="49278" hidden="1">
      <c r="E49278" s="96"/>
    </row>
    <row r="49279" hidden="1">
      <c r="E49279" s="96"/>
    </row>
    <row r="49280" hidden="1">
      <c r="E49280" s="96"/>
    </row>
    <row r="49281" hidden="1">
      <c r="E49281" s="96"/>
    </row>
    <row r="49282" hidden="1">
      <c r="E49282" s="96"/>
    </row>
    <row r="49283" hidden="1">
      <c r="E49283" s="96"/>
    </row>
    <row r="49284" hidden="1">
      <c r="E49284" s="96"/>
    </row>
    <row r="49285" hidden="1">
      <c r="E49285" s="96"/>
    </row>
    <row r="49286" hidden="1">
      <c r="E49286" s="96"/>
    </row>
    <row r="49287" hidden="1">
      <c r="E49287" s="96"/>
    </row>
    <row r="49288" hidden="1">
      <c r="E49288" s="96"/>
    </row>
    <row r="49289" hidden="1">
      <c r="E49289" s="96"/>
    </row>
    <row r="49290" hidden="1">
      <c r="E49290" s="96"/>
    </row>
    <row r="49291" hidden="1">
      <c r="E49291" s="96"/>
    </row>
    <row r="49292" hidden="1">
      <c r="E49292" s="96"/>
    </row>
    <row r="49293" hidden="1">
      <c r="E49293" s="96"/>
    </row>
    <row r="49294" hidden="1">
      <c r="E49294" s="96"/>
    </row>
    <row r="49295" hidden="1">
      <c r="E49295" s="96"/>
    </row>
    <row r="49296" hidden="1">
      <c r="E49296" s="96"/>
    </row>
    <row r="49297" hidden="1">
      <c r="E49297" s="96"/>
    </row>
    <row r="49298" hidden="1">
      <c r="E49298" s="96"/>
    </row>
    <row r="49299" hidden="1">
      <c r="E49299" s="96"/>
    </row>
    <row r="49300" hidden="1">
      <c r="E49300" s="96"/>
    </row>
    <row r="49301" hidden="1">
      <c r="E49301" s="96"/>
    </row>
    <row r="49302" hidden="1">
      <c r="E49302" s="96"/>
    </row>
    <row r="49303" hidden="1">
      <c r="E49303" s="96"/>
    </row>
    <row r="49304" hidden="1">
      <c r="E49304" s="96"/>
    </row>
    <row r="49305" hidden="1">
      <c r="E49305" s="96"/>
    </row>
    <row r="49306" hidden="1">
      <c r="E49306" s="96"/>
    </row>
    <row r="49307" hidden="1">
      <c r="E49307" s="96"/>
    </row>
    <row r="49308" hidden="1">
      <c r="E49308" s="96"/>
    </row>
    <row r="49309" hidden="1">
      <c r="E49309" s="96"/>
    </row>
    <row r="49310" hidden="1">
      <c r="E49310" s="96"/>
    </row>
    <row r="49311" hidden="1">
      <c r="E49311" s="96"/>
    </row>
    <row r="49312" hidden="1">
      <c r="E49312" s="96"/>
    </row>
    <row r="49313" hidden="1">
      <c r="E49313" s="96"/>
    </row>
    <row r="49314" hidden="1">
      <c r="E49314" s="96"/>
    </row>
    <row r="49315" hidden="1">
      <c r="E49315" s="96"/>
    </row>
    <row r="49316" hidden="1">
      <c r="E49316" s="96"/>
    </row>
    <row r="49317" hidden="1">
      <c r="E49317" s="96"/>
    </row>
    <row r="49318" hidden="1">
      <c r="E49318" s="96"/>
    </row>
    <row r="49319" hidden="1">
      <c r="E49319" s="96"/>
    </row>
    <row r="49320" hidden="1">
      <c r="E49320" s="96"/>
    </row>
    <row r="49321" hidden="1">
      <c r="E49321" s="96"/>
    </row>
    <row r="49322" hidden="1">
      <c r="E49322" s="96"/>
    </row>
    <row r="49323" hidden="1">
      <c r="E49323" s="96"/>
    </row>
    <row r="49324" hidden="1">
      <c r="E49324" s="96"/>
    </row>
    <row r="49325" hidden="1">
      <c r="E49325" s="96"/>
    </row>
    <row r="49326" hidden="1">
      <c r="E49326" s="96"/>
    </row>
    <row r="49327" hidden="1">
      <c r="E49327" s="96"/>
    </row>
    <row r="49328" hidden="1">
      <c r="E49328" s="96"/>
    </row>
    <row r="49329" hidden="1">
      <c r="E49329" s="96"/>
    </row>
    <row r="49330" hidden="1">
      <c r="E49330" s="96"/>
    </row>
    <row r="49331" hidden="1">
      <c r="E49331" s="96"/>
    </row>
    <row r="49332" hidden="1">
      <c r="E49332" s="96"/>
    </row>
    <row r="49333" hidden="1">
      <c r="E49333" s="96"/>
    </row>
    <row r="49334" hidden="1">
      <c r="E49334" s="96"/>
    </row>
    <row r="49335" hidden="1">
      <c r="E49335" s="96"/>
    </row>
    <row r="49336" hidden="1">
      <c r="E49336" s="96"/>
    </row>
    <row r="49337" hidden="1">
      <c r="E49337" s="96"/>
    </row>
    <row r="49338" hidden="1">
      <c r="E49338" s="96"/>
    </row>
    <row r="49339" hidden="1">
      <c r="E49339" s="96"/>
    </row>
    <row r="49340" hidden="1">
      <c r="E49340" s="96"/>
    </row>
    <row r="49341" hidden="1">
      <c r="E49341" s="96"/>
    </row>
    <row r="49342" hidden="1">
      <c r="E49342" s="96"/>
    </row>
    <row r="49343" hidden="1">
      <c r="E49343" s="96"/>
    </row>
    <row r="49344" hidden="1">
      <c r="E49344" s="96"/>
    </row>
    <row r="49345" hidden="1">
      <c r="E49345" s="96"/>
    </row>
    <row r="49346" hidden="1">
      <c r="E49346" s="96"/>
    </row>
    <row r="49347" hidden="1">
      <c r="E49347" s="96"/>
    </row>
    <row r="49348" hidden="1">
      <c r="E49348" s="96"/>
    </row>
    <row r="49349" hidden="1">
      <c r="E49349" s="96"/>
    </row>
    <row r="49350" hidden="1">
      <c r="E49350" s="96"/>
    </row>
    <row r="49351" hidden="1">
      <c r="E49351" s="96"/>
    </row>
    <row r="49352" hidden="1">
      <c r="E49352" s="96"/>
    </row>
    <row r="49353" hidden="1">
      <c r="E49353" s="96"/>
    </row>
    <row r="49354" hidden="1">
      <c r="E49354" s="96"/>
    </row>
    <row r="49355" hidden="1">
      <c r="E49355" s="96"/>
    </row>
    <row r="49356" hidden="1">
      <c r="E49356" s="96"/>
    </row>
    <row r="49357" hidden="1">
      <c r="E49357" s="96"/>
    </row>
    <row r="49358" hidden="1">
      <c r="E49358" s="96"/>
    </row>
    <row r="49359" hidden="1">
      <c r="E49359" s="96"/>
    </row>
    <row r="49360" hidden="1">
      <c r="E49360" s="96"/>
    </row>
    <row r="49361" hidden="1">
      <c r="E49361" s="96"/>
    </row>
    <row r="49362" hidden="1">
      <c r="E49362" s="96"/>
    </row>
    <row r="49363" hidden="1">
      <c r="E49363" s="96"/>
    </row>
    <row r="49364" hidden="1">
      <c r="E49364" s="96"/>
    </row>
    <row r="49365" hidden="1">
      <c r="E49365" s="96"/>
    </row>
    <row r="49366" hidden="1">
      <c r="E49366" s="96"/>
    </row>
    <row r="49367" hidden="1">
      <c r="E49367" s="96"/>
    </row>
    <row r="49368" hidden="1">
      <c r="E49368" s="96"/>
    </row>
    <row r="49369" hidden="1">
      <c r="E49369" s="96"/>
    </row>
    <row r="49370" hidden="1">
      <c r="E49370" s="96"/>
    </row>
    <row r="49371" hidden="1">
      <c r="E49371" s="96"/>
    </row>
    <row r="49372" hidden="1">
      <c r="E49372" s="96"/>
    </row>
    <row r="49373" hidden="1">
      <c r="E49373" s="96"/>
    </row>
    <row r="49374" hidden="1">
      <c r="E49374" s="96"/>
    </row>
    <row r="49375" hidden="1">
      <c r="E49375" s="96"/>
    </row>
    <row r="49376" hidden="1">
      <c r="E49376" s="96"/>
    </row>
    <row r="49377" hidden="1">
      <c r="E49377" s="96"/>
    </row>
    <row r="49378" hidden="1">
      <c r="E49378" s="96"/>
    </row>
    <row r="49379" hidden="1">
      <c r="E49379" s="96"/>
    </row>
    <row r="49380" hidden="1">
      <c r="E49380" s="96"/>
    </row>
    <row r="49381" hidden="1">
      <c r="E49381" s="96"/>
    </row>
    <row r="49382" hidden="1">
      <c r="E49382" s="96"/>
    </row>
    <row r="49383" hidden="1">
      <c r="E49383" s="96"/>
    </row>
    <row r="49384" hidden="1">
      <c r="E49384" s="96"/>
    </row>
    <row r="49385" hidden="1">
      <c r="E49385" s="96"/>
    </row>
    <row r="49386" hidden="1">
      <c r="E49386" s="96"/>
    </row>
    <row r="49387" hidden="1">
      <c r="E49387" s="96"/>
    </row>
    <row r="49388" hidden="1">
      <c r="E49388" s="96"/>
    </row>
    <row r="49389" hidden="1">
      <c r="E49389" s="96"/>
    </row>
    <row r="49390" hidden="1">
      <c r="E49390" s="96"/>
    </row>
    <row r="49391" hidden="1">
      <c r="E49391" s="96"/>
    </row>
    <row r="49392" hidden="1">
      <c r="E49392" s="96"/>
    </row>
    <row r="49393" hidden="1">
      <c r="E49393" s="96"/>
    </row>
    <row r="49394" hidden="1">
      <c r="E49394" s="96"/>
    </row>
    <row r="49395" hidden="1">
      <c r="E49395" s="96"/>
    </row>
    <row r="49396" hidden="1">
      <c r="E49396" s="96"/>
    </row>
    <row r="49397" hidden="1">
      <c r="E49397" s="96"/>
    </row>
    <row r="49398" hidden="1">
      <c r="E49398" s="96"/>
    </row>
    <row r="49399" hidden="1">
      <c r="E49399" s="96"/>
    </row>
    <row r="49400" hidden="1">
      <c r="E49400" s="96"/>
    </row>
    <row r="49401" hidden="1">
      <c r="E49401" s="96"/>
    </row>
    <row r="49402" hidden="1">
      <c r="E49402" s="96"/>
    </row>
    <row r="49403" hidden="1">
      <c r="E49403" s="96"/>
    </row>
    <row r="49404" hidden="1">
      <c r="E49404" s="96"/>
    </row>
    <row r="49405" hidden="1">
      <c r="E49405" s="96"/>
    </row>
    <row r="49406" hidden="1">
      <c r="E49406" s="96"/>
    </row>
    <row r="49407" hidden="1">
      <c r="E49407" s="96"/>
    </row>
    <row r="49408" hidden="1">
      <c r="E49408" s="96"/>
    </row>
    <row r="49409" hidden="1">
      <c r="E49409" s="96"/>
    </row>
    <row r="49410" hidden="1">
      <c r="E49410" s="96"/>
    </row>
    <row r="49411" hidden="1">
      <c r="E49411" s="96"/>
    </row>
    <row r="49412" hidden="1">
      <c r="E49412" s="96"/>
    </row>
    <row r="49413" hidden="1">
      <c r="E49413" s="96"/>
    </row>
    <row r="49414" hidden="1">
      <c r="E49414" s="96"/>
    </row>
    <row r="49415" hidden="1">
      <c r="E49415" s="96"/>
    </row>
    <row r="49416" hidden="1">
      <c r="E49416" s="96"/>
    </row>
    <row r="49417" hidden="1">
      <c r="E49417" s="96"/>
    </row>
    <row r="49418" hidden="1">
      <c r="E49418" s="96"/>
    </row>
    <row r="49419" hidden="1">
      <c r="E49419" s="96"/>
    </row>
    <row r="49420" hidden="1">
      <c r="E49420" s="96"/>
    </row>
    <row r="49421" hidden="1">
      <c r="E49421" s="96"/>
    </row>
    <row r="49422" hidden="1">
      <c r="E49422" s="96"/>
    </row>
    <row r="49423" hidden="1">
      <c r="E49423" s="96"/>
    </row>
    <row r="49424" hidden="1">
      <c r="E49424" s="96"/>
    </row>
    <row r="49425" hidden="1">
      <c r="E49425" s="96"/>
    </row>
    <row r="49426" hidden="1">
      <c r="E49426" s="96"/>
    </row>
    <row r="49427" hidden="1">
      <c r="E49427" s="96"/>
    </row>
    <row r="49428" hidden="1">
      <c r="E49428" s="96"/>
    </row>
    <row r="49429" hidden="1">
      <c r="E49429" s="96"/>
    </row>
    <row r="49430" hidden="1">
      <c r="E49430" s="96"/>
    </row>
    <row r="49431" hidden="1">
      <c r="E49431" s="96"/>
    </row>
    <row r="49432" hidden="1">
      <c r="E49432" s="96"/>
    </row>
    <row r="49433" hidden="1">
      <c r="E49433" s="96"/>
    </row>
    <row r="49434" hidden="1">
      <c r="E49434" s="96"/>
    </row>
    <row r="49435" hidden="1">
      <c r="E49435" s="96"/>
    </row>
    <row r="49436" hidden="1">
      <c r="E49436" s="96"/>
    </row>
    <row r="49437" hidden="1">
      <c r="E49437" s="96"/>
    </row>
    <row r="49438" hidden="1">
      <c r="E49438" s="96"/>
    </row>
    <row r="49439" hidden="1">
      <c r="E49439" s="96"/>
    </row>
    <row r="49440" hidden="1">
      <c r="E49440" s="96"/>
    </row>
    <row r="49441" hidden="1">
      <c r="E49441" s="96"/>
    </row>
    <row r="49442" hidden="1">
      <c r="E49442" s="96"/>
    </row>
    <row r="49443" hidden="1">
      <c r="E49443" s="96"/>
    </row>
    <row r="49444" hidden="1">
      <c r="E49444" s="96"/>
    </row>
    <row r="49445" hidden="1">
      <c r="E49445" s="96"/>
    </row>
    <row r="49446" hidden="1">
      <c r="E49446" s="96"/>
    </row>
    <row r="49447" hidden="1">
      <c r="E49447" s="96"/>
    </row>
    <row r="49448" hidden="1">
      <c r="E49448" s="96"/>
    </row>
    <row r="49449" hidden="1">
      <c r="E49449" s="96"/>
    </row>
    <row r="49450" hidden="1">
      <c r="E49450" s="96"/>
    </row>
    <row r="49451" hidden="1">
      <c r="E49451" s="96"/>
    </row>
    <row r="49452" hidden="1">
      <c r="E49452" s="96"/>
    </row>
    <row r="49453" hidden="1">
      <c r="E49453" s="96"/>
    </row>
    <row r="49454" hidden="1">
      <c r="E49454" s="96"/>
    </row>
    <row r="49455" hidden="1">
      <c r="E49455" s="96"/>
    </row>
    <row r="49456" hidden="1">
      <c r="E49456" s="96"/>
    </row>
    <row r="49457" hidden="1">
      <c r="E49457" s="96"/>
    </row>
    <row r="49458" hidden="1">
      <c r="E49458" s="96"/>
    </row>
    <row r="49459" hidden="1">
      <c r="E49459" s="96"/>
    </row>
    <row r="49460" hidden="1">
      <c r="E49460" s="96"/>
    </row>
    <row r="49461" hidden="1">
      <c r="E49461" s="96"/>
    </row>
    <row r="49462" hidden="1">
      <c r="E49462" s="96"/>
    </row>
    <row r="49463" hidden="1">
      <c r="E49463" s="96"/>
    </row>
    <row r="49464" hidden="1">
      <c r="E49464" s="96"/>
    </row>
    <row r="49465" hidden="1">
      <c r="E49465" s="96"/>
    </row>
    <row r="49466" hidden="1">
      <c r="E49466" s="96"/>
    </row>
    <row r="49467" hidden="1">
      <c r="E49467" s="96"/>
    </row>
    <row r="49468" hidden="1">
      <c r="E49468" s="96"/>
    </row>
    <row r="49469" hidden="1">
      <c r="E49469" s="96"/>
    </row>
    <row r="49470" hidden="1">
      <c r="E49470" s="96"/>
    </row>
    <row r="49471" hidden="1">
      <c r="E49471" s="96"/>
    </row>
    <row r="49472" hidden="1">
      <c r="E49472" s="96"/>
    </row>
    <row r="49473" hidden="1">
      <c r="E49473" s="96"/>
    </row>
    <row r="49474" hidden="1">
      <c r="E49474" s="96"/>
    </row>
    <row r="49475" hidden="1">
      <c r="E49475" s="96"/>
    </row>
    <row r="49476" hidden="1">
      <c r="E49476" s="96"/>
    </row>
    <row r="49477" hidden="1">
      <c r="E49477" s="96"/>
    </row>
    <row r="49478" hidden="1">
      <c r="E49478" s="96"/>
    </row>
    <row r="49479" hidden="1">
      <c r="E49479" s="96"/>
    </row>
    <row r="49480" hidden="1">
      <c r="E49480" s="96"/>
    </row>
    <row r="49481" hidden="1">
      <c r="E49481" s="96"/>
    </row>
    <row r="49482" hidden="1">
      <c r="E49482" s="96"/>
    </row>
    <row r="49483" hidden="1">
      <c r="E49483" s="96"/>
    </row>
    <row r="49484" hidden="1">
      <c r="E49484" s="96"/>
    </row>
    <row r="49485" hidden="1">
      <c r="E49485" s="96"/>
    </row>
    <row r="49486" hidden="1">
      <c r="E49486" s="96"/>
    </row>
    <row r="49487" hidden="1">
      <c r="E49487" s="96"/>
    </row>
    <row r="49488" hidden="1">
      <c r="E49488" s="96"/>
    </row>
    <row r="49489" hidden="1">
      <c r="E49489" s="96"/>
    </row>
    <row r="49490" hidden="1">
      <c r="E49490" s="96"/>
    </row>
    <row r="49491" hidden="1">
      <c r="E49491" s="96"/>
    </row>
    <row r="49492" hidden="1">
      <c r="E49492" s="96"/>
    </row>
    <row r="49493" hidden="1">
      <c r="E49493" s="96"/>
    </row>
    <row r="49494" hidden="1">
      <c r="E49494" s="96"/>
    </row>
    <row r="49495" hidden="1">
      <c r="E49495" s="96"/>
    </row>
    <row r="49496" hidden="1">
      <c r="E49496" s="96"/>
    </row>
    <row r="49497" hidden="1">
      <c r="E49497" s="96"/>
    </row>
    <row r="49498" hidden="1">
      <c r="E49498" s="96"/>
    </row>
    <row r="49499" hidden="1">
      <c r="E49499" s="96"/>
    </row>
    <row r="49500" hidden="1">
      <c r="E49500" s="96"/>
    </row>
    <row r="49501" hidden="1">
      <c r="E49501" s="96"/>
    </row>
    <row r="49502" hidden="1">
      <c r="E49502" s="96"/>
    </row>
    <row r="49503" hidden="1">
      <c r="E49503" s="96"/>
    </row>
    <row r="49504" hidden="1">
      <c r="E49504" s="96"/>
    </row>
    <row r="49505" hidden="1">
      <c r="E49505" s="96"/>
    </row>
    <row r="49506" hidden="1">
      <c r="E49506" s="96"/>
    </row>
    <row r="49507" hidden="1">
      <c r="E49507" s="96"/>
    </row>
    <row r="49508" hidden="1">
      <c r="E49508" s="96"/>
    </row>
    <row r="49509" hidden="1">
      <c r="E49509" s="96"/>
    </row>
    <row r="49510" hidden="1">
      <c r="E49510" s="96"/>
    </row>
    <row r="49511" hidden="1">
      <c r="E49511" s="96"/>
    </row>
    <row r="49512" hidden="1">
      <c r="E49512" s="96"/>
    </row>
    <row r="49513" hidden="1">
      <c r="E49513" s="96"/>
    </row>
    <row r="49514" hidden="1">
      <c r="E49514" s="96"/>
    </row>
    <row r="49515" hidden="1">
      <c r="E49515" s="96"/>
    </row>
    <row r="49516" hidden="1">
      <c r="E49516" s="96"/>
    </row>
    <row r="49517" hidden="1">
      <c r="E49517" s="96"/>
    </row>
    <row r="49518" hidden="1">
      <c r="E49518" s="96"/>
    </row>
    <row r="49519" hidden="1">
      <c r="E49519" s="96"/>
    </row>
    <row r="49520" hidden="1">
      <c r="E49520" s="96"/>
    </row>
    <row r="49521" hidden="1">
      <c r="E49521" s="96"/>
    </row>
    <row r="49522" hidden="1">
      <c r="E49522" s="96"/>
    </row>
    <row r="49523" hidden="1">
      <c r="E49523" s="96"/>
    </row>
    <row r="49524" hidden="1">
      <c r="E49524" s="96"/>
    </row>
    <row r="49525" hidden="1">
      <c r="E49525" s="96"/>
    </row>
    <row r="49526" hidden="1">
      <c r="E49526" s="96"/>
    </row>
    <row r="49527" hidden="1">
      <c r="E49527" s="96"/>
    </row>
    <row r="49528" hidden="1">
      <c r="E49528" s="96"/>
    </row>
    <row r="49529" hidden="1">
      <c r="E49529" s="96"/>
    </row>
    <row r="49530" hidden="1">
      <c r="E49530" s="96"/>
    </row>
    <row r="49531" hidden="1">
      <c r="E49531" s="96"/>
    </row>
    <row r="49532" hidden="1">
      <c r="E49532" s="96"/>
    </row>
    <row r="49533" hidden="1">
      <c r="E49533" s="96"/>
    </row>
    <row r="49534" hidden="1">
      <c r="E49534" s="96"/>
    </row>
    <row r="49535" hidden="1">
      <c r="E49535" s="96"/>
    </row>
    <row r="49536" hidden="1">
      <c r="E49536" s="96"/>
    </row>
    <row r="49537" hidden="1">
      <c r="E49537" s="96"/>
    </row>
    <row r="49538" hidden="1">
      <c r="E49538" s="96"/>
    </row>
    <row r="49539" hidden="1">
      <c r="E49539" s="96"/>
    </row>
    <row r="49540" hidden="1">
      <c r="E49540" s="96"/>
    </row>
    <row r="49541" hidden="1">
      <c r="E49541" s="96"/>
    </row>
    <row r="49542" hidden="1">
      <c r="E49542" s="96"/>
    </row>
    <row r="49543" hidden="1">
      <c r="E49543" s="96"/>
    </row>
    <row r="49544" hidden="1">
      <c r="E49544" s="96"/>
    </row>
    <row r="49545" hidden="1">
      <c r="E49545" s="96"/>
    </row>
    <row r="49546" hidden="1">
      <c r="E49546" s="96"/>
    </row>
    <row r="49547" hidden="1">
      <c r="E49547" s="96"/>
    </row>
    <row r="49548" hidden="1">
      <c r="E49548" s="96"/>
    </row>
    <row r="49549" hidden="1">
      <c r="E49549" s="96"/>
    </row>
    <row r="49550" hidden="1">
      <c r="E49550" s="96"/>
    </row>
    <row r="49551" hidden="1">
      <c r="E49551" s="96"/>
    </row>
    <row r="49552" hidden="1">
      <c r="E49552" s="96"/>
    </row>
    <row r="49553" hidden="1">
      <c r="E49553" s="96"/>
    </row>
    <row r="49554" hidden="1">
      <c r="E49554" s="96"/>
    </row>
    <row r="49555" hidden="1">
      <c r="E49555" s="96"/>
    </row>
    <row r="49556" hidden="1">
      <c r="E49556" s="96"/>
    </row>
    <row r="49557" hidden="1">
      <c r="E49557" s="96"/>
    </row>
    <row r="49558" hidden="1">
      <c r="E49558" s="96"/>
    </row>
    <row r="49559" hidden="1">
      <c r="E49559" s="96"/>
    </row>
    <row r="49560" hidden="1">
      <c r="E49560" s="96"/>
    </row>
    <row r="49561" hidden="1">
      <c r="E49561" s="96"/>
    </row>
    <row r="49562" hidden="1">
      <c r="E49562" s="96"/>
    </row>
    <row r="49563" hidden="1">
      <c r="E49563" s="96"/>
    </row>
    <row r="49564" hidden="1">
      <c r="E49564" s="96"/>
    </row>
    <row r="49565" hidden="1">
      <c r="E49565" s="96"/>
    </row>
    <row r="49566" hidden="1">
      <c r="E49566" s="96"/>
    </row>
    <row r="49567" hidden="1">
      <c r="E49567" s="96"/>
    </row>
    <row r="49568" hidden="1">
      <c r="E49568" s="96"/>
    </row>
    <row r="49569" hidden="1">
      <c r="E49569" s="96"/>
    </row>
    <row r="49570" hidden="1">
      <c r="E49570" s="96"/>
    </row>
    <row r="49571" hidden="1">
      <c r="E49571" s="96"/>
    </row>
    <row r="49572" hidden="1">
      <c r="E49572" s="96"/>
    </row>
    <row r="49573" hidden="1">
      <c r="E49573" s="96"/>
    </row>
    <row r="49574" hidden="1">
      <c r="E49574" s="96"/>
    </row>
    <row r="49575" hidden="1">
      <c r="E49575" s="96"/>
    </row>
    <row r="49576" hidden="1">
      <c r="E49576" s="96"/>
    </row>
    <row r="49577" hidden="1">
      <c r="E49577" s="96"/>
    </row>
    <row r="49578" hidden="1">
      <c r="E49578" s="96"/>
    </row>
    <row r="49579" hidden="1">
      <c r="E49579" s="96"/>
    </row>
    <row r="49580" hidden="1">
      <c r="E49580" s="96"/>
    </row>
    <row r="49581" hidden="1">
      <c r="E49581" s="96"/>
    </row>
    <row r="49582" hidden="1">
      <c r="E49582" s="96"/>
    </row>
    <row r="49583" hidden="1">
      <c r="E49583" s="96"/>
    </row>
    <row r="49584" hidden="1">
      <c r="E49584" s="96"/>
    </row>
    <row r="49585" hidden="1">
      <c r="E49585" s="96"/>
    </row>
    <row r="49586" hidden="1">
      <c r="E49586" s="96"/>
    </row>
    <row r="49587" hidden="1">
      <c r="E49587" s="96"/>
    </row>
    <row r="49588" hidden="1">
      <c r="E49588" s="96"/>
    </row>
    <row r="49589" hidden="1">
      <c r="E49589" s="96"/>
    </row>
    <row r="49590" hidden="1">
      <c r="E49590" s="96"/>
    </row>
    <row r="49591" hidden="1">
      <c r="E49591" s="96"/>
    </row>
    <row r="49592" hidden="1">
      <c r="E49592" s="96"/>
    </row>
    <row r="49593" hidden="1">
      <c r="E49593" s="96"/>
    </row>
    <row r="49594" hidden="1">
      <c r="E49594" s="96"/>
    </row>
    <row r="49595" hidden="1">
      <c r="E49595" s="96"/>
    </row>
    <row r="49596" hidden="1">
      <c r="E49596" s="96"/>
    </row>
    <row r="49597" hidden="1">
      <c r="E49597" s="96"/>
    </row>
    <row r="49598" hidden="1">
      <c r="E49598" s="96"/>
    </row>
    <row r="49599" hidden="1">
      <c r="E49599" s="96"/>
    </row>
    <row r="49600" hidden="1">
      <c r="E49600" s="96"/>
    </row>
    <row r="49601" hidden="1">
      <c r="E49601" s="96"/>
    </row>
    <row r="49602" hidden="1">
      <c r="E49602" s="96"/>
    </row>
    <row r="49603" hidden="1">
      <c r="E49603" s="96"/>
    </row>
    <row r="49604" hidden="1">
      <c r="E49604" s="96"/>
    </row>
    <row r="49605" hidden="1">
      <c r="E49605" s="96"/>
    </row>
    <row r="49606" hidden="1">
      <c r="E49606" s="96"/>
    </row>
    <row r="49607" hidden="1">
      <c r="E49607" s="96"/>
    </row>
    <row r="49608" hidden="1">
      <c r="E49608" s="96"/>
    </row>
    <row r="49609" hidden="1">
      <c r="E49609" s="96"/>
    </row>
    <row r="49610" hidden="1">
      <c r="E49610" s="96"/>
    </row>
    <row r="49611" hidden="1">
      <c r="E49611" s="96"/>
    </row>
    <row r="49612" hidden="1">
      <c r="E49612" s="96"/>
    </row>
    <row r="49613" hidden="1">
      <c r="E49613" s="96"/>
    </row>
    <row r="49614" hidden="1">
      <c r="E49614" s="96"/>
    </row>
    <row r="49615" hidden="1">
      <c r="E49615" s="96"/>
    </row>
    <row r="49616" hidden="1">
      <c r="E49616" s="96"/>
    </row>
    <row r="49617" hidden="1">
      <c r="E49617" s="96"/>
    </row>
    <row r="49618" hidden="1">
      <c r="E49618" s="96"/>
    </row>
    <row r="49619" hidden="1">
      <c r="E49619" s="96"/>
    </row>
    <row r="49620" hidden="1">
      <c r="E49620" s="96"/>
    </row>
    <row r="49621" hidden="1">
      <c r="E49621" s="96"/>
    </row>
    <row r="49622" hidden="1">
      <c r="E49622" s="96"/>
    </row>
    <row r="49623" hidden="1">
      <c r="E49623" s="96"/>
    </row>
    <row r="49624" hidden="1">
      <c r="E49624" s="96"/>
    </row>
    <row r="49625" hidden="1">
      <c r="E49625" s="96"/>
    </row>
    <row r="49626" hidden="1">
      <c r="E49626" s="96"/>
    </row>
    <row r="49627" hidden="1">
      <c r="E49627" s="96"/>
    </row>
    <row r="49628" hidden="1">
      <c r="E49628" s="96"/>
    </row>
    <row r="49629" hidden="1">
      <c r="E49629" s="96"/>
    </row>
    <row r="49630" hidden="1">
      <c r="E49630" s="96"/>
    </row>
    <row r="49631" hidden="1">
      <c r="E49631" s="96"/>
    </row>
    <row r="49632" hidden="1">
      <c r="E49632" s="96"/>
    </row>
    <row r="49633" hidden="1">
      <c r="E49633" s="96"/>
    </row>
    <row r="49634" hidden="1">
      <c r="E49634" s="96"/>
    </row>
    <row r="49635" hidden="1">
      <c r="E49635" s="96"/>
    </row>
    <row r="49636" hidden="1">
      <c r="E49636" s="96"/>
    </row>
    <row r="49637" hidden="1">
      <c r="E49637" s="96"/>
    </row>
    <row r="49638" hidden="1">
      <c r="E49638" s="96"/>
    </row>
    <row r="49639" hidden="1">
      <c r="E49639" s="96"/>
    </row>
    <row r="49640" hidden="1">
      <c r="E49640" s="96"/>
    </row>
    <row r="49641" hidden="1">
      <c r="E49641" s="96"/>
    </row>
    <row r="49642" hidden="1">
      <c r="E49642" s="96"/>
    </row>
    <row r="49643" hidden="1">
      <c r="E49643" s="96"/>
    </row>
    <row r="49644" hidden="1">
      <c r="E49644" s="96"/>
    </row>
    <row r="49645" hidden="1">
      <c r="E49645" s="96"/>
    </row>
    <row r="49646" hidden="1">
      <c r="E49646" s="96"/>
    </row>
    <row r="49647" hidden="1">
      <c r="E49647" s="96"/>
    </row>
    <row r="49648" hidden="1">
      <c r="E49648" s="96"/>
    </row>
    <row r="49649" hidden="1">
      <c r="E49649" s="96"/>
    </row>
    <row r="49650" hidden="1">
      <c r="E49650" s="96"/>
    </row>
    <row r="49651" hidden="1">
      <c r="E49651" s="96"/>
    </row>
    <row r="49652" hidden="1">
      <c r="E49652" s="96"/>
    </row>
    <row r="49653" hidden="1">
      <c r="E49653" s="96"/>
    </row>
    <row r="49654" hidden="1">
      <c r="E49654" s="96"/>
    </row>
    <row r="49655" hidden="1">
      <c r="E49655" s="96"/>
    </row>
    <row r="49656" hidden="1">
      <c r="E49656" s="96"/>
    </row>
    <row r="49657" hidden="1">
      <c r="E49657" s="96"/>
    </row>
    <row r="49658" hidden="1">
      <c r="E49658" s="96"/>
    </row>
    <row r="49659" hidden="1">
      <c r="E49659" s="96"/>
    </row>
    <row r="49660" hidden="1">
      <c r="E49660" s="96"/>
    </row>
    <row r="49661" hidden="1">
      <c r="E49661" s="96"/>
    </row>
    <row r="49662" hidden="1">
      <c r="E49662" s="96"/>
    </row>
    <row r="49663" hidden="1">
      <c r="E49663" s="96"/>
    </row>
    <row r="49664" hidden="1">
      <c r="E49664" s="96"/>
    </row>
    <row r="49665" hidden="1">
      <c r="E49665" s="96"/>
    </row>
    <row r="49666" hidden="1">
      <c r="E49666" s="96"/>
    </row>
    <row r="49667" hidden="1">
      <c r="E49667" s="96"/>
    </row>
    <row r="49668" hidden="1">
      <c r="E49668" s="96"/>
    </row>
    <row r="49669" hidden="1">
      <c r="E49669" s="96"/>
    </row>
    <row r="49670" hidden="1">
      <c r="E49670" s="96"/>
    </row>
    <row r="49671" hidden="1">
      <c r="E49671" s="96"/>
    </row>
    <row r="49672" hidden="1">
      <c r="E49672" s="96"/>
    </row>
    <row r="49673" hidden="1">
      <c r="E49673" s="96"/>
    </row>
    <row r="49674" hidden="1">
      <c r="E49674" s="96"/>
    </row>
    <row r="49675" hidden="1">
      <c r="E49675" s="96"/>
    </row>
    <row r="49676" hidden="1">
      <c r="E49676" s="96"/>
    </row>
    <row r="49677" hidden="1">
      <c r="E49677" s="96"/>
    </row>
    <row r="49678" hidden="1">
      <c r="E49678" s="96"/>
    </row>
    <row r="49679" hidden="1">
      <c r="E49679" s="96"/>
    </row>
    <row r="49680" hidden="1">
      <c r="E49680" s="96"/>
    </row>
    <row r="49681" hidden="1">
      <c r="E49681" s="96"/>
    </row>
    <row r="49682" hidden="1">
      <c r="E49682" s="96"/>
    </row>
    <row r="49683" hidden="1">
      <c r="E49683" s="96"/>
    </row>
    <row r="49684" hidden="1">
      <c r="E49684" s="96"/>
    </row>
    <row r="49685" hidden="1">
      <c r="E49685" s="96"/>
    </row>
    <row r="49686" hidden="1">
      <c r="E49686" s="96"/>
    </row>
    <row r="49687" hidden="1">
      <c r="E49687" s="96"/>
    </row>
    <row r="49688" hidden="1">
      <c r="E49688" s="96"/>
    </row>
    <row r="49689" hidden="1">
      <c r="E49689" s="96"/>
    </row>
    <row r="49690" hidden="1">
      <c r="E49690" s="96"/>
    </row>
    <row r="49691" hidden="1">
      <c r="E49691" s="96"/>
    </row>
    <row r="49692" hidden="1">
      <c r="E49692" s="96"/>
    </row>
    <row r="49693" hidden="1">
      <c r="E49693" s="96"/>
    </row>
    <row r="49694" hidden="1">
      <c r="E49694" s="96"/>
    </row>
    <row r="49695" hidden="1">
      <c r="E49695" s="96"/>
    </row>
    <row r="49696" hidden="1">
      <c r="E49696" s="96"/>
    </row>
    <row r="49697" hidden="1">
      <c r="E49697" s="96"/>
    </row>
    <row r="49698" hidden="1">
      <c r="E49698" s="96"/>
    </row>
    <row r="49699" hidden="1">
      <c r="E49699" s="96"/>
    </row>
    <row r="49700" hidden="1">
      <c r="E49700" s="96"/>
    </row>
    <row r="49701" hidden="1">
      <c r="E49701" s="96"/>
    </row>
    <row r="49702" hidden="1">
      <c r="E49702" s="96"/>
    </row>
    <row r="49703" hidden="1">
      <c r="E49703" s="96"/>
    </row>
    <row r="49704" hidden="1">
      <c r="E49704" s="96"/>
    </row>
    <row r="49705" hidden="1">
      <c r="E49705" s="96"/>
    </row>
    <row r="49706" hidden="1">
      <c r="E49706" s="96"/>
    </row>
    <row r="49707" hidden="1">
      <c r="E49707" s="96"/>
    </row>
    <row r="49708" hidden="1">
      <c r="E49708" s="96"/>
    </row>
    <row r="49709" hidden="1">
      <c r="E49709" s="96"/>
    </row>
    <row r="49710" hidden="1">
      <c r="E49710" s="96"/>
    </row>
    <row r="49711" hidden="1">
      <c r="E49711" s="96"/>
    </row>
    <row r="49712" hidden="1">
      <c r="E49712" s="96"/>
    </row>
    <row r="49713" hidden="1">
      <c r="E49713" s="96"/>
    </row>
    <row r="49714" hidden="1">
      <c r="E49714" s="96"/>
    </row>
    <row r="49715" hidden="1">
      <c r="E49715" s="96"/>
    </row>
    <row r="49716" hidden="1">
      <c r="E49716" s="96"/>
    </row>
    <row r="49717" hidden="1">
      <c r="E49717" s="96"/>
    </row>
    <row r="49718" hidden="1">
      <c r="E49718" s="96"/>
    </row>
    <row r="49719" hidden="1">
      <c r="E49719" s="96"/>
    </row>
    <row r="49720" hidden="1">
      <c r="E49720" s="96"/>
    </row>
    <row r="49721" hidden="1">
      <c r="E49721" s="96"/>
    </row>
    <row r="49722" hidden="1">
      <c r="E49722" s="96"/>
    </row>
    <row r="49723" hidden="1">
      <c r="E49723" s="96"/>
    </row>
    <row r="49724" hidden="1">
      <c r="E49724" s="96"/>
    </row>
    <row r="49725" hidden="1">
      <c r="E49725" s="96"/>
    </row>
    <row r="49726" hidden="1">
      <c r="E49726" s="96"/>
    </row>
    <row r="49727" hidden="1">
      <c r="E49727" s="96"/>
    </row>
    <row r="49728" hidden="1">
      <c r="E49728" s="96"/>
    </row>
    <row r="49729" hidden="1">
      <c r="E49729" s="96"/>
    </row>
    <row r="49730" hidden="1">
      <c r="E49730" s="96"/>
    </row>
    <row r="49731" hidden="1">
      <c r="E49731" s="96"/>
    </row>
    <row r="49732" hidden="1">
      <c r="E49732" s="96"/>
    </row>
    <row r="49733" hidden="1">
      <c r="E49733" s="96"/>
    </row>
    <row r="49734" hidden="1">
      <c r="E49734" s="96"/>
    </row>
    <row r="49735" hidden="1">
      <c r="E49735" s="96"/>
    </row>
    <row r="49736" hidden="1">
      <c r="E49736" s="96"/>
    </row>
    <row r="49737" hidden="1">
      <c r="E49737" s="96"/>
    </row>
    <row r="49738" hidden="1">
      <c r="E49738" s="96"/>
    </row>
    <row r="49739" hidden="1">
      <c r="E49739" s="96"/>
    </row>
    <row r="49740" hidden="1">
      <c r="E49740" s="96"/>
    </row>
    <row r="49741" hidden="1">
      <c r="E49741" s="96"/>
    </row>
    <row r="49742" hidden="1">
      <c r="E49742" s="96"/>
    </row>
    <row r="49743" hidden="1">
      <c r="E49743" s="96"/>
    </row>
    <row r="49744" hidden="1">
      <c r="E49744" s="96"/>
    </row>
    <row r="49745" hidden="1">
      <c r="E49745" s="96"/>
    </row>
    <row r="49746" hidden="1">
      <c r="E49746" s="96"/>
    </row>
    <row r="49747" hidden="1">
      <c r="E49747" s="96"/>
    </row>
    <row r="49748" hidden="1">
      <c r="E49748" s="96"/>
    </row>
    <row r="49749" hidden="1">
      <c r="E49749" s="96"/>
    </row>
    <row r="49750" hidden="1">
      <c r="E49750" s="96"/>
    </row>
    <row r="49751" hidden="1">
      <c r="E49751" s="96"/>
    </row>
    <row r="49752" hidden="1">
      <c r="E49752" s="96"/>
    </row>
    <row r="49753" hidden="1">
      <c r="E49753" s="96"/>
    </row>
    <row r="49754" hidden="1">
      <c r="E49754" s="96"/>
    </row>
    <row r="49755" hidden="1">
      <c r="E49755" s="96"/>
    </row>
    <row r="49756" hidden="1">
      <c r="E49756" s="96"/>
    </row>
    <row r="49757" hidden="1">
      <c r="E49757" s="96"/>
    </row>
    <row r="49758" hidden="1">
      <c r="E49758" s="96"/>
    </row>
    <row r="49759" hidden="1">
      <c r="E49759" s="96"/>
    </row>
    <row r="49760" hidden="1">
      <c r="E49760" s="96"/>
    </row>
    <row r="49761" hidden="1">
      <c r="E49761" s="96"/>
    </row>
    <row r="49762" hidden="1">
      <c r="E49762" s="96"/>
    </row>
    <row r="49763" hidden="1">
      <c r="E49763" s="96"/>
    </row>
    <row r="49764" hidden="1">
      <c r="E49764" s="96"/>
    </row>
    <row r="49765" hidden="1">
      <c r="E49765" s="96"/>
    </row>
    <row r="49766" hidden="1">
      <c r="E49766" s="96"/>
    </row>
    <row r="49767" hidden="1">
      <c r="E49767" s="96"/>
    </row>
    <row r="49768" hidden="1">
      <c r="E49768" s="96"/>
    </row>
    <row r="49769" hidden="1">
      <c r="E49769" s="96"/>
    </row>
    <row r="49770" hidden="1">
      <c r="E49770" s="96"/>
    </row>
    <row r="49771" hidden="1">
      <c r="E49771" s="96"/>
    </row>
    <row r="49772" hidden="1">
      <c r="E49772" s="96"/>
    </row>
    <row r="49773" hidden="1">
      <c r="E49773" s="96"/>
    </row>
    <row r="49774" hidden="1">
      <c r="E49774" s="96"/>
    </row>
    <row r="49775" hidden="1">
      <c r="E49775" s="96"/>
    </row>
    <row r="49776" hidden="1">
      <c r="E49776" s="96"/>
    </row>
    <row r="49777" hidden="1">
      <c r="E49777" s="96"/>
    </row>
    <row r="49778" hidden="1">
      <c r="E49778" s="96"/>
    </row>
    <row r="49779" hidden="1">
      <c r="E49779" s="96"/>
    </row>
    <row r="49780" hidden="1">
      <c r="E49780" s="96"/>
    </row>
    <row r="49781" hidden="1">
      <c r="E49781" s="96"/>
    </row>
    <row r="49782" hidden="1">
      <c r="E49782" s="96"/>
    </row>
    <row r="49783" hidden="1">
      <c r="E49783" s="96"/>
    </row>
    <row r="49784" hidden="1">
      <c r="E49784" s="96"/>
    </row>
    <row r="49785" hidden="1">
      <c r="E49785" s="96"/>
    </row>
    <row r="49786" hidden="1">
      <c r="E49786" s="96"/>
    </row>
    <row r="49787" hidden="1">
      <c r="E49787" s="96"/>
    </row>
    <row r="49788" hidden="1">
      <c r="E49788" s="96"/>
    </row>
    <row r="49789" hidden="1">
      <c r="E49789" s="96"/>
    </row>
    <row r="49790" hidden="1">
      <c r="E49790" s="96"/>
    </row>
    <row r="49791" hidden="1">
      <c r="E49791" s="96"/>
    </row>
    <row r="49792" hidden="1">
      <c r="E49792" s="96"/>
    </row>
    <row r="49793" hidden="1">
      <c r="E49793" s="96"/>
    </row>
    <row r="49794" hidden="1">
      <c r="E49794" s="96"/>
    </row>
    <row r="49795" hidden="1">
      <c r="E49795" s="96"/>
    </row>
    <row r="49796" hidden="1">
      <c r="E49796" s="96"/>
    </row>
    <row r="49797" hidden="1">
      <c r="E49797" s="96"/>
    </row>
    <row r="49798" hidden="1">
      <c r="E49798" s="96"/>
    </row>
    <row r="49799" hidden="1">
      <c r="E49799" s="96"/>
    </row>
    <row r="49800" hidden="1">
      <c r="E49800" s="96"/>
    </row>
    <row r="49801" hidden="1">
      <c r="E49801" s="96"/>
    </row>
    <row r="49802" hidden="1">
      <c r="E49802" s="96"/>
    </row>
    <row r="49803" hidden="1">
      <c r="E49803" s="96"/>
    </row>
    <row r="49804" hidden="1">
      <c r="E49804" s="96"/>
    </row>
    <row r="49805" hidden="1">
      <c r="E49805" s="96"/>
    </row>
    <row r="49806" hidden="1">
      <c r="E49806" s="96"/>
    </row>
    <row r="49807" hidden="1">
      <c r="E49807" s="96"/>
    </row>
    <row r="49808" hidden="1">
      <c r="E49808" s="96"/>
    </row>
    <row r="49809" hidden="1">
      <c r="E49809" s="96"/>
    </row>
    <row r="49810" hidden="1">
      <c r="E49810" s="96"/>
    </row>
    <row r="49811" hidden="1">
      <c r="E49811" s="96"/>
    </row>
    <row r="49812" hidden="1">
      <c r="E49812" s="96"/>
    </row>
    <row r="49813" hidden="1">
      <c r="E49813" s="96"/>
    </row>
    <row r="49814" hidden="1">
      <c r="E49814" s="96"/>
    </row>
    <row r="49815" hidden="1">
      <c r="E49815" s="96"/>
    </row>
    <row r="49816" hidden="1">
      <c r="E49816" s="96"/>
    </row>
    <row r="49817" hidden="1">
      <c r="E49817" s="96"/>
    </row>
    <row r="49818" hidden="1">
      <c r="E49818" s="96"/>
    </row>
    <row r="49819" hidden="1">
      <c r="E49819" s="96"/>
    </row>
    <row r="49820" hidden="1">
      <c r="E49820" s="96"/>
    </row>
    <row r="49821" hidden="1">
      <c r="E49821" s="96"/>
    </row>
    <row r="49822" hidden="1">
      <c r="E49822" s="96"/>
    </row>
    <row r="49823" hidden="1">
      <c r="E49823" s="96"/>
    </row>
    <row r="49824" hidden="1">
      <c r="E49824" s="96"/>
    </row>
    <row r="49825" hidden="1">
      <c r="E49825" s="96"/>
    </row>
    <row r="49826" hidden="1">
      <c r="E49826" s="96"/>
    </row>
    <row r="49827" hidden="1">
      <c r="E49827" s="96"/>
    </row>
    <row r="49828" hidden="1">
      <c r="E49828" s="96"/>
    </row>
    <row r="49829" hidden="1">
      <c r="E49829" s="96"/>
    </row>
    <row r="49830" hidden="1">
      <c r="E49830" s="96"/>
    </row>
    <row r="49831" hidden="1">
      <c r="E49831" s="96"/>
    </row>
    <row r="49832" hidden="1">
      <c r="E49832" s="96"/>
    </row>
    <row r="49833" hidden="1">
      <c r="E49833" s="96"/>
    </row>
    <row r="49834" hidden="1">
      <c r="E49834" s="96"/>
    </row>
    <row r="49835" hidden="1">
      <c r="E49835" s="96"/>
    </row>
    <row r="49836" hidden="1">
      <c r="E49836" s="96"/>
    </row>
    <row r="49837" hidden="1">
      <c r="E49837" s="96"/>
    </row>
    <row r="49838" hidden="1">
      <c r="E49838" s="96"/>
    </row>
    <row r="49839" hidden="1">
      <c r="E49839" s="96"/>
    </row>
    <row r="49840" hidden="1">
      <c r="E49840" s="96"/>
    </row>
    <row r="49841" hidden="1">
      <c r="E49841" s="96"/>
    </row>
    <row r="49842" hidden="1">
      <c r="E49842" s="96"/>
    </row>
    <row r="49843" hidden="1">
      <c r="E49843" s="96"/>
    </row>
    <row r="49844" hidden="1">
      <c r="E49844" s="96"/>
    </row>
    <row r="49845" hidden="1">
      <c r="E49845" s="96"/>
    </row>
    <row r="49846" hidden="1">
      <c r="E49846" s="96"/>
    </row>
    <row r="49847" hidden="1">
      <c r="E49847" s="96"/>
    </row>
    <row r="49848" hidden="1">
      <c r="E49848" s="96"/>
    </row>
    <row r="49849" hidden="1">
      <c r="E49849" s="96"/>
    </row>
    <row r="49850" hidden="1">
      <c r="E49850" s="96"/>
    </row>
    <row r="49851" hidden="1">
      <c r="E49851" s="96"/>
    </row>
    <row r="49852" hidden="1">
      <c r="E49852" s="96"/>
    </row>
    <row r="49853" hidden="1">
      <c r="E49853" s="96"/>
    </row>
    <row r="49854" hidden="1">
      <c r="E49854" s="96"/>
    </row>
    <row r="49855" hidden="1">
      <c r="E49855" s="96"/>
    </row>
    <row r="49856" hidden="1">
      <c r="E49856" s="96"/>
    </row>
    <row r="49857" hidden="1">
      <c r="E49857" s="96"/>
    </row>
    <row r="49858" hidden="1">
      <c r="E49858" s="96"/>
    </row>
    <row r="49859" hidden="1">
      <c r="E49859" s="96"/>
    </row>
    <row r="49860" hidden="1">
      <c r="E49860" s="96"/>
    </row>
    <row r="49861" hidden="1">
      <c r="E49861" s="96"/>
    </row>
    <row r="49862" hidden="1">
      <c r="E49862" s="96"/>
    </row>
    <row r="49863" hidden="1">
      <c r="E49863" s="96"/>
    </row>
    <row r="49864" hidden="1">
      <c r="E49864" s="96"/>
    </row>
    <row r="49865" hidden="1">
      <c r="E49865" s="96"/>
    </row>
    <row r="49866" hidden="1">
      <c r="E49866" s="96"/>
    </row>
    <row r="49867" hidden="1">
      <c r="E49867" s="96"/>
    </row>
    <row r="49868" hidden="1">
      <c r="E49868" s="96"/>
    </row>
    <row r="49869" hidden="1">
      <c r="E49869" s="96"/>
    </row>
    <row r="49870" hidden="1">
      <c r="E49870" s="96"/>
    </row>
    <row r="49871" hidden="1">
      <c r="E49871" s="96"/>
    </row>
    <row r="49872" hidden="1">
      <c r="E49872" s="96"/>
    </row>
    <row r="49873" hidden="1">
      <c r="E49873" s="96"/>
    </row>
    <row r="49874" hidden="1">
      <c r="E49874" s="96"/>
    </row>
    <row r="49875" hidden="1">
      <c r="E49875" s="96"/>
    </row>
    <row r="49876" hidden="1">
      <c r="E49876" s="96"/>
    </row>
    <row r="49877" hidden="1">
      <c r="E49877" s="96"/>
    </row>
    <row r="49878" hidden="1">
      <c r="E49878" s="96"/>
    </row>
    <row r="49879" hidden="1">
      <c r="E49879" s="96"/>
    </row>
    <row r="49880" hidden="1">
      <c r="E49880" s="96"/>
    </row>
    <row r="49881" hidden="1">
      <c r="E49881" s="96"/>
    </row>
    <row r="49882" hidden="1">
      <c r="E49882" s="96"/>
    </row>
    <row r="49883" hidden="1">
      <c r="E49883" s="96"/>
    </row>
    <row r="49884" hidden="1">
      <c r="E49884" s="96"/>
    </row>
    <row r="49885" hidden="1">
      <c r="E49885" s="96"/>
    </row>
    <row r="49886" hidden="1">
      <c r="E49886" s="96"/>
    </row>
    <row r="49887" hidden="1">
      <c r="E49887" s="96"/>
    </row>
    <row r="49888" hidden="1">
      <c r="E49888" s="96"/>
    </row>
    <row r="49889" hidden="1">
      <c r="E49889" s="96"/>
    </row>
    <row r="49890" hidden="1">
      <c r="E49890" s="96"/>
    </row>
    <row r="49891" hidden="1">
      <c r="E49891" s="96"/>
    </row>
    <row r="49892" hidden="1">
      <c r="E49892" s="96"/>
    </row>
    <row r="49893" hidden="1">
      <c r="E49893" s="96"/>
    </row>
    <row r="49894" hidden="1">
      <c r="E49894" s="96"/>
    </row>
    <row r="49895" hidden="1">
      <c r="E49895" s="96"/>
    </row>
    <row r="49896" hidden="1">
      <c r="E49896" s="96"/>
    </row>
    <row r="49897" hidden="1">
      <c r="E49897" s="96"/>
    </row>
    <row r="49898" hidden="1">
      <c r="E49898" s="96"/>
    </row>
    <row r="49899" hidden="1">
      <c r="E49899" s="96"/>
    </row>
    <row r="49900" hidden="1">
      <c r="E49900" s="96"/>
    </row>
    <row r="49901" hidden="1">
      <c r="E49901" s="96"/>
    </row>
    <row r="49902" hidden="1">
      <c r="E49902" s="96"/>
    </row>
    <row r="49903" hidden="1">
      <c r="E49903" s="96"/>
    </row>
    <row r="49904" hidden="1">
      <c r="E49904" s="96"/>
    </row>
    <row r="49905" hidden="1">
      <c r="E49905" s="96"/>
    </row>
    <row r="49906" hidden="1">
      <c r="E49906" s="96"/>
    </row>
    <row r="49907" hidden="1">
      <c r="E49907" s="96"/>
    </row>
    <row r="49908" hidden="1">
      <c r="E49908" s="96"/>
    </row>
    <row r="49909" hidden="1">
      <c r="E49909" s="96"/>
    </row>
    <row r="49910" hidden="1">
      <c r="E49910" s="96"/>
    </row>
    <row r="49911" hidden="1">
      <c r="E49911" s="96"/>
    </row>
    <row r="49912" hidden="1">
      <c r="E49912" s="96"/>
    </row>
    <row r="49913" hidden="1">
      <c r="E49913" s="96"/>
    </row>
    <row r="49914" hidden="1">
      <c r="E49914" s="96"/>
    </row>
    <row r="49915" hidden="1">
      <c r="E49915" s="96"/>
    </row>
    <row r="49916" hidden="1">
      <c r="E49916" s="96"/>
    </row>
    <row r="49917" hidden="1">
      <c r="E49917" s="96"/>
    </row>
    <row r="49918" hidden="1">
      <c r="E49918" s="96"/>
    </row>
    <row r="49919" hidden="1">
      <c r="E49919" s="96"/>
    </row>
    <row r="49920" hidden="1">
      <c r="E49920" s="96"/>
    </row>
    <row r="49921" hidden="1">
      <c r="E49921" s="96"/>
    </row>
    <row r="49922" hidden="1">
      <c r="E49922" s="96"/>
    </row>
    <row r="49923" hidden="1">
      <c r="E49923" s="96"/>
    </row>
    <row r="49924" hidden="1">
      <c r="E49924" s="96"/>
    </row>
    <row r="49925" hidden="1">
      <c r="E49925" s="96"/>
    </row>
    <row r="49926" hidden="1">
      <c r="E49926" s="96"/>
    </row>
    <row r="49927" hidden="1">
      <c r="E49927" s="96"/>
    </row>
    <row r="49928" hidden="1">
      <c r="E49928" s="96"/>
    </row>
    <row r="49929" hidden="1">
      <c r="E49929" s="96"/>
    </row>
    <row r="49930" hidden="1">
      <c r="E49930" s="96"/>
    </row>
    <row r="49931" hidden="1">
      <c r="E49931" s="96"/>
    </row>
    <row r="49932" hidden="1">
      <c r="E49932" s="96"/>
    </row>
    <row r="49933" hidden="1">
      <c r="E49933" s="96"/>
    </row>
    <row r="49934" hidden="1">
      <c r="E49934" s="96"/>
    </row>
    <row r="49935" hidden="1">
      <c r="E49935" s="96"/>
    </row>
    <row r="49936" hidden="1">
      <c r="E49936" s="96"/>
    </row>
    <row r="49937" hidden="1">
      <c r="E49937" s="96"/>
    </row>
    <row r="49938" hidden="1">
      <c r="E49938" s="96"/>
    </row>
    <row r="49939" hidden="1">
      <c r="E49939" s="96"/>
    </row>
    <row r="49940" hidden="1">
      <c r="E49940" s="96"/>
    </row>
    <row r="49941" hidden="1">
      <c r="E49941" s="96"/>
    </row>
    <row r="49942" hidden="1">
      <c r="E49942" s="96"/>
    </row>
    <row r="49943" hidden="1">
      <c r="E49943" s="96"/>
    </row>
    <row r="49944" hidden="1">
      <c r="E49944" s="96"/>
    </row>
    <row r="49945" hidden="1">
      <c r="E49945" s="96"/>
    </row>
    <row r="49946" hidden="1">
      <c r="E49946" s="96"/>
    </row>
    <row r="49947" hidden="1">
      <c r="E49947" s="96"/>
    </row>
    <row r="49948" hidden="1">
      <c r="E49948" s="96"/>
    </row>
    <row r="49949" hidden="1">
      <c r="E49949" s="96"/>
    </row>
    <row r="49950" hidden="1">
      <c r="E49950" s="96"/>
    </row>
    <row r="49951" hidden="1">
      <c r="E49951" s="96"/>
    </row>
    <row r="49952" hidden="1">
      <c r="E49952" s="96"/>
    </row>
    <row r="49953" hidden="1">
      <c r="E49953" s="96"/>
    </row>
    <row r="49954" hidden="1">
      <c r="E49954" s="96"/>
    </row>
    <row r="49955" hidden="1">
      <c r="E49955" s="96"/>
    </row>
    <row r="49956" hidden="1">
      <c r="E49956" s="96"/>
    </row>
    <row r="49957" hidden="1">
      <c r="E49957" s="96"/>
    </row>
    <row r="49958" hidden="1">
      <c r="E49958" s="96"/>
    </row>
    <row r="49959" hidden="1">
      <c r="E49959" s="96"/>
    </row>
    <row r="49960" hidden="1">
      <c r="E49960" s="96"/>
    </row>
    <row r="49961" hidden="1">
      <c r="E49961" s="96"/>
    </row>
    <row r="49962" hidden="1">
      <c r="E49962" s="96"/>
    </row>
    <row r="49963" hidden="1">
      <c r="E49963" s="96"/>
    </row>
    <row r="49964" hidden="1">
      <c r="E49964" s="96"/>
    </row>
    <row r="49965" hidden="1">
      <c r="E49965" s="96"/>
    </row>
    <row r="49966" hidden="1">
      <c r="E49966" s="96"/>
    </row>
    <row r="49967" hidden="1">
      <c r="E49967" s="96"/>
    </row>
    <row r="49968" hidden="1">
      <c r="E49968" s="96"/>
    </row>
    <row r="49969" hidden="1">
      <c r="E49969" s="96"/>
    </row>
    <row r="49970" hidden="1">
      <c r="E49970" s="96"/>
    </row>
    <row r="49971" hidden="1">
      <c r="E49971" s="96"/>
    </row>
    <row r="49972" hidden="1">
      <c r="E49972" s="96"/>
    </row>
    <row r="49973" hidden="1">
      <c r="E49973" s="96"/>
    </row>
    <row r="49974" hidden="1">
      <c r="E49974" s="96"/>
    </row>
    <row r="49975" hidden="1">
      <c r="E49975" s="96"/>
    </row>
    <row r="49976" hidden="1">
      <c r="E49976" s="96"/>
    </row>
    <row r="49977" hidden="1">
      <c r="E49977" s="96"/>
    </row>
    <row r="49978" hidden="1">
      <c r="E49978" s="96"/>
    </row>
    <row r="49979" hidden="1">
      <c r="E49979" s="96"/>
    </row>
    <row r="49980" hidden="1">
      <c r="E49980" s="96"/>
    </row>
    <row r="49981" hidden="1">
      <c r="E49981" s="96"/>
    </row>
    <row r="49982" hidden="1">
      <c r="E49982" s="96"/>
    </row>
    <row r="49983" hidden="1">
      <c r="E49983" s="96"/>
    </row>
    <row r="49984" hidden="1">
      <c r="E49984" s="96"/>
    </row>
    <row r="49985" hidden="1">
      <c r="E49985" s="96"/>
    </row>
    <row r="49986" hidden="1">
      <c r="E49986" s="96"/>
    </row>
    <row r="49987" hidden="1">
      <c r="E49987" s="96"/>
    </row>
    <row r="49988" hidden="1">
      <c r="E49988" s="96"/>
    </row>
    <row r="49989" hidden="1">
      <c r="E49989" s="96"/>
    </row>
    <row r="49990" hidden="1">
      <c r="E49990" s="96"/>
    </row>
    <row r="49991" hidden="1">
      <c r="E49991" s="96"/>
    </row>
    <row r="49992" hidden="1">
      <c r="E49992" s="96"/>
    </row>
    <row r="49993" hidden="1">
      <c r="E49993" s="96"/>
    </row>
    <row r="49994" hidden="1">
      <c r="E49994" s="96"/>
    </row>
    <row r="49995" hidden="1">
      <c r="E49995" s="96"/>
    </row>
    <row r="49996" hidden="1">
      <c r="E49996" s="96"/>
    </row>
    <row r="49997" hidden="1">
      <c r="E49997" s="96"/>
    </row>
    <row r="49998" hidden="1">
      <c r="E49998" s="96"/>
    </row>
    <row r="49999" hidden="1">
      <c r="E49999" s="96"/>
    </row>
    <row r="50000" hidden="1">
      <c r="E50000" s="96"/>
    </row>
    <row r="50001" hidden="1">
      <c r="E50001" s="96"/>
    </row>
    <row r="50002" hidden="1">
      <c r="E50002" s="96"/>
    </row>
    <row r="50003" hidden="1">
      <c r="E50003" s="96"/>
    </row>
    <row r="50004" hidden="1">
      <c r="E50004" s="96"/>
    </row>
    <row r="50005" hidden="1">
      <c r="E50005" s="96"/>
    </row>
    <row r="50006" hidden="1">
      <c r="E50006" s="96"/>
    </row>
    <row r="50007" hidden="1">
      <c r="E50007" s="96"/>
    </row>
    <row r="50008" hidden="1">
      <c r="E50008" s="96"/>
    </row>
    <row r="50009" hidden="1">
      <c r="E50009" s="96"/>
    </row>
    <row r="50010" hidden="1">
      <c r="E50010" s="96"/>
    </row>
    <row r="50011" hidden="1">
      <c r="E50011" s="96"/>
    </row>
    <row r="50012" hidden="1">
      <c r="E50012" s="96"/>
    </row>
    <row r="50013" hidden="1">
      <c r="E50013" s="96"/>
    </row>
    <row r="50014" hidden="1">
      <c r="E50014" s="96"/>
    </row>
    <row r="50015" hidden="1">
      <c r="E50015" s="96"/>
    </row>
    <row r="50016" hidden="1">
      <c r="E50016" s="96"/>
    </row>
    <row r="50017" hidden="1">
      <c r="E50017" s="96"/>
    </row>
    <row r="50018" hidden="1">
      <c r="E50018" s="96"/>
    </row>
    <row r="50019" hidden="1">
      <c r="E50019" s="96"/>
    </row>
    <row r="50020" hidden="1">
      <c r="E50020" s="96"/>
    </row>
    <row r="50021" hidden="1">
      <c r="E50021" s="96"/>
    </row>
    <row r="50022" hidden="1">
      <c r="E50022" s="96"/>
    </row>
    <row r="50023" hidden="1">
      <c r="E50023" s="96"/>
    </row>
    <row r="50024" hidden="1">
      <c r="E50024" s="96"/>
    </row>
    <row r="50025" hidden="1">
      <c r="E50025" s="96"/>
    </row>
    <row r="50026" hidden="1">
      <c r="E50026" s="96"/>
    </row>
    <row r="50027" hidden="1">
      <c r="E50027" s="96"/>
    </row>
    <row r="50028" hidden="1">
      <c r="E50028" s="96"/>
    </row>
    <row r="50029" hidden="1">
      <c r="E50029" s="96"/>
    </row>
    <row r="50030" hidden="1">
      <c r="E50030" s="96"/>
    </row>
    <row r="50031" hidden="1">
      <c r="E50031" s="96"/>
    </row>
    <row r="50032" hidden="1">
      <c r="E50032" s="96"/>
    </row>
    <row r="50033" hidden="1">
      <c r="E50033" s="96"/>
    </row>
    <row r="50034" hidden="1">
      <c r="E50034" s="96"/>
    </row>
    <row r="50035" hidden="1">
      <c r="E50035" s="96"/>
    </row>
    <row r="50036" hidden="1">
      <c r="E50036" s="96"/>
    </row>
    <row r="50037" hidden="1">
      <c r="E50037" s="96"/>
    </row>
    <row r="50038" hidden="1">
      <c r="E50038" s="96"/>
    </row>
    <row r="50039" hidden="1">
      <c r="E50039" s="96"/>
    </row>
    <row r="50040" hidden="1">
      <c r="E50040" s="96"/>
    </row>
    <row r="50041" hidden="1">
      <c r="E50041" s="96"/>
    </row>
    <row r="50042" hidden="1">
      <c r="E50042" s="96"/>
    </row>
    <row r="50043" hidden="1">
      <c r="E50043" s="96"/>
    </row>
    <row r="50044" hidden="1">
      <c r="E50044" s="96"/>
    </row>
    <row r="50045" hidden="1">
      <c r="E50045" s="96"/>
    </row>
    <row r="50046" hidden="1">
      <c r="E50046" s="96"/>
    </row>
    <row r="50047" hidden="1">
      <c r="E50047" s="96"/>
    </row>
    <row r="50048" hidden="1">
      <c r="E50048" s="96"/>
    </row>
    <row r="50049" hidden="1">
      <c r="E50049" s="96"/>
    </row>
    <row r="50050" hidden="1">
      <c r="E50050" s="96"/>
    </row>
    <row r="50051" hidden="1">
      <c r="E50051" s="96"/>
    </row>
    <row r="50052" hidden="1">
      <c r="E50052" s="96"/>
    </row>
    <row r="50053" hidden="1">
      <c r="E50053" s="96"/>
    </row>
    <row r="50054" hidden="1">
      <c r="E50054" s="96"/>
    </row>
    <row r="50055" hidden="1">
      <c r="E50055" s="96"/>
    </row>
    <row r="50056" hidden="1">
      <c r="E50056" s="96"/>
    </row>
    <row r="50057" hidden="1">
      <c r="E50057" s="96"/>
    </row>
    <row r="50058" hidden="1">
      <c r="E50058" s="96"/>
    </row>
    <row r="50059" hidden="1">
      <c r="E50059" s="96"/>
    </row>
    <row r="50060" hidden="1">
      <c r="E50060" s="96"/>
    </row>
    <row r="50061" hidden="1">
      <c r="E50061" s="96"/>
    </row>
    <row r="50062" hidden="1">
      <c r="E50062" s="96"/>
    </row>
    <row r="50063" hidden="1">
      <c r="E50063" s="96"/>
    </row>
    <row r="50064" hidden="1">
      <c r="E50064" s="96"/>
    </row>
    <row r="50065" hidden="1">
      <c r="E50065" s="96"/>
    </row>
    <row r="50066" hidden="1">
      <c r="E50066" s="96"/>
    </row>
    <row r="50067" hidden="1">
      <c r="E50067" s="96"/>
    </row>
    <row r="50068" hidden="1">
      <c r="E50068" s="96"/>
    </row>
    <row r="50069" hidden="1">
      <c r="E50069" s="96"/>
    </row>
    <row r="50070" hidden="1">
      <c r="E50070" s="96"/>
    </row>
    <row r="50071" hidden="1">
      <c r="E50071" s="96"/>
    </row>
    <row r="50072" hidden="1">
      <c r="E50072" s="96"/>
    </row>
    <row r="50073" hidden="1">
      <c r="E50073" s="96"/>
    </row>
    <row r="50074" hidden="1">
      <c r="E50074" s="96"/>
    </row>
    <row r="50075" hidden="1">
      <c r="E50075" s="96"/>
    </row>
    <row r="50076" hidden="1">
      <c r="E50076" s="96"/>
    </row>
    <row r="50077" hidden="1">
      <c r="E50077" s="96"/>
    </row>
    <row r="50078" hidden="1">
      <c r="E50078" s="96"/>
    </row>
    <row r="50079" hidden="1">
      <c r="E50079" s="96"/>
    </row>
    <row r="50080" hidden="1">
      <c r="E50080" s="96"/>
    </row>
    <row r="50081" hidden="1">
      <c r="E50081" s="96"/>
    </row>
    <row r="50082" hidden="1">
      <c r="E50082" s="96"/>
    </row>
    <row r="50083" hidden="1">
      <c r="E50083" s="96"/>
    </row>
    <row r="50084" hidden="1">
      <c r="E50084" s="96"/>
    </row>
    <row r="50085" hidden="1">
      <c r="E50085" s="96"/>
    </row>
    <row r="50086" hidden="1">
      <c r="E50086" s="96"/>
    </row>
    <row r="50087" hidden="1">
      <c r="E50087" s="96"/>
    </row>
    <row r="50088" hidden="1">
      <c r="E50088" s="96"/>
    </row>
    <row r="50089" hidden="1">
      <c r="E50089" s="96"/>
    </row>
    <row r="50090" hidden="1">
      <c r="E50090" s="96"/>
    </row>
    <row r="50091" hidden="1">
      <c r="E50091" s="96"/>
    </row>
    <row r="50092" hidden="1">
      <c r="E50092" s="96"/>
    </row>
    <row r="50093" hidden="1">
      <c r="E50093" s="96"/>
    </row>
    <row r="50094" hidden="1">
      <c r="E50094" s="96"/>
    </row>
    <row r="50095" hidden="1">
      <c r="E50095" s="96"/>
    </row>
    <row r="50096" hidden="1">
      <c r="E50096" s="96"/>
    </row>
    <row r="50097" hidden="1">
      <c r="E50097" s="96"/>
    </row>
    <row r="50098" hidden="1">
      <c r="E50098" s="96"/>
    </row>
    <row r="50099" hidden="1">
      <c r="E50099" s="96"/>
    </row>
    <row r="50100" hidden="1">
      <c r="E50100" s="96"/>
    </row>
    <row r="50101" hidden="1">
      <c r="E50101" s="96"/>
    </row>
    <row r="50102" hidden="1">
      <c r="E50102" s="96"/>
    </row>
    <row r="50103" hidden="1">
      <c r="E50103" s="96"/>
    </row>
    <row r="50104" hidden="1">
      <c r="E50104" s="96"/>
    </row>
    <row r="50105" hidden="1">
      <c r="E50105" s="96"/>
    </row>
    <row r="50106" hidden="1">
      <c r="E50106" s="96"/>
    </row>
    <row r="50107" hidden="1">
      <c r="E50107" s="96"/>
    </row>
    <row r="50108" hidden="1">
      <c r="E50108" s="96"/>
    </row>
    <row r="50109" hidden="1">
      <c r="E50109" s="96"/>
    </row>
    <row r="50110" hidden="1">
      <c r="E50110" s="96"/>
    </row>
    <row r="50111" hidden="1">
      <c r="E50111" s="96"/>
    </row>
    <row r="50112" hidden="1">
      <c r="E50112" s="96"/>
    </row>
    <row r="50113" hidden="1">
      <c r="E50113" s="96"/>
    </row>
    <row r="50114" hidden="1">
      <c r="E50114" s="96"/>
    </row>
    <row r="50115" hidden="1">
      <c r="E50115" s="96"/>
    </row>
    <row r="50116" hidden="1">
      <c r="E50116" s="96"/>
    </row>
    <row r="50117" hidden="1">
      <c r="E50117" s="96"/>
    </row>
    <row r="50118" hidden="1">
      <c r="E50118" s="96"/>
    </row>
    <row r="50119" hidden="1">
      <c r="E50119" s="96"/>
    </row>
    <row r="50120" hidden="1">
      <c r="E50120" s="96"/>
    </row>
    <row r="50121" hidden="1">
      <c r="E50121" s="96"/>
    </row>
    <row r="50122" hidden="1">
      <c r="E50122" s="96"/>
    </row>
    <row r="50123" hidden="1">
      <c r="E50123" s="96"/>
    </row>
    <row r="50124" hidden="1">
      <c r="E50124" s="96"/>
    </row>
    <row r="50125" hidden="1">
      <c r="E50125" s="96"/>
    </row>
    <row r="50126" hidden="1">
      <c r="E50126" s="96"/>
    </row>
    <row r="50127" hidden="1">
      <c r="E50127" s="96"/>
    </row>
    <row r="50128" hidden="1">
      <c r="E50128" s="96"/>
    </row>
    <row r="50129" hidden="1">
      <c r="E50129" s="96"/>
    </row>
    <row r="50130" hidden="1">
      <c r="E50130" s="96"/>
    </row>
    <row r="50131" hidden="1">
      <c r="E50131" s="96"/>
    </row>
    <row r="50132" hidden="1">
      <c r="E50132" s="96"/>
    </row>
    <row r="50133" hidden="1">
      <c r="E50133" s="96"/>
    </row>
    <row r="50134" hidden="1">
      <c r="E50134" s="96"/>
    </row>
    <row r="50135" hidden="1">
      <c r="E50135" s="96"/>
    </row>
    <row r="50136" hidden="1">
      <c r="E50136" s="96"/>
    </row>
    <row r="50137" hidden="1">
      <c r="E50137" s="96"/>
    </row>
    <row r="50138" hidden="1">
      <c r="E50138" s="96"/>
    </row>
    <row r="50139" hidden="1">
      <c r="E50139" s="96"/>
    </row>
    <row r="50140" hidden="1">
      <c r="E50140" s="96"/>
    </row>
    <row r="50141" hidden="1">
      <c r="E50141" s="96"/>
    </row>
    <row r="50142" hidden="1">
      <c r="E50142" s="96"/>
    </row>
    <row r="50143" hidden="1">
      <c r="E50143" s="96"/>
    </row>
    <row r="50144" hidden="1">
      <c r="E50144" s="96"/>
    </row>
    <row r="50145" hidden="1">
      <c r="E50145" s="96"/>
    </row>
    <row r="50146" hidden="1">
      <c r="E50146" s="96"/>
    </row>
    <row r="50147" hidden="1">
      <c r="E50147" s="96"/>
    </row>
    <row r="50148" hidden="1">
      <c r="E50148" s="96"/>
    </row>
    <row r="50149" hidden="1">
      <c r="E50149" s="96"/>
    </row>
    <row r="50150" hidden="1">
      <c r="E50150" s="96"/>
    </row>
    <row r="50151" hidden="1">
      <c r="E50151" s="96"/>
    </row>
    <row r="50152" hidden="1">
      <c r="E50152" s="96"/>
    </row>
    <row r="50153" hidden="1">
      <c r="E50153" s="96"/>
    </row>
    <row r="50154" hidden="1">
      <c r="E50154" s="96"/>
    </row>
    <row r="50155" hidden="1">
      <c r="E50155" s="96"/>
    </row>
    <row r="50156" hidden="1">
      <c r="E50156" s="96"/>
    </row>
    <row r="50157" hidden="1">
      <c r="E50157" s="96"/>
    </row>
    <row r="50158" hidden="1">
      <c r="E50158" s="96"/>
    </row>
    <row r="50159" hidden="1">
      <c r="E50159" s="96"/>
    </row>
    <row r="50160" hidden="1">
      <c r="E50160" s="96"/>
    </row>
    <row r="50161" hidden="1">
      <c r="E50161" s="96"/>
    </row>
    <row r="50162" hidden="1">
      <c r="E50162" s="96"/>
    </row>
    <row r="50163" hidden="1">
      <c r="E50163" s="96"/>
    </row>
    <row r="50164" hidden="1">
      <c r="E50164" s="96"/>
    </row>
    <row r="50165" hidden="1">
      <c r="E50165" s="96"/>
    </row>
    <row r="50166" hidden="1">
      <c r="E50166" s="96"/>
    </row>
    <row r="50167" hidden="1">
      <c r="E50167" s="96"/>
    </row>
    <row r="50168" hidden="1">
      <c r="E50168" s="96"/>
    </row>
    <row r="50169" hidden="1">
      <c r="E50169" s="96"/>
    </row>
    <row r="50170" hidden="1">
      <c r="E50170" s="96"/>
    </row>
    <row r="50171" hidden="1">
      <c r="E50171" s="96"/>
    </row>
    <row r="50172" hidden="1">
      <c r="E50172" s="96"/>
    </row>
    <row r="50173" hidden="1">
      <c r="E50173" s="96"/>
    </row>
    <row r="50174" hidden="1">
      <c r="E50174" s="96"/>
    </row>
    <row r="50175" hidden="1">
      <c r="E50175" s="96"/>
    </row>
    <row r="50176" hidden="1">
      <c r="E50176" s="96"/>
    </row>
    <row r="50177" hidden="1">
      <c r="E50177" s="96"/>
    </row>
    <row r="50178" hidden="1">
      <c r="E50178" s="96"/>
    </row>
    <row r="50179" hidden="1">
      <c r="E50179" s="96"/>
    </row>
    <row r="50180" hidden="1">
      <c r="E50180" s="96"/>
    </row>
    <row r="50181" hidden="1">
      <c r="E50181" s="96"/>
    </row>
    <row r="50182" hidden="1">
      <c r="E50182" s="96"/>
    </row>
    <row r="50183" hidden="1">
      <c r="E50183" s="96"/>
    </row>
    <row r="50184" hidden="1">
      <c r="E50184" s="96"/>
    </row>
    <row r="50185" hidden="1">
      <c r="E50185" s="96"/>
    </row>
    <row r="50186" hidden="1">
      <c r="E50186" s="96"/>
    </row>
    <row r="50187" hidden="1">
      <c r="E50187" s="96"/>
    </row>
    <row r="50188" hidden="1">
      <c r="E50188" s="96"/>
    </row>
    <row r="50189" hidden="1">
      <c r="E50189" s="96"/>
    </row>
    <row r="50190" hidden="1">
      <c r="E50190" s="96"/>
    </row>
    <row r="50191" hidden="1">
      <c r="E50191" s="96"/>
    </row>
    <row r="50192" hidden="1">
      <c r="E50192" s="96"/>
    </row>
    <row r="50193" hidden="1">
      <c r="E50193" s="96"/>
    </row>
    <row r="50194" hidden="1">
      <c r="E50194" s="96"/>
    </row>
    <row r="50195" hidden="1">
      <c r="E50195" s="96"/>
    </row>
    <row r="50196" hidden="1">
      <c r="E50196" s="96"/>
    </row>
    <row r="50197" hidden="1">
      <c r="E50197" s="96"/>
    </row>
    <row r="50198" hidden="1">
      <c r="E50198" s="96"/>
    </row>
    <row r="50199" hidden="1">
      <c r="E50199" s="96"/>
    </row>
    <row r="50200" hidden="1">
      <c r="E50200" s="96"/>
    </row>
    <row r="50201" hidden="1">
      <c r="E50201" s="96"/>
    </row>
    <row r="50202" hidden="1">
      <c r="E50202" s="96"/>
    </row>
    <row r="50203" hidden="1">
      <c r="E50203" s="96"/>
    </row>
    <row r="50204" hidden="1">
      <c r="E50204" s="96"/>
    </row>
    <row r="50205" hidden="1">
      <c r="E50205" s="96"/>
    </row>
    <row r="50206" hidden="1">
      <c r="E50206" s="96"/>
    </row>
    <row r="50207" hidden="1">
      <c r="E50207" s="96"/>
    </row>
    <row r="50208" hidden="1">
      <c r="E50208" s="96"/>
    </row>
    <row r="50209" hidden="1">
      <c r="E50209" s="96"/>
    </row>
    <row r="50210" hidden="1">
      <c r="E50210" s="96"/>
    </row>
    <row r="50211" hidden="1">
      <c r="E50211" s="96"/>
    </row>
    <row r="50212" hidden="1">
      <c r="E50212" s="96"/>
    </row>
    <row r="50213" hidden="1">
      <c r="E50213" s="96"/>
    </row>
    <row r="50214" hidden="1">
      <c r="E50214" s="96"/>
    </row>
    <row r="50215" hidden="1">
      <c r="E50215" s="96"/>
    </row>
    <row r="50216" hidden="1">
      <c r="E50216" s="96"/>
    </row>
    <row r="50217" hidden="1">
      <c r="E50217" s="96"/>
    </row>
    <row r="50218" hidden="1">
      <c r="E50218" s="96"/>
    </row>
    <row r="50219" hidden="1">
      <c r="E50219" s="96"/>
    </row>
    <row r="50220" hidden="1">
      <c r="E50220" s="96"/>
    </row>
    <row r="50221" hidden="1">
      <c r="E50221" s="96"/>
    </row>
    <row r="50222" hidden="1">
      <c r="E50222" s="96"/>
    </row>
    <row r="50223" hidden="1">
      <c r="E50223" s="96"/>
    </row>
    <row r="50224" hidden="1">
      <c r="E50224" s="96"/>
    </row>
    <row r="50225" hidden="1">
      <c r="E50225" s="96"/>
    </row>
    <row r="50226" hidden="1">
      <c r="E50226" s="96"/>
    </row>
    <row r="50227" hidden="1">
      <c r="E50227" s="96"/>
    </row>
    <row r="50228" hidden="1">
      <c r="E50228" s="96"/>
    </row>
    <row r="50229" hidden="1">
      <c r="E50229" s="96"/>
    </row>
    <row r="50230" hidden="1">
      <c r="E50230" s="96"/>
    </row>
    <row r="50231" hidden="1">
      <c r="E50231" s="96"/>
    </row>
    <row r="50232" hidden="1">
      <c r="E50232" s="96"/>
    </row>
    <row r="50233" hidden="1">
      <c r="E50233" s="96"/>
    </row>
    <row r="50234" hidden="1">
      <c r="E50234" s="96"/>
    </row>
    <row r="50235" hidden="1">
      <c r="E50235" s="96"/>
    </row>
    <row r="50236" hidden="1">
      <c r="E50236" s="96"/>
    </row>
    <row r="50237" hidden="1">
      <c r="E50237" s="96"/>
    </row>
    <row r="50238" hidden="1">
      <c r="E50238" s="96"/>
    </row>
    <row r="50239" hidden="1">
      <c r="E50239" s="96"/>
    </row>
    <row r="50240" hidden="1">
      <c r="E50240" s="96"/>
    </row>
    <row r="50241" hidden="1">
      <c r="E50241" s="96"/>
    </row>
    <row r="50242" hidden="1">
      <c r="E50242" s="96"/>
    </row>
    <row r="50243" hidden="1">
      <c r="E50243" s="96"/>
    </row>
    <row r="50244" hidden="1">
      <c r="E50244" s="96"/>
    </row>
    <row r="50245" hidden="1">
      <c r="E50245" s="96"/>
    </row>
    <row r="50246" hidden="1">
      <c r="E50246" s="96"/>
    </row>
    <row r="50247" hidden="1">
      <c r="E50247" s="96"/>
    </row>
    <row r="50248" hidden="1">
      <c r="E50248" s="96"/>
    </row>
    <row r="50249" hidden="1">
      <c r="E50249" s="96"/>
    </row>
    <row r="50250" hidden="1">
      <c r="E50250" s="96"/>
    </row>
    <row r="50251" hidden="1">
      <c r="E50251" s="96"/>
    </row>
    <row r="50252" hidden="1">
      <c r="E50252" s="96"/>
    </row>
    <row r="50253" hidden="1">
      <c r="E50253" s="96"/>
    </row>
    <row r="50254" hidden="1">
      <c r="E50254" s="96"/>
    </row>
    <row r="50255" hidden="1">
      <c r="E50255" s="96"/>
    </row>
    <row r="50256" hidden="1">
      <c r="E50256" s="96"/>
    </row>
    <row r="50257" hidden="1">
      <c r="E50257" s="96"/>
    </row>
    <row r="50258" hidden="1">
      <c r="E50258" s="96"/>
    </row>
    <row r="50259" hidden="1">
      <c r="E50259" s="96"/>
    </row>
    <row r="50260" hidden="1">
      <c r="E50260" s="96"/>
    </row>
    <row r="50261" hidden="1">
      <c r="E50261" s="96"/>
    </row>
    <row r="50262" hidden="1">
      <c r="E50262" s="96"/>
    </row>
    <row r="50263" hidden="1">
      <c r="E50263" s="96"/>
    </row>
    <row r="50264" hidden="1">
      <c r="E50264" s="96"/>
    </row>
    <row r="50265" hidden="1">
      <c r="E50265" s="96"/>
    </row>
    <row r="50266" hidden="1">
      <c r="E50266" s="96"/>
    </row>
    <row r="50267" hidden="1">
      <c r="E50267" s="96"/>
    </row>
    <row r="50268" hidden="1">
      <c r="E50268" s="96"/>
    </row>
    <row r="50269" hidden="1">
      <c r="E50269" s="96"/>
    </row>
    <row r="50270" hidden="1">
      <c r="E50270" s="96"/>
    </row>
    <row r="50271" hidden="1">
      <c r="E50271" s="96"/>
    </row>
    <row r="50272" hidden="1">
      <c r="E50272" s="96"/>
    </row>
    <row r="50273" hidden="1">
      <c r="E50273" s="96"/>
    </row>
    <row r="50274" hidden="1">
      <c r="E50274" s="96"/>
    </row>
    <row r="50275" hidden="1">
      <c r="E50275" s="96"/>
    </row>
    <row r="50276" hidden="1">
      <c r="E50276" s="96"/>
    </row>
    <row r="50277" hidden="1">
      <c r="E50277" s="96"/>
    </row>
    <row r="50278" hidden="1">
      <c r="E50278" s="96"/>
    </row>
    <row r="50279" hidden="1">
      <c r="E50279" s="96"/>
    </row>
    <row r="50280" hidden="1">
      <c r="E50280" s="96"/>
    </row>
    <row r="50281" hidden="1">
      <c r="E50281" s="96"/>
    </row>
    <row r="50282" hidden="1">
      <c r="E50282" s="96"/>
    </row>
    <row r="50283" hidden="1">
      <c r="E50283" s="96"/>
    </row>
    <row r="50284" hidden="1">
      <c r="E50284" s="96"/>
    </row>
    <row r="50285" hidden="1">
      <c r="E50285" s="96"/>
    </row>
    <row r="50286" hidden="1">
      <c r="E50286" s="96"/>
    </row>
    <row r="50287" hidden="1">
      <c r="E50287" s="96"/>
    </row>
    <row r="50288" hidden="1">
      <c r="E50288" s="96"/>
    </row>
    <row r="50289" hidden="1">
      <c r="E50289" s="96"/>
    </row>
    <row r="50290" hidden="1">
      <c r="E50290" s="96"/>
    </row>
    <row r="50291" hidden="1">
      <c r="E50291" s="96"/>
    </row>
    <row r="50292" hidden="1">
      <c r="E50292" s="96"/>
    </row>
    <row r="50293" hidden="1">
      <c r="E50293" s="96"/>
    </row>
    <row r="50294" hidden="1">
      <c r="E50294" s="96"/>
    </row>
    <row r="50295" hidden="1">
      <c r="E50295" s="96"/>
    </row>
    <row r="50296" hidden="1">
      <c r="E50296" s="96"/>
    </row>
    <row r="50297" hidden="1">
      <c r="E50297" s="96"/>
    </row>
    <row r="50298" hidden="1">
      <c r="E50298" s="96"/>
    </row>
    <row r="50299" hidden="1">
      <c r="E50299" s="96"/>
    </row>
    <row r="50300" hidden="1">
      <c r="E50300" s="96"/>
    </row>
    <row r="50301" hidden="1">
      <c r="E50301" s="96"/>
    </row>
    <row r="50302" hidden="1">
      <c r="E50302" s="96"/>
    </row>
    <row r="50303" hidden="1">
      <c r="E50303" s="96"/>
    </row>
    <row r="50304" hidden="1">
      <c r="E50304" s="96"/>
    </row>
    <row r="50305" hidden="1">
      <c r="E50305" s="96"/>
    </row>
    <row r="50306" hidden="1">
      <c r="E50306" s="96"/>
    </row>
    <row r="50307" hidden="1">
      <c r="E50307" s="96"/>
    </row>
    <row r="50308" hidden="1">
      <c r="E50308" s="96"/>
    </row>
    <row r="50309" hidden="1">
      <c r="E50309" s="96"/>
    </row>
    <row r="50310" hidden="1">
      <c r="E50310" s="96"/>
    </row>
    <row r="50311" hidden="1">
      <c r="E50311" s="96"/>
    </row>
    <row r="50312" hidden="1">
      <c r="E50312" s="96"/>
    </row>
    <row r="50313" hidden="1">
      <c r="E50313" s="96"/>
    </row>
    <row r="50314" hidden="1">
      <c r="E50314" s="96"/>
    </row>
    <row r="50315" hidden="1">
      <c r="E50315" s="96"/>
    </row>
    <row r="50316" hidden="1">
      <c r="E50316" s="96"/>
    </row>
    <row r="50317" hidden="1">
      <c r="E50317" s="96"/>
    </row>
    <row r="50318" hidden="1">
      <c r="E50318" s="96"/>
    </row>
    <row r="50319" hidden="1">
      <c r="E50319" s="96"/>
    </row>
    <row r="50320" hidden="1">
      <c r="E50320" s="96"/>
    </row>
    <row r="50321" hidden="1">
      <c r="E50321" s="96"/>
    </row>
    <row r="50322" hidden="1">
      <c r="E50322" s="96"/>
    </row>
    <row r="50323" hidden="1">
      <c r="E50323" s="96"/>
    </row>
    <row r="50324" hidden="1">
      <c r="E50324" s="96"/>
    </row>
    <row r="50325" hidden="1">
      <c r="E50325" s="96"/>
    </row>
    <row r="50326" hidden="1">
      <c r="E50326" s="96"/>
    </row>
    <row r="50327" hidden="1">
      <c r="E50327" s="96"/>
    </row>
    <row r="50328" hidden="1">
      <c r="E50328" s="96"/>
    </row>
    <row r="50329" hidden="1">
      <c r="E50329" s="96"/>
    </row>
    <row r="50330" hidden="1">
      <c r="E50330" s="96"/>
    </row>
    <row r="50331" hidden="1">
      <c r="E50331" s="96"/>
    </row>
    <row r="50332" hidden="1">
      <c r="E50332" s="96"/>
    </row>
    <row r="50333" hidden="1">
      <c r="E50333" s="96"/>
    </row>
    <row r="50334" hidden="1">
      <c r="E50334" s="96"/>
    </row>
    <row r="50335" hidden="1">
      <c r="E50335" s="96"/>
    </row>
    <row r="50336" hidden="1">
      <c r="E50336" s="96"/>
    </row>
    <row r="50337" hidden="1">
      <c r="E50337" s="96"/>
    </row>
    <row r="50338" hidden="1">
      <c r="E50338" s="96"/>
    </row>
    <row r="50339" hidden="1">
      <c r="E50339" s="96"/>
    </row>
    <row r="50340" hidden="1">
      <c r="E50340" s="96"/>
    </row>
    <row r="50341" hidden="1">
      <c r="E50341" s="96"/>
    </row>
    <row r="50342" hidden="1">
      <c r="E50342" s="96"/>
    </row>
    <row r="50343" hidden="1">
      <c r="E50343" s="96"/>
    </row>
    <row r="50344" hidden="1">
      <c r="E50344" s="96"/>
    </row>
    <row r="50345" hidden="1">
      <c r="E50345" s="96"/>
    </row>
    <row r="50346" hidden="1">
      <c r="E50346" s="96"/>
    </row>
    <row r="50347" hidden="1">
      <c r="E50347" s="96"/>
    </row>
    <row r="50348" hidden="1">
      <c r="E50348" s="96"/>
    </row>
    <row r="50349" hidden="1">
      <c r="E50349" s="96"/>
    </row>
    <row r="50350" hidden="1">
      <c r="E50350" s="96"/>
    </row>
    <row r="50351" hidden="1">
      <c r="E50351" s="96"/>
    </row>
    <row r="50352" hidden="1">
      <c r="E50352" s="96"/>
    </row>
    <row r="50353" hidden="1">
      <c r="E50353" s="96"/>
    </row>
    <row r="50354" hidden="1">
      <c r="E50354" s="96"/>
    </row>
    <row r="50355" hidden="1">
      <c r="E50355" s="96"/>
    </row>
    <row r="50356" hidden="1">
      <c r="E50356" s="96"/>
    </row>
    <row r="50357" hidden="1">
      <c r="E50357" s="96"/>
    </row>
    <row r="50358" hidden="1">
      <c r="E50358" s="96"/>
    </row>
    <row r="50359" hidden="1">
      <c r="E50359" s="96"/>
    </row>
    <row r="50360" hidden="1">
      <c r="E50360" s="96"/>
    </row>
    <row r="50361" hidden="1">
      <c r="E50361" s="96"/>
    </row>
    <row r="50362" hidden="1">
      <c r="E50362" s="96"/>
    </row>
    <row r="50363" hidden="1">
      <c r="E50363" s="96"/>
    </row>
    <row r="50364" hidden="1">
      <c r="E50364" s="96"/>
    </row>
    <row r="50365" hidden="1">
      <c r="E50365" s="96"/>
    </row>
    <row r="50366" hidden="1">
      <c r="E50366" s="96"/>
    </row>
    <row r="50367" hidden="1">
      <c r="E50367" s="96"/>
    </row>
    <row r="50368" hidden="1">
      <c r="E50368" s="96"/>
    </row>
    <row r="50369" hidden="1">
      <c r="E50369" s="96"/>
    </row>
    <row r="50370" hidden="1">
      <c r="E50370" s="96"/>
    </row>
    <row r="50371" hidden="1">
      <c r="E50371" s="96"/>
    </row>
    <row r="50372" hidden="1">
      <c r="E50372" s="96"/>
    </row>
    <row r="50373" hidden="1">
      <c r="E50373" s="96"/>
    </row>
    <row r="50374" hidden="1">
      <c r="E50374" s="96"/>
    </row>
    <row r="50375" hidden="1">
      <c r="E50375" s="96"/>
    </row>
    <row r="50376" hidden="1">
      <c r="E50376" s="96"/>
    </row>
    <row r="50377" hidden="1">
      <c r="E50377" s="96"/>
    </row>
    <row r="50378" hidden="1">
      <c r="E50378" s="96"/>
    </row>
    <row r="50379" hidden="1">
      <c r="E50379" s="96"/>
    </row>
    <row r="50380" hidden="1">
      <c r="E50380" s="96"/>
    </row>
    <row r="50381" hidden="1">
      <c r="E50381" s="96"/>
    </row>
    <row r="50382" hidden="1">
      <c r="E50382" s="96"/>
    </row>
    <row r="50383" hidden="1">
      <c r="E50383" s="96"/>
    </row>
    <row r="50384" hidden="1">
      <c r="E50384" s="96"/>
    </row>
    <row r="50385" hidden="1">
      <c r="E50385" s="96"/>
    </row>
    <row r="50386" hidden="1">
      <c r="E50386" s="96"/>
    </row>
    <row r="50387" hidden="1">
      <c r="E50387" s="96"/>
    </row>
    <row r="50388" hidden="1">
      <c r="E50388" s="96"/>
    </row>
    <row r="50389" hidden="1">
      <c r="E50389" s="96"/>
    </row>
    <row r="50390" hidden="1">
      <c r="E50390" s="96"/>
    </row>
    <row r="50391" hidden="1">
      <c r="E50391" s="96"/>
    </row>
    <row r="50392" hidden="1">
      <c r="E50392" s="96"/>
    </row>
    <row r="50393" hidden="1">
      <c r="E50393" s="96"/>
    </row>
    <row r="50394" hidden="1">
      <c r="E50394" s="96"/>
    </row>
    <row r="50395" hidden="1">
      <c r="E50395" s="96"/>
    </row>
    <row r="50396" hidden="1">
      <c r="E50396" s="96"/>
    </row>
    <row r="50397" hidden="1">
      <c r="E50397" s="96"/>
    </row>
    <row r="50398" hidden="1">
      <c r="E50398" s="96"/>
    </row>
    <row r="50399" hidden="1">
      <c r="E50399" s="96"/>
    </row>
    <row r="50400" hidden="1">
      <c r="E50400" s="96"/>
    </row>
    <row r="50401" hidden="1">
      <c r="E50401" s="96"/>
    </row>
    <row r="50402" hidden="1">
      <c r="E50402" s="96"/>
    </row>
    <row r="50403" hidden="1">
      <c r="E50403" s="96"/>
    </row>
    <row r="50404" hidden="1">
      <c r="E50404" s="96"/>
    </row>
    <row r="50405" hidden="1">
      <c r="E50405" s="96"/>
    </row>
    <row r="50406" hidden="1">
      <c r="E50406" s="96"/>
    </row>
    <row r="50407" hidden="1">
      <c r="E50407" s="96"/>
    </row>
    <row r="50408" hidden="1">
      <c r="E50408" s="96"/>
    </row>
    <row r="50409" hidden="1">
      <c r="E50409" s="96"/>
    </row>
    <row r="50410" hidden="1">
      <c r="E50410" s="96"/>
    </row>
    <row r="50411" hidden="1">
      <c r="E50411" s="96"/>
    </row>
    <row r="50412" hidden="1">
      <c r="E50412" s="96"/>
    </row>
    <row r="50413" hidden="1">
      <c r="E50413" s="96"/>
    </row>
    <row r="50414" hidden="1">
      <c r="E50414" s="96"/>
    </row>
    <row r="50415" hidden="1">
      <c r="E50415" s="96"/>
    </row>
    <row r="50416" hidden="1">
      <c r="E50416" s="96"/>
    </row>
    <row r="50417" hidden="1">
      <c r="E50417" s="96"/>
    </row>
    <row r="50418" hidden="1">
      <c r="E50418" s="96"/>
    </row>
    <row r="50419" hidden="1">
      <c r="E50419" s="96"/>
    </row>
    <row r="50420" hidden="1">
      <c r="E50420" s="96"/>
    </row>
    <row r="50421" hidden="1">
      <c r="E50421" s="96"/>
    </row>
    <row r="50422" hidden="1">
      <c r="E50422" s="96"/>
    </row>
    <row r="50423" hidden="1">
      <c r="E50423" s="96"/>
    </row>
    <row r="50424" hidden="1">
      <c r="E50424" s="96"/>
    </row>
    <row r="50425" hidden="1">
      <c r="E50425" s="96"/>
    </row>
    <row r="50426" hidden="1">
      <c r="E50426" s="96"/>
    </row>
    <row r="50427" hidden="1">
      <c r="E50427" s="96"/>
    </row>
    <row r="50428" hidden="1">
      <c r="E50428" s="96"/>
    </row>
    <row r="50429" hidden="1">
      <c r="E50429" s="96"/>
    </row>
    <row r="50430" hidden="1">
      <c r="E50430" s="96"/>
    </row>
    <row r="50431" hidden="1">
      <c r="E50431" s="96"/>
    </row>
    <row r="50432" hidden="1">
      <c r="E50432" s="96"/>
    </row>
    <row r="50433" hidden="1">
      <c r="E50433" s="96"/>
    </row>
    <row r="50434" hidden="1">
      <c r="E50434" s="96"/>
    </row>
    <row r="50435" hidden="1">
      <c r="E50435" s="96"/>
    </row>
    <row r="50436" hidden="1">
      <c r="E50436" s="96"/>
    </row>
    <row r="50437" hidden="1">
      <c r="E50437" s="96"/>
    </row>
    <row r="50438" hidden="1">
      <c r="E50438" s="96"/>
    </row>
    <row r="50439" hidden="1">
      <c r="E50439" s="96"/>
    </row>
    <row r="50440" hidden="1">
      <c r="E50440" s="96"/>
    </row>
    <row r="50441" hidden="1">
      <c r="E50441" s="96"/>
    </row>
    <row r="50442" hidden="1">
      <c r="E50442" s="96"/>
    </row>
    <row r="50443" hidden="1">
      <c r="E50443" s="96"/>
    </row>
    <row r="50444" hidden="1">
      <c r="E50444" s="96"/>
    </row>
    <row r="50445" hidden="1">
      <c r="E50445" s="96"/>
    </row>
    <row r="50446" hidden="1">
      <c r="E50446" s="96"/>
    </row>
    <row r="50447" hidden="1">
      <c r="E50447" s="96"/>
    </row>
    <row r="50448" hidden="1">
      <c r="E50448" s="96"/>
    </row>
    <row r="50449" hidden="1">
      <c r="E50449" s="96"/>
    </row>
    <row r="50450" hidden="1">
      <c r="E50450" s="96"/>
    </row>
    <row r="50451" hidden="1">
      <c r="E50451" s="96"/>
    </row>
    <row r="50452" hidden="1">
      <c r="E50452" s="96"/>
    </row>
    <row r="50453" hidden="1">
      <c r="E50453" s="96"/>
    </row>
    <row r="50454" hidden="1">
      <c r="E50454" s="96"/>
    </row>
    <row r="50455" hidden="1">
      <c r="E50455" s="96"/>
    </row>
    <row r="50456" hidden="1">
      <c r="E50456" s="96"/>
    </row>
    <row r="50457" hidden="1">
      <c r="E50457" s="96"/>
    </row>
    <row r="50458" hidden="1">
      <c r="E50458" s="96"/>
    </row>
    <row r="50459" hidden="1">
      <c r="E50459" s="96"/>
    </row>
    <row r="50460" hidden="1">
      <c r="E50460" s="96"/>
    </row>
    <row r="50461" hidden="1">
      <c r="E50461" s="96"/>
    </row>
    <row r="50462" hidden="1">
      <c r="E50462" s="96"/>
    </row>
    <row r="50463" hidden="1">
      <c r="E50463" s="96"/>
    </row>
    <row r="50464" hidden="1">
      <c r="E50464" s="96"/>
    </row>
    <row r="50465" hidden="1">
      <c r="E50465" s="96"/>
    </row>
    <row r="50466" hidden="1">
      <c r="E50466" s="96"/>
    </row>
    <row r="50467" hidden="1">
      <c r="E50467" s="96"/>
    </row>
    <row r="50468" hidden="1">
      <c r="E50468" s="96"/>
    </row>
    <row r="50469" hidden="1">
      <c r="E50469" s="96"/>
    </row>
    <row r="50470" hidden="1">
      <c r="E50470" s="96"/>
    </row>
    <row r="50471" hidden="1">
      <c r="E50471" s="96"/>
    </row>
    <row r="50472" hidden="1">
      <c r="E50472" s="96"/>
    </row>
    <row r="50473" hidden="1">
      <c r="E50473" s="96"/>
    </row>
    <row r="50474" hidden="1">
      <c r="E50474" s="96"/>
    </row>
    <row r="50475" hidden="1">
      <c r="E50475" s="96"/>
    </row>
    <row r="50476" hidden="1">
      <c r="E50476" s="96"/>
    </row>
    <row r="50477" hidden="1">
      <c r="E50477" s="96"/>
    </row>
    <row r="50478" hidden="1">
      <c r="E50478" s="96"/>
    </row>
    <row r="50479" hidden="1">
      <c r="E50479" s="96"/>
    </row>
    <row r="50480" hidden="1">
      <c r="E50480" s="96"/>
    </row>
    <row r="50481" hidden="1">
      <c r="E50481" s="96"/>
    </row>
    <row r="50482" hidden="1">
      <c r="E50482" s="96"/>
    </row>
    <row r="50483" hidden="1">
      <c r="E50483" s="96"/>
    </row>
    <row r="50484" hidden="1">
      <c r="E50484" s="96"/>
    </row>
    <row r="50485" hidden="1">
      <c r="E50485" s="96"/>
    </row>
    <row r="50486" hidden="1">
      <c r="E50486" s="96"/>
    </row>
    <row r="50487" hidden="1">
      <c r="E50487" s="96"/>
    </row>
    <row r="50488" hidden="1">
      <c r="E50488" s="96"/>
    </row>
    <row r="50489" hidden="1">
      <c r="E50489" s="96"/>
    </row>
    <row r="50490" hidden="1">
      <c r="E50490" s="96"/>
    </row>
    <row r="50491" hidden="1">
      <c r="E50491" s="96"/>
    </row>
    <row r="50492" hidden="1">
      <c r="E50492" s="96"/>
    </row>
    <row r="50493" hidden="1">
      <c r="E50493" s="96"/>
    </row>
    <row r="50494" hidden="1">
      <c r="E50494" s="96"/>
    </row>
    <row r="50495" hidden="1">
      <c r="E50495" s="96"/>
    </row>
    <row r="50496" hidden="1">
      <c r="E50496" s="96"/>
    </row>
    <row r="50497" hidden="1">
      <c r="E50497" s="96"/>
    </row>
    <row r="50498" hidden="1">
      <c r="E50498" s="96"/>
    </row>
    <row r="50499" hidden="1">
      <c r="E50499" s="96"/>
    </row>
    <row r="50500" hidden="1">
      <c r="E50500" s="96"/>
    </row>
    <row r="50501" hidden="1">
      <c r="E50501" s="96"/>
    </row>
    <row r="50502" hidden="1">
      <c r="E50502" s="96"/>
    </row>
    <row r="50503" hidden="1">
      <c r="E50503" s="96"/>
    </row>
    <row r="50504" hidden="1">
      <c r="E50504" s="96"/>
    </row>
    <row r="50505" hidden="1">
      <c r="E50505" s="96"/>
    </row>
    <row r="50506" hidden="1">
      <c r="E50506" s="96"/>
    </row>
    <row r="50507" hidden="1">
      <c r="E50507" s="96"/>
    </row>
    <row r="50508" hidden="1">
      <c r="E50508" s="96"/>
    </row>
    <row r="50509" hidden="1">
      <c r="E50509" s="96"/>
    </row>
    <row r="50510" hidden="1">
      <c r="E50510" s="96"/>
    </row>
    <row r="50511" hidden="1">
      <c r="E50511" s="96"/>
    </row>
    <row r="50512" hidden="1">
      <c r="E50512" s="96"/>
    </row>
    <row r="50513" hidden="1">
      <c r="E50513" s="96"/>
    </row>
    <row r="50514" hidden="1">
      <c r="E50514" s="96"/>
    </row>
    <row r="50515" hidden="1">
      <c r="E50515" s="96"/>
    </row>
    <row r="50516" hidden="1">
      <c r="E50516" s="96"/>
    </row>
    <row r="50517" hidden="1">
      <c r="E50517" s="96"/>
    </row>
    <row r="50518" hidden="1">
      <c r="E50518" s="96"/>
    </row>
    <row r="50519" hidden="1">
      <c r="E50519" s="96"/>
    </row>
    <row r="50520" hidden="1">
      <c r="E50520" s="96"/>
    </row>
    <row r="50521" hidden="1">
      <c r="E50521" s="96"/>
    </row>
    <row r="50522" hidden="1">
      <c r="E50522" s="96"/>
    </row>
    <row r="50523" hidden="1">
      <c r="E50523" s="96"/>
    </row>
    <row r="50524" hidden="1">
      <c r="E50524" s="96"/>
    </row>
    <row r="50525" hidden="1">
      <c r="E50525" s="96"/>
    </row>
    <row r="50526" hidden="1">
      <c r="E50526" s="96"/>
    </row>
    <row r="50527" hidden="1">
      <c r="E50527" s="96"/>
    </row>
    <row r="50528" hidden="1">
      <c r="E50528" s="96"/>
    </row>
    <row r="50529" hidden="1">
      <c r="E50529" s="96"/>
    </row>
    <row r="50530" hidden="1">
      <c r="E50530" s="96"/>
    </row>
    <row r="50531" hidden="1">
      <c r="E50531" s="96"/>
    </row>
    <row r="50532">
      <c r="E50532" s="96"/>
    </row>
    <row r="50533">
      <c r="E50533" s="96"/>
    </row>
    <row r="50534">
      <c r="E50534" s="96"/>
    </row>
    <row r="50535">
      <c r="E50535" s="96"/>
    </row>
    <row r="50536">
      <c r="E50536" s="96"/>
    </row>
    <row r="50537">
      <c r="E50537" s="96"/>
    </row>
    <row r="50538">
      <c r="E50538" s="96"/>
    </row>
    <row r="50539">
      <c r="E50539" s="96"/>
    </row>
    <row r="50540">
      <c r="E50540" s="96"/>
    </row>
    <row r="50541">
      <c r="E50541" s="96"/>
    </row>
    <row r="50542">
      <c r="E50542" s="96"/>
    </row>
    <row r="50543">
      <c r="E50543" s="96"/>
    </row>
    <row r="50544">
      <c r="E50544" s="96"/>
    </row>
    <row r="50545">
      <c r="E50545" s="96"/>
    </row>
    <row r="50546">
      <c r="E50546" s="96"/>
    </row>
    <row r="50547">
      <c r="E50547" s="96"/>
    </row>
    <row r="50548">
      <c r="E50548" s="96"/>
    </row>
    <row r="50549">
      <c r="E50549" s="96"/>
    </row>
    <row r="50550">
      <c r="E50550" s="96"/>
    </row>
    <row r="50551">
      <c r="E50551" s="96"/>
    </row>
    <row r="50552">
      <c r="E50552" s="96"/>
    </row>
    <row r="50553">
      <c r="E50553" s="96"/>
    </row>
    <row r="50554">
      <c r="E50554" s="96"/>
    </row>
    <row r="50555">
      <c r="E50555" s="96"/>
    </row>
    <row r="50556">
      <c r="E50556" s="96"/>
    </row>
    <row r="50557">
      <c r="E50557" s="96"/>
    </row>
    <row r="50558">
      <c r="E50558" s="96"/>
    </row>
    <row r="50559">
      <c r="E50559" s="96"/>
    </row>
    <row r="50560">
      <c r="E50560" s="96"/>
    </row>
    <row r="50561">
      <c r="E50561" s="96"/>
    </row>
    <row r="50562">
      <c r="E50562" s="96"/>
    </row>
    <row r="50563">
      <c r="E50563" s="96"/>
    </row>
    <row r="50564">
      <c r="E50564" s="96"/>
    </row>
    <row r="50565">
      <c r="E50565" s="96"/>
    </row>
    <row r="50566">
      <c r="E50566" s="96"/>
    </row>
    <row r="50567">
      <c r="E50567" s="96"/>
    </row>
    <row r="50568">
      <c r="E50568" s="96"/>
    </row>
    <row r="50569">
      <c r="E50569" s="96"/>
    </row>
    <row r="50570">
      <c r="E50570" s="96"/>
    </row>
    <row r="50571">
      <c r="E50571" s="96"/>
    </row>
    <row r="50572">
      <c r="E50572" s="96"/>
    </row>
    <row r="50573">
      <c r="E50573" s="96"/>
    </row>
    <row r="50574">
      <c r="E50574" s="96"/>
    </row>
    <row r="50575">
      <c r="E50575" s="96"/>
    </row>
    <row r="50576">
      <c r="E50576" s="96"/>
    </row>
    <row r="50577">
      <c r="E50577" s="96"/>
    </row>
    <row r="50578">
      <c r="E50578" s="96"/>
    </row>
    <row r="50579">
      <c r="E50579" s="96"/>
    </row>
    <row r="50580">
      <c r="E50580" s="96"/>
    </row>
    <row r="50581">
      <c r="E50581" s="96"/>
    </row>
    <row r="50582">
      <c r="E50582" s="96"/>
    </row>
    <row r="50583">
      <c r="E50583" s="96"/>
    </row>
    <row r="50584">
      <c r="E50584" s="96"/>
    </row>
    <row r="50585">
      <c r="E50585" s="96"/>
    </row>
    <row r="50586">
      <c r="E50586" s="96"/>
    </row>
    <row r="50587">
      <c r="E50587" s="96"/>
    </row>
    <row r="50588">
      <c r="E50588" s="96"/>
    </row>
    <row r="50589">
      <c r="E50589" s="96"/>
    </row>
    <row r="50590">
      <c r="E50590" s="96"/>
    </row>
    <row r="50591">
      <c r="E50591" s="96"/>
    </row>
    <row r="50592">
      <c r="E50592" s="96"/>
    </row>
    <row r="50593">
      <c r="E50593" s="96"/>
    </row>
    <row r="50594">
      <c r="E50594" s="96"/>
    </row>
    <row r="50595">
      <c r="E50595" s="96"/>
    </row>
    <row r="50596">
      <c r="E50596" s="96"/>
    </row>
    <row r="50597">
      <c r="E50597" s="96"/>
    </row>
    <row r="50598">
      <c r="E50598" s="96"/>
    </row>
    <row r="50599">
      <c r="E50599" s="96"/>
    </row>
    <row r="50600">
      <c r="E50600" s="96"/>
    </row>
    <row r="50601">
      <c r="E50601" s="96"/>
    </row>
    <row r="50602">
      <c r="E50602" s="96"/>
    </row>
    <row r="50603">
      <c r="E50603" s="96"/>
    </row>
    <row r="50604">
      <c r="E50604" s="96"/>
    </row>
    <row r="50605">
      <c r="E50605" s="96"/>
    </row>
    <row r="50606">
      <c r="E50606" s="96"/>
    </row>
    <row r="50607">
      <c r="E50607" s="96"/>
    </row>
    <row r="50608">
      <c r="E50608" s="96"/>
    </row>
    <row r="50609">
      <c r="E50609" s="96"/>
    </row>
    <row r="50610">
      <c r="E50610" s="96"/>
    </row>
    <row r="50611">
      <c r="E50611" s="96"/>
    </row>
    <row r="50612">
      <c r="E50612" s="96"/>
    </row>
    <row r="50613">
      <c r="E50613" s="96"/>
    </row>
    <row r="50614">
      <c r="E50614" s="96"/>
    </row>
    <row r="50615">
      <c r="E50615" s="96"/>
    </row>
    <row r="50616">
      <c r="E50616" s="96"/>
    </row>
    <row r="50617">
      <c r="E50617" s="96"/>
    </row>
    <row r="50618">
      <c r="E50618" s="96"/>
    </row>
    <row r="50619">
      <c r="E50619" s="96"/>
    </row>
    <row r="50620">
      <c r="E50620" s="96"/>
    </row>
    <row r="50621">
      <c r="E50621" s="96"/>
    </row>
    <row r="50622">
      <c r="E50622" s="96"/>
    </row>
    <row r="50623">
      <c r="E50623" s="96"/>
    </row>
    <row r="50624">
      <c r="E50624" s="96"/>
    </row>
    <row r="50625">
      <c r="E50625" s="96"/>
    </row>
    <row r="50626">
      <c r="E50626" s="96"/>
    </row>
    <row r="50627">
      <c r="E50627" s="96"/>
    </row>
    <row r="50628">
      <c r="E50628" s="96"/>
    </row>
    <row r="50629">
      <c r="E50629" s="96"/>
    </row>
    <row r="50630">
      <c r="E50630" s="96"/>
    </row>
    <row r="50631">
      <c r="E50631" s="96"/>
    </row>
    <row r="50632">
      <c r="E50632" s="96"/>
    </row>
    <row r="50633">
      <c r="E50633" s="96"/>
    </row>
    <row r="50634">
      <c r="E50634" s="96"/>
    </row>
    <row r="50635">
      <c r="E50635" s="96"/>
    </row>
    <row r="50636">
      <c r="E50636" s="96"/>
    </row>
    <row r="50637">
      <c r="E50637" s="96"/>
    </row>
    <row r="50638">
      <c r="E50638" s="96"/>
    </row>
    <row r="50639">
      <c r="E50639" s="96"/>
    </row>
    <row r="50640">
      <c r="E50640" s="96"/>
    </row>
    <row r="50641">
      <c r="E50641" s="96"/>
    </row>
    <row r="50642">
      <c r="E50642" s="96"/>
    </row>
    <row r="50643">
      <c r="E50643" s="96"/>
    </row>
    <row r="50644">
      <c r="E50644" s="96"/>
    </row>
    <row r="50645">
      <c r="E50645" s="96"/>
    </row>
    <row r="50646">
      <c r="E50646" s="96"/>
    </row>
    <row r="50647">
      <c r="E50647" s="96"/>
    </row>
    <row r="50648">
      <c r="E50648" s="96"/>
    </row>
    <row r="50649">
      <c r="E50649" s="96"/>
    </row>
    <row r="50650">
      <c r="E50650" s="96"/>
    </row>
    <row r="50651">
      <c r="E50651" s="96"/>
    </row>
    <row r="50652">
      <c r="E50652" s="96"/>
    </row>
    <row r="50653">
      <c r="E50653" s="96"/>
    </row>
    <row r="50654">
      <c r="E50654" s="96"/>
    </row>
    <row r="50655">
      <c r="E50655" s="96"/>
    </row>
    <row r="50656">
      <c r="E50656" s="96"/>
    </row>
    <row r="50657">
      <c r="E50657" s="96"/>
    </row>
    <row r="50658">
      <c r="E50658" s="96"/>
    </row>
    <row r="50659">
      <c r="E50659" s="96"/>
    </row>
    <row r="50660">
      <c r="E50660" s="96"/>
    </row>
    <row r="50661">
      <c r="E50661" s="96"/>
    </row>
    <row r="50662">
      <c r="E50662" s="96"/>
    </row>
    <row r="50663">
      <c r="E50663" s="96"/>
    </row>
    <row r="50664">
      <c r="E50664" s="96"/>
    </row>
    <row r="50665">
      <c r="E50665" s="96"/>
    </row>
    <row r="50666">
      <c r="E50666" s="96"/>
    </row>
    <row r="50667">
      <c r="E50667" s="96"/>
    </row>
    <row r="50668">
      <c r="E50668" s="96"/>
    </row>
    <row r="50669">
      <c r="E50669" s="96"/>
    </row>
    <row r="50670">
      <c r="E50670" s="96"/>
    </row>
    <row r="50671">
      <c r="E50671" s="96"/>
    </row>
    <row r="50672">
      <c r="E50672" s="96"/>
    </row>
    <row r="50673">
      <c r="E50673" s="96"/>
    </row>
    <row r="50674">
      <c r="E50674" s="96"/>
    </row>
    <row r="50675">
      <c r="E50675" s="96"/>
    </row>
    <row r="50676">
      <c r="E50676" s="96"/>
    </row>
    <row r="50677">
      <c r="E50677" s="96"/>
    </row>
    <row r="50678">
      <c r="E50678" s="96"/>
    </row>
    <row r="50679">
      <c r="E50679" s="96"/>
    </row>
    <row r="50680">
      <c r="E50680" s="96"/>
    </row>
    <row r="50681">
      <c r="E50681" s="96"/>
    </row>
    <row r="50682">
      <c r="E50682" s="96"/>
    </row>
    <row r="50683">
      <c r="E50683" s="96"/>
    </row>
    <row r="50684">
      <c r="E50684" s="96"/>
    </row>
    <row r="50685">
      <c r="E50685" s="96"/>
    </row>
    <row r="50686">
      <c r="E50686" s="96"/>
    </row>
    <row r="50687">
      <c r="E50687" s="96"/>
    </row>
    <row r="50688">
      <c r="E50688" s="96"/>
    </row>
    <row r="50689">
      <c r="E50689" s="96"/>
    </row>
    <row r="50690">
      <c r="E50690" s="96"/>
    </row>
    <row r="50691">
      <c r="E50691" s="96"/>
    </row>
    <row r="50692">
      <c r="E50692" s="96"/>
    </row>
    <row r="50693">
      <c r="E50693" s="96"/>
    </row>
    <row r="50694">
      <c r="E50694" s="96"/>
    </row>
    <row r="50695">
      <c r="E50695" s="96"/>
    </row>
    <row r="50696">
      <c r="E50696" s="96"/>
    </row>
    <row r="50697">
      <c r="E50697" s="96"/>
    </row>
    <row r="50698">
      <c r="E50698" s="96"/>
    </row>
    <row r="50699">
      <c r="E50699" s="96"/>
    </row>
    <row r="50700">
      <c r="E50700" s="96"/>
    </row>
    <row r="50701">
      <c r="E50701" s="96"/>
    </row>
    <row r="50702">
      <c r="E50702" s="96"/>
    </row>
    <row r="50703">
      <c r="E50703" s="96"/>
    </row>
    <row r="50704">
      <c r="E50704" s="96"/>
    </row>
    <row r="50705">
      <c r="E50705" s="96"/>
    </row>
    <row r="50706">
      <c r="E50706" s="96"/>
    </row>
    <row r="50707">
      <c r="E50707" s="96"/>
    </row>
    <row r="50708">
      <c r="E50708" s="96"/>
    </row>
    <row r="50709">
      <c r="E50709" s="96"/>
    </row>
    <row r="50710">
      <c r="E50710" s="96"/>
    </row>
    <row r="50711">
      <c r="E50711" s="96"/>
    </row>
    <row r="50712">
      <c r="E50712" s="96"/>
    </row>
    <row r="50713">
      <c r="E50713" s="96"/>
    </row>
    <row r="50714">
      <c r="E50714" s="96"/>
    </row>
    <row r="50715">
      <c r="E50715" s="96"/>
    </row>
    <row r="50716">
      <c r="E50716" s="96"/>
    </row>
    <row r="50717">
      <c r="E50717" s="96"/>
    </row>
    <row r="50718">
      <c r="E50718" s="96"/>
    </row>
    <row r="50719">
      <c r="E50719" s="96"/>
    </row>
    <row r="50720">
      <c r="E50720" s="96"/>
    </row>
    <row r="50721">
      <c r="E50721" s="96"/>
    </row>
    <row r="50722">
      <c r="E50722" s="96"/>
    </row>
    <row r="50723">
      <c r="E50723" s="96"/>
    </row>
    <row r="50724">
      <c r="E50724" s="96"/>
    </row>
    <row r="50725">
      <c r="E50725" s="96"/>
    </row>
    <row r="50726">
      <c r="E50726" s="96"/>
    </row>
    <row r="50727">
      <c r="E50727" s="96"/>
    </row>
    <row r="50728">
      <c r="E50728" s="96"/>
    </row>
    <row r="50729">
      <c r="E50729" s="96"/>
    </row>
    <row r="50730">
      <c r="E50730" s="96"/>
    </row>
    <row r="50731">
      <c r="E50731" s="96"/>
    </row>
    <row r="50732">
      <c r="E50732" s="96"/>
    </row>
    <row r="50733">
      <c r="E50733" s="96"/>
    </row>
    <row r="50734">
      <c r="E50734" s="96"/>
    </row>
    <row r="50735">
      <c r="E50735" s="96"/>
    </row>
    <row r="50736">
      <c r="E50736" s="96"/>
    </row>
    <row r="50737">
      <c r="E50737" s="96"/>
    </row>
    <row r="50738">
      <c r="E50738" s="96"/>
    </row>
    <row r="50739">
      <c r="E50739" s="96"/>
    </row>
    <row r="50740">
      <c r="E50740" s="96"/>
    </row>
    <row r="50741">
      <c r="E50741" s="96"/>
    </row>
    <row r="50742">
      <c r="E50742" s="96"/>
    </row>
    <row r="50743">
      <c r="E50743" s="96"/>
    </row>
    <row r="50744">
      <c r="E50744" s="96"/>
    </row>
    <row r="50745">
      <c r="E50745" s="96"/>
    </row>
    <row r="50746">
      <c r="E50746" s="96"/>
    </row>
    <row r="50747">
      <c r="E50747" s="96"/>
    </row>
    <row r="50748">
      <c r="E50748" s="96"/>
    </row>
    <row r="50749">
      <c r="E50749" s="96"/>
    </row>
    <row r="50750">
      <c r="E50750" s="96"/>
    </row>
    <row r="50751">
      <c r="E50751" s="96"/>
    </row>
    <row r="50752">
      <c r="E50752" s="96"/>
    </row>
    <row r="50753">
      <c r="E50753" s="96"/>
    </row>
    <row r="50754">
      <c r="E50754" s="96"/>
    </row>
    <row r="50755">
      <c r="E50755" s="96"/>
    </row>
    <row r="50756">
      <c r="E50756" s="96"/>
    </row>
    <row r="50757">
      <c r="E50757" s="96"/>
    </row>
    <row r="50758">
      <c r="E50758" s="96"/>
    </row>
    <row r="50759">
      <c r="E50759" s="96"/>
    </row>
    <row r="50760">
      <c r="E50760" s="96"/>
    </row>
    <row r="50761">
      <c r="E50761" s="96"/>
    </row>
    <row r="50762">
      <c r="E50762" s="96"/>
    </row>
    <row r="50763">
      <c r="E50763" s="96"/>
    </row>
    <row r="50764">
      <c r="E50764" s="96"/>
    </row>
    <row r="50765">
      <c r="E50765" s="96"/>
    </row>
    <row r="50766">
      <c r="E50766" s="96"/>
    </row>
    <row r="50767">
      <c r="E50767" s="96"/>
    </row>
    <row r="50768">
      <c r="E50768" s="96"/>
    </row>
    <row r="50769">
      <c r="E50769" s="96"/>
    </row>
    <row r="50770">
      <c r="E50770" s="96"/>
    </row>
    <row r="50771">
      <c r="E50771" s="96"/>
    </row>
    <row r="50772">
      <c r="E50772" s="96"/>
    </row>
    <row r="50773">
      <c r="E50773" s="96"/>
    </row>
    <row r="50774">
      <c r="E50774" s="96"/>
    </row>
    <row r="50775">
      <c r="E50775" s="96"/>
    </row>
    <row r="50776">
      <c r="E50776" s="96"/>
    </row>
    <row r="50777">
      <c r="E50777" s="96"/>
    </row>
    <row r="50778">
      <c r="E50778" s="96"/>
    </row>
    <row r="50779">
      <c r="E50779" s="96"/>
    </row>
    <row r="50780">
      <c r="E50780" s="96"/>
    </row>
    <row r="50781">
      <c r="E50781" s="96"/>
    </row>
    <row r="50782">
      <c r="E50782" s="96"/>
    </row>
    <row r="50783">
      <c r="E50783" s="96"/>
    </row>
    <row r="50784">
      <c r="E50784" s="96"/>
    </row>
    <row r="50785">
      <c r="E50785" s="96"/>
    </row>
    <row r="50786">
      <c r="E50786" s="96"/>
    </row>
    <row r="50787">
      <c r="E50787" s="96"/>
    </row>
    <row r="50788">
      <c r="E50788" s="96"/>
    </row>
    <row r="50789">
      <c r="E50789" s="96"/>
    </row>
    <row r="50790">
      <c r="E50790" s="96"/>
    </row>
    <row r="50791">
      <c r="E50791" s="96"/>
    </row>
    <row r="50792">
      <c r="E50792" s="96"/>
    </row>
    <row r="50793">
      <c r="E50793" s="96"/>
    </row>
    <row r="50794">
      <c r="E50794" s="96"/>
    </row>
    <row r="50795">
      <c r="E50795" s="96"/>
    </row>
    <row r="50796">
      <c r="E50796" s="96"/>
    </row>
    <row r="50797">
      <c r="E50797" s="96"/>
    </row>
    <row r="50798">
      <c r="E50798" s="96"/>
    </row>
    <row r="50799">
      <c r="E50799" s="96"/>
    </row>
    <row r="50800">
      <c r="E50800" s="96"/>
    </row>
    <row r="50801">
      <c r="E50801" s="96"/>
    </row>
    <row r="50802">
      <c r="E50802" s="96"/>
    </row>
    <row r="50803">
      <c r="E50803" s="96"/>
    </row>
    <row r="50804">
      <c r="E50804" s="96"/>
    </row>
    <row r="50805">
      <c r="E50805" s="96"/>
    </row>
    <row r="50806">
      <c r="E50806" s="96"/>
    </row>
    <row r="50807">
      <c r="E50807" s="96"/>
    </row>
    <row r="50808">
      <c r="E50808" s="96"/>
    </row>
    <row r="50809">
      <c r="E50809" s="96"/>
    </row>
    <row r="50810">
      <c r="E50810" s="96"/>
    </row>
    <row r="50811">
      <c r="E50811" s="96"/>
    </row>
    <row r="50812">
      <c r="E50812" s="96"/>
    </row>
    <row r="50813">
      <c r="E50813" s="96"/>
    </row>
    <row r="50814">
      <c r="E50814" s="96"/>
    </row>
    <row r="50815">
      <c r="E50815" s="96"/>
    </row>
    <row r="50816">
      <c r="E50816" s="96"/>
    </row>
    <row r="50817">
      <c r="E50817" s="96"/>
    </row>
    <row r="50818">
      <c r="E50818" s="96"/>
    </row>
    <row r="50819">
      <c r="E50819" s="96"/>
    </row>
    <row r="50820">
      <c r="E50820" s="96"/>
    </row>
    <row r="50821">
      <c r="E50821" s="96"/>
    </row>
    <row r="50822">
      <c r="E50822" s="96"/>
    </row>
    <row r="50823">
      <c r="E50823" s="96"/>
    </row>
    <row r="50824">
      <c r="E50824" s="96"/>
    </row>
    <row r="50825">
      <c r="E50825" s="96"/>
    </row>
    <row r="50826">
      <c r="E50826" s="96"/>
    </row>
    <row r="50827">
      <c r="E50827" s="96"/>
    </row>
    <row r="50828">
      <c r="E50828" s="96"/>
    </row>
    <row r="50829">
      <c r="E50829" s="96"/>
    </row>
    <row r="50830">
      <c r="E50830" s="96"/>
    </row>
    <row r="50831">
      <c r="E50831" s="96"/>
    </row>
    <row r="50832">
      <c r="E50832" s="96"/>
    </row>
    <row r="50833">
      <c r="E50833" s="96"/>
    </row>
    <row r="50834">
      <c r="E50834" s="96"/>
    </row>
    <row r="50835">
      <c r="E50835" s="96"/>
    </row>
    <row r="50836">
      <c r="E50836" s="96"/>
    </row>
    <row r="50837">
      <c r="E50837" s="96"/>
    </row>
    <row r="50838">
      <c r="E50838" s="96"/>
    </row>
    <row r="50839">
      <c r="E50839" s="96"/>
    </row>
    <row r="50840">
      <c r="E50840" s="96"/>
    </row>
    <row r="50841">
      <c r="E50841" s="96"/>
    </row>
    <row r="50842">
      <c r="E50842" s="96"/>
    </row>
    <row r="50843">
      <c r="E50843" s="96"/>
    </row>
    <row r="50844">
      <c r="E50844" s="96"/>
    </row>
    <row r="50845">
      <c r="E50845" s="96"/>
    </row>
    <row r="50846">
      <c r="E50846" s="96"/>
    </row>
    <row r="50847">
      <c r="E50847" s="96"/>
    </row>
    <row r="50848">
      <c r="E50848" s="96"/>
    </row>
    <row r="50849">
      <c r="E50849" s="96"/>
    </row>
    <row r="50850">
      <c r="E50850" s="96"/>
    </row>
    <row r="50851">
      <c r="E50851" s="96"/>
    </row>
    <row r="50852">
      <c r="E50852" s="96"/>
    </row>
    <row r="50853">
      <c r="E50853" s="96"/>
    </row>
    <row r="50854">
      <c r="E50854" s="96"/>
    </row>
    <row r="50855">
      <c r="E50855" s="96"/>
    </row>
    <row r="50856">
      <c r="E50856" s="96"/>
    </row>
    <row r="50857">
      <c r="E50857" s="96"/>
    </row>
    <row r="50858">
      <c r="E50858" s="96"/>
    </row>
    <row r="50859">
      <c r="E50859" s="96"/>
    </row>
    <row r="50860">
      <c r="E50860" s="96"/>
    </row>
    <row r="50861">
      <c r="E50861" s="96"/>
    </row>
    <row r="50862">
      <c r="E50862" s="96"/>
    </row>
    <row r="50863">
      <c r="E50863" s="96"/>
    </row>
    <row r="50864">
      <c r="E50864" s="96"/>
    </row>
    <row r="50865">
      <c r="E50865" s="96"/>
    </row>
    <row r="50866">
      <c r="E50866" s="96"/>
    </row>
    <row r="50867">
      <c r="E50867" s="96"/>
    </row>
    <row r="50868">
      <c r="E50868" s="96"/>
    </row>
    <row r="50869">
      <c r="E50869" s="96"/>
    </row>
    <row r="50870">
      <c r="E50870" s="96"/>
    </row>
    <row r="50871">
      <c r="E50871" s="96"/>
    </row>
    <row r="50872">
      <c r="E50872" s="96"/>
    </row>
    <row r="50873">
      <c r="E50873" s="96"/>
    </row>
    <row r="50874">
      <c r="E50874" s="96"/>
    </row>
    <row r="50875">
      <c r="E50875" s="96"/>
    </row>
    <row r="50876">
      <c r="E50876" s="96"/>
    </row>
    <row r="50877">
      <c r="E50877" s="96"/>
    </row>
    <row r="50878">
      <c r="E50878" s="96"/>
    </row>
    <row r="50879">
      <c r="E50879" s="96"/>
    </row>
    <row r="50880">
      <c r="E50880" s="96"/>
    </row>
    <row r="50881">
      <c r="E50881" s="96"/>
    </row>
    <row r="50882">
      <c r="E50882" s="96"/>
    </row>
    <row r="50883">
      <c r="E50883" s="96"/>
    </row>
    <row r="50884">
      <c r="E50884" s="96"/>
    </row>
    <row r="50885">
      <c r="E50885" s="96"/>
    </row>
    <row r="50886">
      <c r="E50886" s="96"/>
    </row>
    <row r="50887">
      <c r="E50887" s="96"/>
    </row>
    <row r="50888">
      <c r="E50888" s="96"/>
    </row>
    <row r="50889">
      <c r="E50889" s="96"/>
    </row>
    <row r="50890">
      <c r="E50890" s="96"/>
    </row>
    <row r="50891">
      <c r="E50891" s="96"/>
    </row>
    <row r="50892">
      <c r="E50892" s="96"/>
    </row>
    <row r="50893">
      <c r="E50893" s="96"/>
    </row>
    <row r="50894">
      <c r="E50894" s="96"/>
    </row>
    <row r="50895">
      <c r="E50895" s="96"/>
    </row>
    <row r="50896">
      <c r="E50896" s="96"/>
    </row>
    <row r="50897">
      <c r="E50897" s="96"/>
    </row>
    <row r="50898">
      <c r="E50898" s="96"/>
    </row>
    <row r="50899">
      <c r="E50899" s="96"/>
    </row>
    <row r="50900">
      <c r="E50900" s="96"/>
    </row>
    <row r="50901">
      <c r="E50901" s="96"/>
    </row>
    <row r="50902">
      <c r="E50902" s="96"/>
    </row>
    <row r="50903">
      <c r="E50903" s="96"/>
    </row>
    <row r="50904">
      <c r="E50904" s="96"/>
    </row>
    <row r="50905">
      <c r="E50905" s="96"/>
    </row>
    <row r="50906">
      <c r="E50906" s="96"/>
    </row>
    <row r="50907">
      <c r="E50907" s="96"/>
    </row>
    <row r="50908">
      <c r="E50908" s="96"/>
    </row>
    <row r="50909">
      <c r="E50909" s="96"/>
    </row>
    <row r="50910">
      <c r="E50910" s="96"/>
    </row>
    <row r="50911">
      <c r="E50911" s="96"/>
    </row>
    <row r="50912">
      <c r="E50912" s="96"/>
    </row>
    <row r="50913">
      <c r="E50913" s="96"/>
    </row>
    <row r="50914">
      <c r="E50914" s="96"/>
    </row>
    <row r="50915">
      <c r="E50915" s="96"/>
    </row>
    <row r="50916">
      <c r="E50916" s="96"/>
    </row>
    <row r="50917">
      <c r="E50917" s="96"/>
    </row>
    <row r="50918">
      <c r="E50918" s="96"/>
    </row>
    <row r="50919">
      <c r="E50919" s="96"/>
    </row>
    <row r="50920">
      <c r="E50920" s="96"/>
    </row>
    <row r="50921">
      <c r="E50921" s="96"/>
    </row>
    <row r="50922">
      <c r="E50922" s="96"/>
    </row>
    <row r="50923">
      <c r="E50923" s="96"/>
    </row>
    <row r="50924">
      <c r="E50924" s="96"/>
    </row>
    <row r="50925">
      <c r="E50925" s="96"/>
    </row>
    <row r="50926">
      <c r="E50926" s="96"/>
    </row>
    <row r="50927">
      <c r="E50927" s="96"/>
    </row>
    <row r="50928">
      <c r="E50928" s="96"/>
    </row>
    <row r="50929">
      <c r="E50929" s="96"/>
    </row>
    <row r="50930">
      <c r="E50930" s="96"/>
    </row>
    <row r="50931">
      <c r="E50931" s="96"/>
    </row>
    <row r="50932">
      <c r="E50932" s="96"/>
    </row>
    <row r="50933">
      <c r="E50933" s="96"/>
    </row>
    <row r="50934">
      <c r="E50934" s="96"/>
    </row>
    <row r="50935">
      <c r="E50935" s="96"/>
    </row>
    <row r="50936">
      <c r="E50936" s="96"/>
    </row>
    <row r="50937">
      <c r="E50937" s="96"/>
    </row>
    <row r="50938">
      <c r="E50938" s="96"/>
    </row>
    <row r="50939">
      <c r="E50939" s="96"/>
    </row>
    <row r="50940">
      <c r="E50940" s="96"/>
    </row>
    <row r="50941">
      <c r="E50941" s="96"/>
    </row>
    <row r="50942">
      <c r="E50942" s="96"/>
    </row>
    <row r="50943">
      <c r="E50943" s="96"/>
    </row>
    <row r="50944">
      <c r="E50944" s="96"/>
    </row>
    <row r="50945">
      <c r="E50945" s="96"/>
    </row>
    <row r="50946">
      <c r="E50946" s="96"/>
    </row>
    <row r="50947">
      <c r="E50947" s="96"/>
    </row>
    <row r="50948">
      <c r="E50948" s="96"/>
    </row>
    <row r="50949">
      <c r="E50949" s="96"/>
    </row>
    <row r="50950">
      <c r="E50950" s="96"/>
    </row>
    <row r="50951">
      <c r="E50951" s="96"/>
    </row>
    <row r="50952">
      <c r="E50952" s="96"/>
    </row>
    <row r="50953">
      <c r="E50953" s="96"/>
    </row>
    <row r="50954">
      <c r="E50954" s="96"/>
    </row>
    <row r="50955">
      <c r="E50955" s="96"/>
    </row>
    <row r="50956">
      <c r="E50956" s="96"/>
    </row>
    <row r="50957">
      <c r="E50957" s="96"/>
    </row>
    <row r="50958">
      <c r="E50958" s="96"/>
    </row>
    <row r="50959">
      <c r="E50959" s="96"/>
    </row>
    <row r="50960">
      <c r="E50960" s="96"/>
    </row>
    <row r="50961">
      <c r="E50961" s="96"/>
    </row>
    <row r="50962">
      <c r="E50962" s="96"/>
    </row>
    <row r="50963">
      <c r="E50963" s="96"/>
    </row>
    <row r="50964">
      <c r="E50964" s="96"/>
    </row>
    <row r="50965">
      <c r="E50965" s="96"/>
    </row>
    <row r="50966">
      <c r="E50966" s="96"/>
    </row>
    <row r="50967">
      <c r="E50967" s="96"/>
    </row>
    <row r="50968">
      <c r="E50968" s="96"/>
    </row>
    <row r="50969">
      <c r="E50969" s="96"/>
    </row>
    <row r="50970">
      <c r="E50970" s="96"/>
    </row>
    <row r="50971">
      <c r="E50971" s="96"/>
    </row>
    <row r="50972">
      <c r="E50972" s="96"/>
    </row>
    <row r="50973">
      <c r="E50973" s="96"/>
    </row>
    <row r="50974">
      <c r="E50974" s="96"/>
    </row>
    <row r="50975">
      <c r="E50975" s="96"/>
    </row>
    <row r="50976">
      <c r="E50976" s="96"/>
    </row>
    <row r="50977">
      <c r="E50977" s="96"/>
    </row>
    <row r="50978">
      <c r="E50978" s="96"/>
    </row>
    <row r="50979">
      <c r="E50979" s="96"/>
    </row>
    <row r="50980">
      <c r="E50980" s="96"/>
    </row>
    <row r="50981">
      <c r="E50981" s="96"/>
    </row>
    <row r="50982">
      <c r="E50982" s="96"/>
    </row>
    <row r="50983">
      <c r="E50983" s="96"/>
    </row>
    <row r="50984">
      <c r="E50984" s="96"/>
    </row>
    <row r="50985">
      <c r="E50985" s="96"/>
    </row>
    <row r="50986">
      <c r="E50986" s="96"/>
    </row>
    <row r="50987">
      <c r="E50987" s="96"/>
    </row>
    <row r="50988">
      <c r="E50988" s="96"/>
    </row>
    <row r="50989">
      <c r="E50989" s="96"/>
    </row>
    <row r="50990">
      <c r="E50990" s="96"/>
    </row>
    <row r="50991">
      <c r="E50991" s="96"/>
    </row>
    <row r="50992">
      <c r="E50992" s="96"/>
    </row>
    <row r="50993">
      <c r="E50993" s="96"/>
    </row>
    <row r="50994">
      <c r="E50994" s="96"/>
    </row>
    <row r="50995">
      <c r="E50995" s="96"/>
    </row>
    <row r="50996">
      <c r="E50996" s="96"/>
    </row>
    <row r="50997">
      <c r="E50997" s="96"/>
    </row>
    <row r="50998">
      <c r="E50998" s="96"/>
    </row>
    <row r="50999">
      <c r="E50999" s="96"/>
    </row>
    <row r="51000">
      <c r="E51000" s="96"/>
    </row>
    <row r="51001">
      <c r="E51001" s="96"/>
    </row>
    <row r="51002">
      <c r="E51002" s="96"/>
    </row>
    <row r="51003">
      <c r="E51003" s="96"/>
    </row>
    <row r="51004">
      <c r="E51004" s="96"/>
    </row>
    <row r="51005">
      <c r="E51005" s="96"/>
    </row>
    <row r="51006">
      <c r="E51006" s="96"/>
    </row>
    <row r="51007">
      <c r="E51007" s="96"/>
    </row>
    <row r="51008">
      <c r="E51008" s="96"/>
    </row>
    <row r="51009">
      <c r="E51009" s="96"/>
    </row>
    <row r="51010">
      <c r="E51010" s="96"/>
    </row>
    <row r="51011">
      <c r="E51011" s="96"/>
    </row>
    <row r="51012">
      <c r="E51012" s="96"/>
    </row>
    <row r="51013">
      <c r="E51013" s="96"/>
    </row>
    <row r="51014">
      <c r="E51014" s="96"/>
    </row>
    <row r="51015">
      <c r="E51015" s="96"/>
    </row>
    <row r="51016">
      <c r="E51016" s="96"/>
    </row>
    <row r="51017">
      <c r="E51017" s="96"/>
    </row>
    <row r="51018">
      <c r="E51018" s="96"/>
    </row>
    <row r="51019">
      <c r="E51019" s="96"/>
    </row>
    <row r="51020">
      <c r="E51020" s="96"/>
    </row>
    <row r="51021">
      <c r="E51021" s="96"/>
    </row>
    <row r="51022">
      <c r="E51022" s="96"/>
    </row>
    <row r="51023">
      <c r="E51023" s="96"/>
    </row>
    <row r="51024">
      <c r="E51024" s="96"/>
    </row>
    <row r="51025">
      <c r="E51025" s="96"/>
    </row>
    <row r="51026">
      <c r="E51026" s="96"/>
    </row>
    <row r="51027">
      <c r="E51027" s="96"/>
    </row>
    <row r="51028">
      <c r="E51028" s="96"/>
    </row>
    <row r="51029">
      <c r="E51029" s="96"/>
    </row>
    <row r="51030">
      <c r="E51030" s="96"/>
    </row>
    <row r="51031">
      <c r="E51031" s="96"/>
    </row>
    <row r="51032">
      <c r="E51032" s="96"/>
    </row>
    <row r="51033">
      <c r="E51033" s="96"/>
    </row>
    <row r="51034">
      <c r="E51034" s="96"/>
    </row>
    <row r="51035">
      <c r="E51035" s="96"/>
    </row>
    <row r="51036">
      <c r="E51036" s="96"/>
    </row>
    <row r="51037">
      <c r="E51037" s="96"/>
    </row>
    <row r="51038">
      <c r="E51038" s="96"/>
    </row>
    <row r="51039">
      <c r="E51039" s="96"/>
    </row>
    <row r="51040">
      <c r="E51040" s="96"/>
    </row>
    <row r="51041">
      <c r="E51041" s="96"/>
    </row>
    <row r="51042">
      <c r="E51042" s="96"/>
    </row>
    <row r="51043">
      <c r="E51043" s="96"/>
    </row>
    <row r="51044">
      <c r="E51044" s="96"/>
    </row>
    <row r="51045">
      <c r="E51045" s="96"/>
    </row>
    <row r="51046">
      <c r="E51046" s="96"/>
    </row>
    <row r="51047">
      <c r="E51047" s="96"/>
    </row>
    <row r="51048">
      <c r="E51048" s="96"/>
    </row>
    <row r="51049">
      <c r="E51049" s="96"/>
    </row>
    <row r="51050">
      <c r="E51050" s="96"/>
    </row>
    <row r="51051">
      <c r="E51051" s="96"/>
    </row>
    <row r="51052">
      <c r="E51052" s="96"/>
    </row>
    <row r="51053">
      <c r="E51053" s="96"/>
    </row>
    <row r="51054">
      <c r="E51054" s="96"/>
    </row>
    <row r="51055">
      <c r="E51055" s="96"/>
    </row>
    <row r="51056">
      <c r="E51056" s="96"/>
    </row>
    <row r="51057">
      <c r="E51057" s="96"/>
    </row>
    <row r="51058">
      <c r="E51058" s="96"/>
    </row>
    <row r="51059">
      <c r="E51059" s="96"/>
    </row>
    <row r="51060">
      <c r="E51060" s="96"/>
    </row>
    <row r="51061">
      <c r="E51061" s="96"/>
    </row>
    <row r="51062">
      <c r="E51062" s="96"/>
    </row>
    <row r="51063">
      <c r="E51063" s="96"/>
    </row>
    <row r="51064">
      <c r="E51064" s="96"/>
    </row>
    <row r="51065">
      <c r="E51065" s="96"/>
    </row>
    <row r="51066">
      <c r="E51066" s="96"/>
    </row>
    <row r="51067">
      <c r="E51067" s="96"/>
    </row>
    <row r="51068">
      <c r="E51068" s="96"/>
    </row>
    <row r="51069">
      <c r="E51069" s="96"/>
    </row>
    <row r="51070">
      <c r="E51070" s="96"/>
    </row>
    <row r="51071">
      <c r="E51071" s="96"/>
    </row>
    <row r="51072">
      <c r="E51072" s="96"/>
    </row>
    <row r="51073">
      <c r="E51073" s="96"/>
    </row>
    <row r="51074">
      <c r="E51074" s="96"/>
    </row>
    <row r="51075">
      <c r="E51075" s="96"/>
    </row>
    <row r="51076">
      <c r="E51076" s="96"/>
    </row>
    <row r="51077">
      <c r="E51077" s="96"/>
    </row>
    <row r="51078">
      <c r="E51078" s="96"/>
    </row>
    <row r="51079">
      <c r="E51079" s="96"/>
    </row>
    <row r="51080">
      <c r="E51080" s="96"/>
    </row>
    <row r="51081">
      <c r="E51081" s="96"/>
    </row>
    <row r="51082">
      <c r="E51082" s="96"/>
    </row>
    <row r="51083">
      <c r="E51083" s="96"/>
    </row>
    <row r="51084">
      <c r="E51084" s="96"/>
    </row>
    <row r="51085">
      <c r="E51085" s="96"/>
    </row>
    <row r="51086">
      <c r="E51086" s="96"/>
    </row>
    <row r="51087">
      <c r="E51087" s="96"/>
    </row>
    <row r="51088">
      <c r="E51088" s="96"/>
    </row>
    <row r="51089">
      <c r="E51089" s="96"/>
    </row>
    <row r="51090">
      <c r="E51090" s="96"/>
    </row>
    <row r="51091">
      <c r="E51091" s="96"/>
    </row>
    <row r="51092">
      <c r="E51092" s="96"/>
    </row>
    <row r="51093">
      <c r="E51093" s="96"/>
    </row>
    <row r="51094">
      <c r="E51094" s="96"/>
    </row>
    <row r="51095">
      <c r="E51095" s="96"/>
    </row>
    <row r="51096">
      <c r="E51096" s="96"/>
    </row>
    <row r="51097">
      <c r="E51097" s="96"/>
    </row>
    <row r="51098">
      <c r="E51098" s="96"/>
    </row>
    <row r="51099">
      <c r="E51099" s="96"/>
    </row>
    <row r="51100">
      <c r="E51100" s="96"/>
    </row>
    <row r="51101">
      <c r="E51101" s="96"/>
    </row>
    <row r="51102">
      <c r="E51102" s="96"/>
    </row>
    <row r="51103">
      <c r="E51103" s="96"/>
    </row>
    <row r="51104">
      <c r="E51104" s="96"/>
    </row>
    <row r="51105">
      <c r="E51105" s="96"/>
    </row>
    <row r="51106">
      <c r="E51106" s="96"/>
    </row>
    <row r="51107">
      <c r="E51107" s="96"/>
    </row>
    <row r="51108">
      <c r="E51108" s="96"/>
    </row>
    <row r="51109">
      <c r="E51109" s="96"/>
    </row>
    <row r="51110">
      <c r="E51110" s="96"/>
    </row>
    <row r="51111">
      <c r="E51111" s="96"/>
    </row>
    <row r="51112">
      <c r="E51112" s="96"/>
    </row>
    <row r="51113">
      <c r="E51113" s="96"/>
    </row>
    <row r="51114">
      <c r="E51114" s="96"/>
    </row>
    <row r="51115">
      <c r="E51115" s="96"/>
    </row>
    <row r="51116">
      <c r="E51116" s="96"/>
    </row>
    <row r="51117">
      <c r="E51117" s="96"/>
    </row>
    <row r="51118">
      <c r="E51118" s="96"/>
    </row>
    <row r="51119">
      <c r="E51119" s="96"/>
    </row>
    <row r="51120">
      <c r="E51120" s="96"/>
    </row>
    <row r="51121">
      <c r="E51121" s="96"/>
    </row>
    <row r="51122">
      <c r="E51122" s="96"/>
    </row>
    <row r="51123">
      <c r="E51123" s="96"/>
    </row>
    <row r="51124">
      <c r="E51124" s="96"/>
    </row>
    <row r="51125">
      <c r="E51125" s="96"/>
    </row>
    <row r="51126">
      <c r="E51126" s="96"/>
    </row>
    <row r="51127">
      <c r="E51127" s="96"/>
    </row>
    <row r="51128">
      <c r="E51128" s="96"/>
    </row>
    <row r="51129">
      <c r="E51129" s="96"/>
    </row>
    <row r="51130">
      <c r="E51130" s="96"/>
    </row>
    <row r="51131">
      <c r="E51131" s="96"/>
    </row>
    <row r="51132">
      <c r="E51132" s="96"/>
    </row>
    <row r="51133">
      <c r="E51133" s="96"/>
    </row>
    <row r="51134">
      <c r="E51134" s="96"/>
    </row>
    <row r="51135">
      <c r="E51135" s="96"/>
    </row>
    <row r="51136">
      <c r="E51136" s="96"/>
    </row>
    <row r="51137">
      <c r="E51137" s="96"/>
    </row>
    <row r="51138">
      <c r="E51138" s="96"/>
    </row>
    <row r="51139">
      <c r="E51139" s="96"/>
    </row>
    <row r="51140">
      <c r="E51140" s="96"/>
    </row>
    <row r="51141">
      <c r="E51141" s="96"/>
    </row>
    <row r="51142">
      <c r="E51142" s="96"/>
    </row>
    <row r="51143">
      <c r="E51143" s="96"/>
    </row>
    <row r="51144">
      <c r="E51144" s="96"/>
    </row>
    <row r="51145">
      <c r="E51145" s="96"/>
    </row>
    <row r="51146">
      <c r="E51146" s="96"/>
    </row>
    <row r="51147">
      <c r="E51147" s="96"/>
    </row>
    <row r="51148">
      <c r="E51148" s="96"/>
    </row>
    <row r="51149">
      <c r="E51149" s="96"/>
    </row>
    <row r="51150">
      <c r="E51150" s="96"/>
    </row>
    <row r="51151">
      <c r="E51151" s="96"/>
    </row>
    <row r="51152">
      <c r="E51152" s="96"/>
    </row>
    <row r="51153">
      <c r="E51153" s="96"/>
    </row>
    <row r="51154">
      <c r="E51154" s="96"/>
    </row>
    <row r="51155">
      <c r="E51155" s="96"/>
    </row>
    <row r="51156">
      <c r="E51156" s="96"/>
    </row>
    <row r="51157">
      <c r="E51157" s="96"/>
    </row>
    <row r="51158">
      <c r="E51158" s="96"/>
    </row>
    <row r="51159">
      <c r="E51159" s="96"/>
    </row>
    <row r="51160">
      <c r="E51160" s="96"/>
    </row>
    <row r="51161">
      <c r="E51161" s="96"/>
    </row>
    <row r="51162">
      <c r="E51162" s="96"/>
    </row>
    <row r="51163">
      <c r="E51163" s="96"/>
    </row>
    <row r="51164">
      <c r="E51164" s="96"/>
    </row>
    <row r="51165">
      <c r="E51165" s="96"/>
    </row>
    <row r="51166">
      <c r="E51166" s="96"/>
    </row>
    <row r="51167">
      <c r="E51167" s="96"/>
    </row>
    <row r="51168">
      <c r="E51168" s="96"/>
    </row>
    <row r="51169">
      <c r="E51169" s="96"/>
    </row>
    <row r="51170">
      <c r="E51170" s="96"/>
    </row>
    <row r="51171">
      <c r="E51171" s="96"/>
    </row>
    <row r="51172">
      <c r="E51172" s="96"/>
    </row>
    <row r="51173">
      <c r="E51173" s="96"/>
    </row>
    <row r="51174">
      <c r="E51174" s="96"/>
    </row>
    <row r="51175">
      <c r="E51175" s="96"/>
    </row>
    <row r="51176">
      <c r="E51176" s="96"/>
    </row>
    <row r="51177">
      <c r="E51177" s="96"/>
    </row>
    <row r="51178">
      <c r="E51178" s="96"/>
    </row>
    <row r="51179">
      <c r="E51179" s="96"/>
    </row>
    <row r="51180">
      <c r="E51180" s="96"/>
    </row>
    <row r="51181">
      <c r="E51181" s="96"/>
    </row>
    <row r="51182">
      <c r="E51182" s="96"/>
    </row>
    <row r="51183">
      <c r="E51183" s="96"/>
    </row>
    <row r="51184">
      <c r="E51184" s="96"/>
    </row>
    <row r="51185">
      <c r="E51185" s="96"/>
    </row>
    <row r="51186">
      <c r="E51186" s="96"/>
    </row>
    <row r="51187">
      <c r="E51187" s="96"/>
    </row>
    <row r="51188">
      <c r="E51188" s="96"/>
    </row>
    <row r="51189">
      <c r="E51189" s="96"/>
    </row>
    <row r="51190">
      <c r="E51190" s="96"/>
    </row>
    <row r="51191">
      <c r="E51191" s="96"/>
    </row>
    <row r="51192">
      <c r="E51192" s="96"/>
    </row>
    <row r="51193">
      <c r="E51193" s="96"/>
    </row>
    <row r="51194">
      <c r="E51194" s="96"/>
    </row>
    <row r="51195">
      <c r="E51195" s="96"/>
    </row>
    <row r="51196">
      <c r="E51196" s="96"/>
    </row>
    <row r="51197">
      <c r="E51197" s="96"/>
    </row>
    <row r="51198">
      <c r="E51198" s="96"/>
    </row>
    <row r="51199">
      <c r="E51199" s="96"/>
    </row>
    <row r="51200">
      <c r="E51200" s="96"/>
    </row>
    <row r="51201">
      <c r="E51201" s="96"/>
    </row>
    <row r="51202">
      <c r="E51202" s="96"/>
    </row>
    <row r="51203">
      <c r="E51203" s="96"/>
    </row>
    <row r="51204">
      <c r="E51204" s="96"/>
    </row>
    <row r="51205">
      <c r="E51205" s="96"/>
    </row>
    <row r="51206">
      <c r="E51206" s="96"/>
    </row>
    <row r="51207">
      <c r="E51207" s="96"/>
    </row>
    <row r="51208">
      <c r="E51208" s="96"/>
    </row>
    <row r="51209">
      <c r="E51209" s="96"/>
    </row>
    <row r="51210">
      <c r="E51210" s="96"/>
    </row>
    <row r="51211">
      <c r="E51211" s="96"/>
    </row>
    <row r="51212">
      <c r="E51212" s="96"/>
    </row>
    <row r="51213">
      <c r="E51213" s="96"/>
    </row>
    <row r="51214">
      <c r="E51214" s="96"/>
    </row>
    <row r="51215">
      <c r="E51215" s="96"/>
    </row>
    <row r="51216">
      <c r="E51216" s="96"/>
    </row>
    <row r="51217">
      <c r="E51217" s="96"/>
    </row>
    <row r="51218">
      <c r="E51218" s="96"/>
    </row>
    <row r="51219">
      <c r="E51219" s="96"/>
    </row>
    <row r="51220">
      <c r="E51220" s="96"/>
    </row>
    <row r="51221">
      <c r="E51221" s="96"/>
    </row>
    <row r="51222">
      <c r="E51222" s="96"/>
    </row>
    <row r="51223">
      <c r="E51223" s="96"/>
    </row>
    <row r="51224">
      <c r="E51224" s="96"/>
    </row>
    <row r="51225">
      <c r="E51225" s="96"/>
    </row>
    <row r="51226">
      <c r="E51226" s="96"/>
    </row>
    <row r="51227">
      <c r="E51227" s="96"/>
    </row>
    <row r="51228">
      <c r="E51228" s="96"/>
    </row>
    <row r="51229">
      <c r="E51229" s="96"/>
    </row>
    <row r="51230">
      <c r="E51230" s="96"/>
    </row>
    <row r="51231">
      <c r="E51231" s="96"/>
    </row>
    <row r="51232">
      <c r="E51232" s="96"/>
    </row>
    <row r="51233">
      <c r="E51233" s="96"/>
    </row>
    <row r="51234">
      <c r="E51234" s="96"/>
    </row>
    <row r="51235">
      <c r="E51235" s="96"/>
    </row>
    <row r="51236">
      <c r="E51236" s="96"/>
    </row>
    <row r="51237">
      <c r="E51237" s="96"/>
    </row>
    <row r="51238">
      <c r="E51238" s="96"/>
    </row>
    <row r="51239">
      <c r="E51239" s="96"/>
    </row>
    <row r="51240">
      <c r="E51240" s="96"/>
    </row>
    <row r="51241">
      <c r="E51241" s="96"/>
    </row>
    <row r="51242">
      <c r="E51242" s="96"/>
    </row>
    <row r="51243">
      <c r="E51243" s="96"/>
    </row>
    <row r="51244">
      <c r="E51244" s="96"/>
    </row>
    <row r="51245">
      <c r="E51245" s="96"/>
    </row>
    <row r="51246">
      <c r="E51246" s="96"/>
    </row>
    <row r="51247">
      <c r="E51247" s="96"/>
    </row>
    <row r="51248">
      <c r="E51248" s="96"/>
    </row>
    <row r="51249">
      <c r="E51249" s="96"/>
    </row>
    <row r="51250">
      <c r="E51250" s="96"/>
    </row>
    <row r="51251">
      <c r="E51251" s="96"/>
    </row>
    <row r="51252">
      <c r="E51252" s="96"/>
    </row>
    <row r="51253">
      <c r="E51253" s="96"/>
    </row>
    <row r="51254">
      <c r="E51254" s="96"/>
    </row>
    <row r="51255">
      <c r="E51255" s="96"/>
    </row>
    <row r="51256">
      <c r="E51256" s="96"/>
    </row>
    <row r="51257">
      <c r="E51257" s="96"/>
    </row>
    <row r="51258">
      <c r="E51258" s="96"/>
    </row>
    <row r="51259">
      <c r="E51259" s="96"/>
    </row>
    <row r="51260">
      <c r="E51260" s="96"/>
    </row>
    <row r="51261">
      <c r="E51261" s="96"/>
    </row>
    <row r="51262">
      <c r="E51262" s="96"/>
    </row>
    <row r="51263">
      <c r="E51263" s="96"/>
    </row>
    <row r="51264">
      <c r="E51264" s="96"/>
    </row>
    <row r="51265">
      <c r="E51265" s="96"/>
    </row>
    <row r="51266">
      <c r="E51266" s="96"/>
    </row>
    <row r="51267">
      <c r="E51267" s="96"/>
    </row>
    <row r="51268">
      <c r="E51268" s="96"/>
    </row>
    <row r="51269">
      <c r="E51269" s="96"/>
    </row>
    <row r="51270">
      <c r="E51270" s="96"/>
    </row>
    <row r="51271">
      <c r="E51271" s="96"/>
    </row>
    <row r="51272">
      <c r="E51272" s="96"/>
    </row>
    <row r="51273">
      <c r="E51273" s="96"/>
    </row>
    <row r="51274">
      <c r="E51274" s="96"/>
    </row>
    <row r="51275">
      <c r="E51275" s="96"/>
    </row>
    <row r="51276">
      <c r="E51276" s="96"/>
    </row>
    <row r="51277">
      <c r="E51277" s="96"/>
    </row>
    <row r="51278">
      <c r="E51278" s="96"/>
    </row>
    <row r="51279">
      <c r="E51279" s="96"/>
    </row>
    <row r="51280">
      <c r="E51280" s="96"/>
    </row>
    <row r="51281">
      <c r="E51281" s="96"/>
    </row>
    <row r="51282">
      <c r="E51282" s="96"/>
    </row>
    <row r="51283">
      <c r="E51283" s="96"/>
    </row>
    <row r="51284">
      <c r="E51284" s="96"/>
    </row>
    <row r="51285">
      <c r="E51285" s="96"/>
    </row>
    <row r="51286">
      <c r="E51286" s="96"/>
    </row>
    <row r="51287">
      <c r="E51287" s="96"/>
    </row>
    <row r="51288">
      <c r="E51288" s="96"/>
    </row>
    <row r="51289">
      <c r="E51289" s="96"/>
    </row>
    <row r="51290">
      <c r="E51290" s="96"/>
    </row>
    <row r="51291">
      <c r="E51291" s="96"/>
    </row>
    <row r="51292">
      <c r="E51292" s="96"/>
    </row>
    <row r="51293">
      <c r="E51293" s="96"/>
    </row>
    <row r="51294">
      <c r="E51294" s="96"/>
    </row>
    <row r="51295">
      <c r="E51295" s="96"/>
    </row>
    <row r="51296">
      <c r="E51296" s="96"/>
    </row>
    <row r="51297">
      <c r="E51297" s="96"/>
    </row>
    <row r="51298">
      <c r="E51298" s="96"/>
    </row>
    <row r="51299">
      <c r="E51299" s="96"/>
    </row>
    <row r="51300">
      <c r="E51300" s="96"/>
    </row>
    <row r="51301">
      <c r="E51301" s="96"/>
    </row>
    <row r="51302">
      <c r="E51302" s="96"/>
    </row>
    <row r="51303">
      <c r="E51303" s="96"/>
    </row>
    <row r="51304">
      <c r="E51304" s="96"/>
    </row>
    <row r="51305">
      <c r="E51305" s="96"/>
    </row>
    <row r="51306">
      <c r="E51306" s="96"/>
    </row>
    <row r="51307">
      <c r="E51307" s="96"/>
    </row>
    <row r="51308">
      <c r="E51308" s="96"/>
    </row>
    <row r="51309">
      <c r="E51309" s="96"/>
    </row>
    <row r="51310">
      <c r="E51310" s="96"/>
    </row>
    <row r="51311">
      <c r="E51311" s="96"/>
    </row>
    <row r="51312">
      <c r="E51312" s="96"/>
    </row>
    <row r="51313">
      <c r="E51313" s="96"/>
    </row>
    <row r="51314">
      <c r="E51314" s="96"/>
    </row>
    <row r="51315">
      <c r="E51315" s="96"/>
    </row>
    <row r="51316">
      <c r="E51316" s="96"/>
    </row>
    <row r="51317">
      <c r="E51317" s="96"/>
    </row>
    <row r="51318">
      <c r="E51318" s="96"/>
    </row>
    <row r="51319">
      <c r="E51319" s="96"/>
    </row>
    <row r="51320">
      <c r="E51320" s="96"/>
    </row>
    <row r="51321">
      <c r="E51321" s="96"/>
    </row>
    <row r="51322">
      <c r="E51322" s="96"/>
    </row>
    <row r="51323">
      <c r="E51323" s="96"/>
    </row>
    <row r="51324">
      <c r="E51324" s="96"/>
    </row>
    <row r="51325">
      <c r="E51325" s="96"/>
    </row>
    <row r="51326">
      <c r="E51326" s="96"/>
    </row>
    <row r="51327">
      <c r="E51327" s="96"/>
    </row>
    <row r="51328">
      <c r="E51328" s="96"/>
    </row>
    <row r="51329">
      <c r="E51329" s="96"/>
    </row>
    <row r="51330">
      <c r="E51330" s="96"/>
    </row>
    <row r="51331">
      <c r="E51331" s="96"/>
    </row>
    <row r="51332">
      <c r="E51332" s="96"/>
    </row>
    <row r="51333">
      <c r="E51333" s="96"/>
    </row>
    <row r="51334">
      <c r="E51334" s="96"/>
    </row>
    <row r="51335">
      <c r="E51335" s="96"/>
    </row>
    <row r="51336">
      <c r="E51336" s="96"/>
    </row>
    <row r="51337">
      <c r="E51337" s="96"/>
    </row>
    <row r="51338">
      <c r="E51338" s="96"/>
    </row>
    <row r="51339">
      <c r="E51339" s="96"/>
    </row>
    <row r="51340">
      <c r="E51340" s="96"/>
    </row>
    <row r="51341">
      <c r="E51341" s="96"/>
    </row>
    <row r="51342">
      <c r="E51342" s="96"/>
    </row>
    <row r="51343">
      <c r="E51343" s="96"/>
    </row>
    <row r="51344">
      <c r="E51344" s="96"/>
    </row>
    <row r="51345">
      <c r="E51345" s="96"/>
    </row>
    <row r="51346">
      <c r="E51346" s="96"/>
    </row>
    <row r="51347">
      <c r="E51347" s="96"/>
    </row>
    <row r="51348">
      <c r="E51348" s="96"/>
    </row>
    <row r="51349">
      <c r="E51349" s="96"/>
    </row>
    <row r="51350">
      <c r="E51350" s="96"/>
    </row>
    <row r="51351">
      <c r="E51351" s="96"/>
    </row>
    <row r="51352">
      <c r="E51352" s="96"/>
    </row>
    <row r="51353">
      <c r="E51353" s="96"/>
    </row>
    <row r="51354">
      <c r="E51354" s="96"/>
    </row>
    <row r="51355">
      <c r="E51355" s="96"/>
    </row>
    <row r="51356">
      <c r="E51356" s="96"/>
    </row>
    <row r="51357">
      <c r="E51357" s="96"/>
    </row>
    <row r="51358">
      <c r="E51358" s="96"/>
    </row>
    <row r="51359">
      <c r="E51359" s="96"/>
    </row>
    <row r="51360">
      <c r="E51360" s="96"/>
    </row>
    <row r="51361">
      <c r="E51361" s="96"/>
    </row>
    <row r="51362">
      <c r="E51362" s="96"/>
    </row>
    <row r="51363">
      <c r="E51363" s="96"/>
    </row>
    <row r="51364">
      <c r="E51364" s="96"/>
    </row>
    <row r="51365">
      <c r="E51365" s="96"/>
    </row>
    <row r="51366">
      <c r="E51366" s="96"/>
    </row>
    <row r="51367">
      <c r="E51367" s="96"/>
    </row>
    <row r="51368">
      <c r="E51368" s="96"/>
    </row>
    <row r="51369">
      <c r="E51369" s="96"/>
    </row>
    <row r="51370">
      <c r="E51370" s="96"/>
    </row>
    <row r="51371">
      <c r="E51371" s="96"/>
    </row>
    <row r="51372">
      <c r="E51372" s="96"/>
    </row>
    <row r="51373">
      <c r="E51373" s="96"/>
    </row>
    <row r="51374">
      <c r="E51374" s="96"/>
    </row>
    <row r="51375">
      <c r="E51375" s="96"/>
    </row>
    <row r="51376">
      <c r="E51376" s="96"/>
    </row>
    <row r="51377">
      <c r="E51377" s="96"/>
    </row>
    <row r="51378">
      <c r="E51378" s="96"/>
    </row>
    <row r="51379">
      <c r="E51379" s="96"/>
    </row>
    <row r="51380">
      <c r="E51380" s="96"/>
    </row>
    <row r="51381">
      <c r="E51381" s="96"/>
    </row>
    <row r="51382">
      <c r="E51382" s="96"/>
    </row>
    <row r="51383">
      <c r="E51383" s="96"/>
    </row>
    <row r="51384">
      <c r="E51384" s="96"/>
    </row>
    <row r="51385">
      <c r="E51385" s="96"/>
    </row>
    <row r="51386">
      <c r="E51386" s="96"/>
    </row>
    <row r="51387">
      <c r="E51387" s="96"/>
    </row>
    <row r="51388">
      <c r="E51388" s="96"/>
    </row>
    <row r="51389">
      <c r="E51389" s="96"/>
    </row>
    <row r="51390">
      <c r="E51390" s="96"/>
    </row>
    <row r="51391">
      <c r="E51391" s="96"/>
    </row>
    <row r="51392">
      <c r="E51392" s="96"/>
    </row>
    <row r="51393">
      <c r="E51393" s="96"/>
    </row>
    <row r="51394">
      <c r="E51394" s="96"/>
    </row>
    <row r="51395">
      <c r="E51395" s="96"/>
    </row>
    <row r="51396">
      <c r="E51396" s="96"/>
    </row>
    <row r="51397">
      <c r="E51397" s="96"/>
    </row>
    <row r="51398">
      <c r="E51398" s="96"/>
    </row>
    <row r="51399">
      <c r="E51399" s="96"/>
    </row>
    <row r="51400">
      <c r="E51400" s="96"/>
    </row>
    <row r="51401">
      <c r="E51401" s="96"/>
    </row>
    <row r="51402">
      <c r="E51402" s="96"/>
    </row>
    <row r="51403">
      <c r="E51403" s="96"/>
    </row>
    <row r="51404">
      <c r="E51404" s="96"/>
    </row>
    <row r="51405">
      <c r="E51405" s="96"/>
    </row>
    <row r="51406">
      <c r="E51406" s="96"/>
    </row>
    <row r="51407">
      <c r="E51407" s="96"/>
    </row>
    <row r="51408">
      <c r="E51408" s="96"/>
    </row>
    <row r="51409">
      <c r="E51409" s="96"/>
    </row>
    <row r="51410">
      <c r="E51410" s="96"/>
    </row>
    <row r="51411">
      <c r="E51411" s="96"/>
    </row>
    <row r="51412">
      <c r="E51412" s="96"/>
    </row>
    <row r="51413">
      <c r="E51413" s="96"/>
    </row>
    <row r="51414">
      <c r="E51414" s="96"/>
    </row>
    <row r="51415">
      <c r="E51415" s="96"/>
    </row>
    <row r="51416">
      <c r="E51416" s="96"/>
    </row>
    <row r="51417">
      <c r="E51417" s="96"/>
    </row>
    <row r="51418">
      <c r="E51418" s="96"/>
    </row>
    <row r="51419">
      <c r="E51419" s="96"/>
    </row>
    <row r="51420">
      <c r="E51420" s="96"/>
    </row>
    <row r="51421">
      <c r="E51421" s="96"/>
    </row>
    <row r="51422">
      <c r="E51422" s="96"/>
    </row>
    <row r="51423">
      <c r="E51423" s="96"/>
    </row>
    <row r="51424">
      <c r="E51424" s="96"/>
    </row>
    <row r="51425">
      <c r="E51425" s="96"/>
    </row>
    <row r="51426">
      <c r="E51426" s="96"/>
    </row>
    <row r="51427">
      <c r="E51427" s="96"/>
    </row>
    <row r="51428">
      <c r="E51428" s="96"/>
    </row>
    <row r="51429">
      <c r="E51429" s="96"/>
    </row>
    <row r="51430">
      <c r="E51430" s="96"/>
    </row>
    <row r="51431">
      <c r="E51431" s="96"/>
    </row>
    <row r="51432">
      <c r="E51432" s="96"/>
    </row>
    <row r="51433">
      <c r="E51433" s="96"/>
    </row>
    <row r="51434">
      <c r="E51434" s="96"/>
    </row>
    <row r="51435">
      <c r="E51435" s="96"/>
    </row>
    <row r="51436">
      <c r="E51436" s="96"/>
    </row>
    <row r="51437">
      <c r="E51437" s="96"/>
    </row>
    <row r="51438">
      <c r="E51438" s="96"/>
    </row>
    <row r="51439">
      <c r="E51439" s="96"/>
    </row>
    <row r="51440">
      <c r="E51440" s="96"/>
    </row>
    <row r="51441">
      <c r="E51441" s="96"/>
    </row>
    <row r="51442">
      <c r="E51442" s="96"/>
    </row>
    <row r="51443">
      <c r="E51443" s="96"/>
    </row>
    <row r="51444">
      <c r="E51444" s="96"/>
    </row>
    <row r="51445">
      <c r="E51445" s="96"/>
    </row>
    <row r="51446">
      <c r="E51446" s="96"/>
    </row>
    <row r="51447">
      <c r="E51447" s="96"/>
    </row>
    <row r="51448">
      <c r="E51448" s="96"/>
    </row>
    <row r="51449">
      <c r="E51449" s="96"/>
    </row>
    <row r="51450">
      <c r="E51450" s="96"/>
    </row>
    <row r="51451">
      <c r="E51451" s="96"/>
    </row>
    <row r="51452">
      <c r="E51452" s="96"/>
    </row>
    <row r="51453">
      <c r="E51453" s="96"/>
    </row>
    <row r="51454">
      <c r="E51454" s="96"/>
    </row>
    <row r="51455">
      <c r="E51455" s="96"/>
    </row>
    <row r="51456">
      <c r="E51456" s="96"/>
    </row>
    <row r="51457">
      <c r="E51457" s="96"/>
    </row>
    <row r="51458">
      <c r="E51458" s="96"/>
    </row>
    <row r="51459">
      <c r="E51459" s="96"/>
    </row>
    <row r="51460">
      <c r="E51460" s="96"/>
    </row>
    <row r="51461">
      <c r="E51461" s="96"/>
    </row>
    <row r="51462">
      <c r="E51462" s="96"/>
    </row>
    <row r="51463">
      <c r="E51463" s="96"/>
    </row>
    <row r="51464">
      <c r="E51464" s="96"/>
    </row>
    <row r="51465">
      <c r="E51465" s="96"/>
    </row>
    <row r="51466">
      <c r="E51466" s="96"/>
    </row>
    <row r="51467">
      <c r="E51467" s="96"/>
    </row>
    <row r="51468">
      <c r="E51468" s="96"/>
    </row>
    <row r="51469">
      <c r="E51469" s="96"/>
    </row>
    <row r="51470">
      <c r="E51470" s="96"/>
    </row>
    <row r="51471">
      <c r="E51471" s="96"/>
    </row>
    <row r="51472">
      <c r="E51472" s="96"/>
    </row>
    <row r="51473">
      <c r="E51473" s="96"/>
    </row>
    <row r="51474">
      <c r="E51474" s="96"/>
    </row>
    <row r="51475">
      <c r="E51475" s="96"/>
    </row>
    <row r="51476">
      <c r="E51476" s="96"/>
    </row>
    <row r="51477">
      <c r="E51477" s="96"/>
    </row>
    <row r="51478">
      <c r="E51478" s="96"/>
    </row>
    <row r="51479">
      <c r="E51479" s="96"/>
    </row>
    <row r="51480">
      <c r="E51480" s="96"/>
    </row>
    <row r="51481">
      <c r="E51481" s="96"/>
    </row>
    <row r="51482">
      <c r="E51482" s="96"/>
    </row>
    <row r="51483">
      <c r="E51483" s="96"/>
    </row>
    <row r="51484">
      <c r="E51484" s="96"/>
    </row>
    <row r="51485">
      <c r="E51485" s="96"/>
    </row>
    <row r="51486">
      <c r="E51486" s="96"/>
    </row>
    <row r="51487">
      <c r="E51487" s="96"/>
    </row>
    <row r="51488">
      <c r="E51488" s="96"/>
    </row>
    <row r="51489">
      <c r="E51489" s="96"/>
    </row>
    <row r="51490">
      <c r="E51490" s="96"/>
    </row>
    <row r="51491">
      <c r="E51491" s="96"/>
    </row>
    <row r="51492">
      <c r="E51492" s="96"/>
    </row>
    <row r="51493">
      <c r="E51493" s="96"/>
    </row>
    <row r="51494">
      <c r="E51494" s="96"/>
    </row>
    <row r="51495">
      <c r="E51495" s="96"/>
    </row>
    <row r="51496">
      <c r="E51496" s="96"/>
    </row>
    <row r="51497">
      <c r="E51497" s="96"/>
    </row>
    <row r="51498">
      <c r="E51498" s="96"/>
    </row>
    <row r="51499">
      <c r="E51499" s="96"/>
    </row>
    <row r="51500">
      <c r="E51500" s="96"/>
    </row>
    <row r="51501">
      <c r="E51501" s="96"/>
    </row>
    <row r="51502">
      <c r="E51502" s="96"/>
    </row>
    <row r="51503">
      <c r="E51503" s="96"/>
    </row>
    <row r="51504">
      <c r="E51504" s="96"/>
    </row>
    <row r="51505">
      <c r="E51505" s="96"/>
    </row>
    <row r="51506">
      <c r="E51506" s="96"/>
    </row>
    <row r="51507">
      <c r="E51507" s="96"/>
    </row>
    <row r="51508">
      <c r="E51508" s="96"/>
    </row>
    <row r="51509">
      <c r="E51509" s="96"/>
    </row>
    <row r="51510">
      <c r="E51510" s="96"/>
    </row>
    <row r="51511">
      <c r="E51511" s="96"/>
    </row>
    <row r="51512">
      <c r="E51512" s="96"/>
    </row>
    <row r="51513">
      <c r="E51513" s="96"/>
    </row>
    <row r="51514">
      <c r="E51514" s="96"/>
    </row>
    <row r="51515">
      <c r="E51515" s="96"/>
    </row>
    <row r="51516">
      <c r="E51516" s="96"/>
    </row>
    <row r="51517">
      <c r="E51517" s="96"/>
    </row>
    <row r="51518">
      <c r="E51518" s="96"/>
    </row>
    <row r="51519">
      <c r="E51519" s="96"/>
    </row>
    <row r="51520">
      <c r="E51520" s="96"/>
    </row>
    <row r="51521">
      <c r="E51521" s="96"/>
    </row>
    <row r="51522">
      <c r="E51522" s="96"/>
    </row>
    <row r="51523">
      <c r="E51523" s="96"/>
    </row>
    <row r="51524">
      <c r="E51524" s="96"/>
    </row>
    <row r="51525">
      <c r="E51525" s="96"/>
    </row>
    <row r="51526">
      <c r="E51526" s="96"/>
    </row>
    <row r="51527">
      <c r="E51527" s="96"/>
    </row>
    <row r="51528">
      <c r="E51528" s="96"/>
    </row>
    <row r="51529">
      <c r="E51529" s="96"/>
    </row>
    <row r="51530">
      <c r="E51530" s="96"/>
    </row>
    <row r="51531">
      <c r="E51531" s="96"/>
    </row>
    <row r="51532">
      <c r="E51532" s="96"/>
    </row>
    <row r="51533">
      <c r="E51533" s="96"/>
    </row>
    <row r="51534">
      <c r="E51534" s="96"/>
    </row>
    <row r="51535">
      <c r="E51535" s="96"/>
    </row>
    <row r="51536">
      <c r="E51536" s="96"/>
    </row>
    <row r="51537">
      <c r="E51537" s="96"/>
    </row>
    <row r="51538">
      <c r="E51538" s="96"/>
    </row>
    <row r="51539">
      <c r="E51539" s="96"/>
    </row>
    <row r="51540">
      <c r="E51540" s="96"/>
    </row>
    <row r="51541">
      <c r="E51541" s="96"/>
    </row>
    <row r="51542">
      <c r="E51542" s="96"/>
    </row>
    <row r="51543">
      <c r="E51543" s="96"/>
    </row>
    <row r="51544">
      <c r="E51544" s="96"/>
    </row>
    <row r="51545">
      <c r="E51545" s="96"/>
    </row>
    <row r="51546">
      <c r="E51546" s="96"/>
    </row>
    <row r="51547">
      <c r="E51547" s="96"/>
    </row>
    <row r="51548">
      <c r="E51548" s="96"/>
    </row>
    <row r="51549">
      <c r="E51549" s="96"/>
    </row>
    <row r="51550">
      <c r="E51550" s="96"/>
    </row>
    <row r="51551">
      <c r="E51551" s="96"/>
    </row>
    <row r="51552">
      <c r="E51552" s="96"/>
    </row>
    <row r="51553">
      <c r="E51553" s="96"/>
    </row>
    <row r="51554">
      <c r="E51554" s="96"/>
    </row>
    <row r="51555">
      <c r="E51555" s="96"/>
    </row>
    <row r="51556">
      <c r="E51556" s="96"/>
    </row>
    <row r="51557">
      <c r="E51557" s="96"/>
    </row>
    <row r="51558">
      <c r="E51558" s="96"/>
    </row>
    <row r="51559">
      <c r="E51559" s="96"/>
    </row>
    <row r="51560">
      <c r="E51560" s="96"/>
    </row>
    <row r="51561">
      <c r="E51561" s="96"/>
    </row>
    <row r="51562">
      <c r="E51562" s="96"/>
    </row>
    <row r="51563">
      <c r="E51563" s="96"/>
    </row>
    <row r="51564">
      <c r="E51564" s="96"/>
    </row>
    <row r="51565">
      <c r="E51565" s="96"/>
    </row>
    <row r="51566">
      <c r="E51566" s="96"/>
    </row>
    <row r="51567">
      <c r="E51567" s="96"/>
    </row>
    <row r="51568">
      <c r="E51568" s="96"/>
    </row>
    <row r="51569">
      <c r="E51569" s="96"/>
    </row>
    <row r="51570">
      <c r="E51570" s="96"/>
    </row>
    <row r="51571">
      <c r="E51571" s="96"/>
    </row>
    <row r="51572">
      <c r="E51572" s="96"/>
    </row>
    <row r="51573">
      <c r="E51573" s="96"/>
    </row>
    <row r="51574">
      <c r="E51574" s="96"/>
    </row>
    <row r="51575">
      <c r="E51575" s="96"/>
    </row>
    <row r="51576">
      <c r="E51576" s="96"/>
    </row>
    <row r="51577">
      <c r="E51577" s="96"/>
    </row>
    <row r="51578">
      <c r="E51578" s="96"/>
    </row>
    <row r="51579">
      <c r="E51579" s="96"/>
    </row>
    <row r="51580">
      <c r="E51580" s="96"/>
    </row>
    <row r="51581">
      <c r="E51581" s="96"/>
    </row>
    <row r="51582">
      <c r="E51582" s="96"/>
    </row>
    <row r="51583">
      <c r="E51583" s="96"/>
    </row>
    <row r="51584">
      <c r="E51584" s="96"/>
    </row>
    <row r="51585">
      <c r="E51585" s="96"/>
    </row>
    <row r="51586">
      <c r="E51586" s="96"/>
    </row>
    <row r="51587">
      <c r="E51587" s="96"/>
    </row>
    <row r="51588">
      <c r="E51588" s="96"/>
    </row>
    <row r="51589">
      <c r="E51589" s="96"/>
    </row>
    <row r="51590">
      <c r="E51590" s="96"/>
    </row>
    <row r="51591">
      <c r="E51591" s="96"/>
    </row>
    <row r="51592">
      <c r="E51592" s="96"/>
    </row>
    <row r="51593">
      <c r="E51593" s="96"/>
    </row>
    <row r="51594">
      <c r="E51594" s="96"/>
    </row>
    <row r="51595">
      <c r="E51595" s="96"/>
    </row>
    <row r="51596">
      <c r="E51596" s="96"/>
    </row>
    <row r="51597">
      <c r="E51597" s="96"/>
    </row>
    <row r="51598">
      <c r="E51598" s="96"/>
    </row>
    <row r="51599">
      <c r="E51599" s="96"/>
    </row>
    <row r="51600">
      <c r="E51600" s="96"/>
    </row>
    <row r="51601">
      <c r="E51601" s="96"/>
    </row>
    <row r="51602">
      <c r="E51602" s="96"/>
    </row>
    <row r="51603">
      <c r="E51603" s="96"/>
    </row>
    <row r="51604">
      <c r="E51604" s="96"/>
    </row>
    <row r="51605">
      <c r="E51605" s="96"/>
    </row>
    <row r="51606">
      <c r="E51606" s="96"/>
    </row>
    <row r="51607">
      <c r="E51607" s="96"/>
    </row>
    <row r="51608">
      <c r="E51608" s="96"/>
    </row>
    <row r="51609">
      <c r="E51609" s="96"/>
    </row>
    <row r="51610">
      <c r="E51610" s="96"/>
    </row>
    <row r="51611">
      <c r="E51611" s="96"/>
    </row>
    <row r="51612">
      <c r="E51612" s="96"/>
    </row>
    <row r="51613">
      <c r="E51613" s="96"/>
    </row>
    <row r="51614">
      <c r="E51614" s="96"/>
    </row>
    <row r="51615">
      <c r="E51615" s="96"/>
    </row>
    <row r="51616">
      <c r="E51616" s="96"/>
    </row>
    <row r="51617">
      <c r="E51617" s="96"/>
    </row>
    <row r="51618">
      <c r="E51618" s="96"/>
    </row>
    <row r="51619">
      <c r="E51619" s="96"/>
    </row>
    <row r="51620">
      <c r="E51620" s="96"/>
    </row>
    <row r="51621">
      <c r="E51621" s="96"/>
    </row>
    <row r="51622">
      <c r="E51622" s="96"/>
    </row>
    <row r="51623">
      <c r="E51623" s="96"/>
    </row>
    <row r="51624">
      <c r="E51624" s="96"/>
    </row>
    <row r="51625">
      <c r="E51625" s="96"/>
    </row>
    <row r="51626">
      <c r="E51626" s="96"/>
    </row>
    <row r="51627">
      <c r="E51627" s="96"/>
    </row>
    <row r="51628">
      <c r="E51628" s="96"/>
    </row>
    <row r="51629">
      <c r="E51629" s="96"/>
    </row>
    <row r="51630">
      <c r="E51630" s="96"/>
    </row>
    <row r="51631">
      <c r="E51631" s="96"/>
    </row>
    <row r="51632">
      <c r="E51632" s="96"/>
    </row>
    <row r="51633">
      <c r="E51633" s="96"/>
    </row>
    <row r="51634">
      <c r="E51634" s="96"/>
    </row>
    <row r="51635">
      <c r="E51635" s="96"/>
    </row>
    <row r="51636">
      <c r="E51636" s="96"/>
    </row>
    <row r="51637">
      <c r="E51637" s="96"/>
    </row>
    <row r="51638">
      <c r="E51638" s="96"/>
    </row>
    <row r="51639">
      <c r="E51639" s="96"/>
    </row>
    <row r="51640">
      <c r="E51640" s="96"/>
    </row>
    <row r="51641">
      <c r="E51641" s="96"/>
    </row>
    <row r="51642">
      <c r="E51642" s="96"/>
    </row>
    <row r="51643">
      <c r="E51643" s="96"/>
    </row>
    <row r="51644">
      <c r="E51644" s="96"/>
    </row>
    <row r="51645">
      <c r="E51645" s="96"/>
    </row>
    <row r="51646">
      <c r="E51646" s="96"/>
    </row>
    <row r="51647">
      <c r="E51647" s="96"/>
    </row>
    <row r="51648">
      <c r="E51648" s="96"/>
    </row>
    <row r="51649">
      <c r="E51649" s="96"/>
    </row>
    <row r="51650">
      <c r="E51650" s="96"/>
    </row>
    <row r="51651">
      <c r="E51651" s="96"/>
    </row>
    <row r="51652">
      <c r="E51652" s="96"/>
    </row>
    <row r="51653">
      <c r="E51653" s="96"/>
    </row>
    <row r="51654">
      <c r="E51654" s="96"/>
    </row>
    <row r="51655">
      <c r="E51655" s="96"/>
    </row>
    <row r="51656">
      <c r="E51656" s="96"/>
    </row>
    <row r="51657">
      <c r="E51657" s="96"/>
    </row>
    <row r="51658">
      <c r="E51658" s="96"/>
    </row>
    <row r="51659">
      <c r="E51659" s="96"/>
    </row>
    <row r="51660">
      <c r="E51660" s="96"/>
    </row>
    <row r="51661">
      <c r="E51661" s="96"/>
    </row>
    <row r="51662">
      <c r="E51662" s="96"/>
    </row>
    <row r="51663">
      <c r="E51663" s="96"/>
    </row>
    <row r="51664">
      <c r="E51664" s="96"/>
    </row>
    <row r="51665">
      <c r="E51665" s="96"/>
    </row>
    <row r="51666">
      <c r="E51666" s="96"/>
    </row>
    <row r="51667">
      <c r="E51667" s="96"/>
    </row>
    <row r="51668">
      <c r="E51668" s="96"/>
    </row>
    <row r="51669">
      <c r="E51669" s="96"/>
    </row>
    <row r="51670">
      <c r="E51670" s="96"/>
    </row>
    <row r="51671">
      <c r="E51671" s="96"/>
    </row>
    <row r="51672">
      <c r="E51672" s="96"/>
    </row>
    <row r="51673">
      <c r="E51673" s="96"/>
    </row>
    <row r="51674">
      <c r="E51674" s="96"/>
    </row>
    <row r="51675">
      <c r="E51675" s="96"/>
    </row>
    <row r="51676">
      <c r="E51676" s="96"/>
    </row>
    <row r="51677">
      <c r="E51677" s="96"/>
    </row>
    <row r="51678">
      <c r="E51678" s="96"/>
    </row>
    <row r="51679">
      <c r="E51679" s="96"/>
    </row>
    <row r="51680">
      <c r="E51680" s="96"/>
    </row>
    <row r="51681">
      <c r="E51681" s="96"/>
    </row>
    <row r="51682">
      <c r="E51682" s="96"/>
    </row>
    <row r="51683">
      <c r="E51683" s="96"/>
    </row>
    <row r="51684">
      <c r="E51684" s="96"/>
    </row>
    <row r="51685">
      <c r="E51685" s="96"/>
    </row>
    <row r="51686">
      <c r="E51686" s="96"/>
    </row>
    <row r="51687">
      <c r="E51687" s="96"/>
    </row>
    <row r="51688">
      <c r="E51688" s="96"/>
    </row>
    <row r="51689">
      <c r="E51689" s="96"/>
    </row>
    <row r="51690">
      <c r="E51690" s="96"/>
    </row>
    <row r="51691">
      <c r="E51691" s="96"/>
    </row>
    <row r="51692">
      <c r="E51692" s="96"/>
    </row>
    <row r="51693">
      <c r="E51693" s="96"/>
    </row>
    <row r="51694">
      <c r="E51694" s="96"/>
    </row>
    <row r="51695">
      <c r="E51695" s="96"/>
    </row>
    <row r="51696">
      <c r="E51696" s="96"/>
    </row>
    <row r="51697">
      <c r="E51697" s="96"/>
    </row>
    <row r="51698">
      <c r="E51698" s="96"/>
    </row>
    <row r="51699">
      <c r="E51699" s="96"/>
    </row>
    <row r="51700">
      <c r="E51700" s="96"/>
    </row>
    <row r="51701">
      <c r="E51701" s="96"/>
    </row>
    <row r="51702">
      <c r="E51702" s="96"/>
    </row>
    <row r="51703">
      <c r="E51703" s="96"/>
    </row>
    <row r="51704">
      <c r="E51704" s="96"/>
    </row>
    <row r="51705">
      <c r="E51705" s="96"/>
    </row>
    <row r="51706">
      <c r="E51706" s="96"/>
    </row>
    <row r="51707">
      <c r="E51707" s="96"/>
    </row>
    <row r="51708">
      <c r="E51708" s="96"/>
    </row>
    <row r="51709">
      <c r="E51709" s="96"/>
    </row>
    <row r="51710">
      <c r="E51710" s="96"/>
    </row>
    <row r="51711">
      <c r="E51711" s="96"/>
    </row>
    <row r="51712">
      <c r="E51712" s="96"/>
    </row>
    <row r="51713">
      <c r="E51713" s="96"/>
    </row>
    <row r="51714">
      <c r="E51714" s="96"/>
    </row>
    <row r="51715">
      <c r="E51715" s="96"/>
    </row>
    <row r="51716">
      <c r="E51716" s="96"/>
    </row>
    <row r="51717">
      <c r="E51717" s="96"/>
    </row>
    <row r="51718">
      <c r="E51718" s="96"/>
    </row>
    <row r="51719">
      <c r="E51719" s="96"/>
    </row>
    <row r="51720">
      <c r="E51720" s="96"/>
    </row>
    <row r="51721">
      <c r="E51721" s="96"/>
    </row>
    <row r="51722">
      <c r="E51722" s="96"/>
    </row>
    <row r="51723">
      <c r="E51723" s="96"/>
    </row>
    <row r="51724">
      <c r="E51724" s="96"/>
    </row>
    <row r="51725">
      <c r="E51725" s="96"/>
    </row>
    <row r="51726">
      <c r="E51726" s="96"/>
    </row>
    <row r="51727">
      <c r="E51727" s="96"/>
    </row>
    <row r="51728">
      <c r="E51728" s="96"/>
    </row>
    <row r="51729">
      <c r="E51729" s="96"/>
    </row>
    <row r="51730">
      <c r="E51730" s="96"/>
    </row>
    <row r="51731">
      <c r="E51731" s="96"/>
    </row>
    <row r="51732">
      <c r="E51732" s="96"/>
    </row>
    <row r="51733">
      <c r="E51733" s="96"/>
    </row>
    <row r="51734">
      <c r="E51734" s="96"/>
    </row>
    <row r="51735">
      <c r="E51735" s="96"/>
    </row>
    <row r="51736">
      <c r="E51736" s="96"/>
    </row>
    <row r="51737">
      <c r="E51737" s="96"/>
    </row>
    <row r="51738">
      <c r="E51738" s="96"/>
    </row>
    <row r="51739">
      <c r="E51739" s="96"/>
    </row>
    <row r="51740">
      <c r="E51740" s="96"/>
    </row>
    <row r="51741">
      <c r="E51741" s="96"/>
    </row>
    <row r="51742">
      <c r="E51742" s="96"/>
    </row>
    <row r="51743">
      <c r="E51743" s="96"/>
    </row>
    <row r="51744">
      <c r="E51744" s="96"/>
    </row>
    <row r="51745">
      <c r="E51745" s="96"/>
    </row>
    <row r="51746">
      <c r="E51746" s="96"/>
    </row>
    <row r="51747">
      <c r="E51747" s="96"/>
    </row>
    <row r="51748">
      <c r="E51748" s="96"/>
    </row>
    <row r="51749">
      <c r="E51749" s="96"/>
    </row>
    <row r="51750">
      <c r="E51750" s="96"/>
    </row>
    <row r="51751">
      <c r="E51751" s="96"/>
    </row>
    <row r="51752">
      <c r="E51752" s="96"/>
    </row>
    <row r="51753">
      <c r="E51753" s="96"/>
    </row>
    <row r="51754">
      <c r="E51754" s="96"/>
    </row>
    <row r="51755">
      <c r="E51755" s="96"/>
    </row>
    <row r="51756">
      <c r="E51756" s="96"/>
    </row>
    <row r="51757">
      <c r="E51757" s="96"/>
    </row>
    <row r="51758">
      <c r="E51758" s="96"/>
    </row>
    <row r="51759">
      <c r="E51759" s="96"/>
    </row>
    <row r="51760">
      <c r="E51760" s="96"/>
    </row>
    <row r="51761">
      <c r="E51761" s="96"/>
    </row>
    <row r="51762">
      <c r="E51762" s="96"/>
    </row>
    <row r="51763">
      <c r="E51763" s="96"/>
    </row>
    <row r="51764">
      <c r="E51764" s="96"/>
    </row>
    <row r="51765">
      <c r="E51765" s="96"/>
    </row>
    <row r="51766">
      <c r="E51766" s="96"/>
    </row>
    <row r="51767">
      <c r="E51767" s="96"/>
    </row>
    <row r="51768">
      <c r="E51768" s="96"/>
    </row>
    <row r="51769">
      <c r="E51769" s="96"/>
    </row>
    <row r="51770">
      <c r="E51770" s="96"/>
    </row>
    <row r="51771">
      <c r="E51771" s="96"/>
    </row>
    <row r="51772">
      <c r="E51772" s="96"/>
    </row>
    <row r="51773">
      <c r="E51773" s="96"/>
    </row>
    <row r="51774">
      <c r="E51774" s="96"/>
    </row>
    <row r="51775">
      <c r="E51775" s="96"/>
    </row>
    <row r="51776">
      <c r="E51776" s="96"/>
    </row>
    <row r="51777">
      <c r="E51777" s="96"/>
    </row>
    <row r="51778">
      <c r="E51778" s="96"/>
    </row>
    <row r="51779">
      <c r="E51779" s="96"/>
    </row>
    <row r="51780">
      <c r="E51780" s="96"/>
    </row>
    <row r="51781">
      <c r="E51781" s="96"/>
    </row>
    <row r="51782">
      <c r="E51782" s="96"/>
    </row>
    <row r="51783">
      <c r="E51783" s="96"/>
    </row>
    <row r="51784">
      <c r="E51784" s="96"/>
    </row>
    <row r="51785">
      <c r="E51785" s="96"/>
    </row>
    <row r="51786">
      <c r="E51786" s="96"/>
    </row>
    <row r="51787">
      <c r="E51787" s="96"/>
    </row>
    <row r="51788">
      <c r="E51788" s="96"/>
    </row>
    <row r="51789">
      <c r="E51789" s="96"/>
    </row>
    <row r="51790">
      <c r="E51790" s="96"/>
    </row>
    <row r="51791">
      <c r="E51791" s="96"/>
    </row>
    <row r="51792">
      <c r="E51792" s="96"/>
    </row>
    <row r="51793">
      <c r="E51793" s="96"/>
    </row>
    <row r="51794">
      <c r="E51794" s="96"/>
    </row>
    <row r="51795">
      <c r="E51795" s="96"/>
    </row>
    <row r="51796">
      <c r="E51796" s="96"/>
    </row>
    <row r="51797">
      <c r="E51797" s="96"/>
    </row>
    <row r="51798">
      <c r="E51798" s="96"/>
    </row>
    <row r="51799">
      <c r="E51799" s="96"/>
    </row>
    <row r="51800">
      <c r="E51800" s="96"/>
    </row>
    <row r="51801">
      <c r="E51801" s="96"/>
    </row>
    <row r="51802">
      <c r="E51802" s="96"/>
    </row>
    <row r="51803">
      <c r="E51803" s="96"/>
    </row>
    <row r="51804">
      <c r="E51804" s="96"/>
    </row>
    <row r="51805">
      <c r="E51805" s="96"/>
    </row>
    <row r="51806">
      <c r="E51806" s="96"/>
    </row>
    <row r="51807">
      <c r="E51807" s="96"/>
    </row>
    <row r="51808">
      <c r="E51808" s="96"/>
    </row>
    <row r="51809">
      <c r="E51809" s="96"/>
    </row>
    <row r="51810">
      <c r="E51810" s="96"/>
    </row>
    <row r="51811">
      <c r="E51811" s="96"/>
    </row>
    <row r="51812">
      <c r="E51812" s="96"/>
    </row>
    <row r="51813">
      <c r="E51813" s="96"/>
    </row>
    <row r="51814">
      <c r="E51814" s="96"/>
    </row>
    <row r="51815">
      <c r="E51815" s="96"/>
    </row>
    <row r="51816">
      <c r="E51816" s="96"/>
    </row>
    <row r="51817">
      <c r="E51817" s="96"/>
    </row>
    <row r="51818">
      <c r="E51818" s="96"/>
    </row>
    <row r="51819">
      <c r="E51819" s="96"/>
    </row>
    <row r="51820">
      <c r="E51820" s="96"/>
    </row>
    <row r="51821">
      <c r="E51821" s="96"/>
    </row>
    <row r="51822">
      <c r="E51822" s="96"/>
    </row>
    <row r="51823">
      <c r="E51823" s="96"/>
    </row>
    <row r="51824">
      <c r="E51824" s="96"/>
    </row>
    <row r="51825">
      <c r="E51825" s="96"/>
    </row>
    <row r="51826">
      <c r="E51826" s="96"/>
    </row>
    <row r="51827">
      <c r="E51827" s="96"/>
    </row>
    <row r="51828">
      <c r="E51828" s="96"/>
    </row>
    <row r="51829">
      <c r="E51829" s="96"/>
    </row>
    <row r="51830">
      <c r="E51830" s="96"/>
    </row>
    <row r="51831">
      <c r="E51831" s="96"/>
    </row>
    <row r="51832">
      <c r="E51832" s="96"/>
    </row>
    <row r="51833">
      <c r="E51833" s="96"/>
    </row>
    <row r="51834">
      <c r="E51834" s="96"/>
    </row>
    <row r="51835">
      <c r="E51835" s="96"/>
    </row>
    <row r="51836">
      <c r="E51836" s="96"/>
    </row>
    <row r="51837">
      <c r="E51837" s="96"/>
    </row>
    <row r="51838">
      <c r="E51838" s="96"/>
    </row>
    <row r="51839">
      <c r="E51839" s="96"/>
    </row>
    <row r="51840">
      <c r="E51840" s="96"/>
    </row>
    <row r="51841">
      <c r="E51841" s="96"/>
    </row>
    <row r="51842">
      <c r="E51842" s="96"/>
    </row>
    <row r="51843">
      <c r="E51843" s="96"/>
    </row>
    <row r="51844">
      <c r="E51844" s="96"/>
    </row>
    <row r="51845">
      <c r="E51845" s="96"/>
    </row>
    <row r="51846">
      <c r="E51846" s="96"/>
    </row>
    <row r="51847">
      <c r="E51847" s="96"/>
    </row>
    <row r="51848">
      <c r="E51848" s="96"/>
    </row>
    <row r="51849">
      <c r="E51849" s="96"/>
    </row>
    <row r="51850">
      <c r="E51850" s="96"/>
    </row>
    <row r="51851">
      <c r="E51851" s="96"/>
    </row>
    <row r="51852">
      <c r="E51852" s="96"/>
    </row>
    <row r="51853">
      <c r="E51853" s="96"/>
    </row>
    <row r="51854">
      <c r="E51854" s="96"/>
    </row>
    <row r="51855">
      <c r="E51855" s="96"/>
    </row>
    <row r="51856">
      <c r="E51856" s="96"/>
    </row>
    <row r="51857">
      <c r="E51857" s="96"/>
    </row>
    <row r="51858">
      <c r="E51858" s="96"/>
    </row>
    <row r="51859">
      <c r="E51859" s="96"/>
    </row>
    <row r="51860">
      <c r="E51860" s="96"/>
    </row>
    <row r="51861">
      <c r="E51861" s="96"/>
    </row>
    <row r="51862">
      <c r="E51862" s="96"/>
    </row>
    <row r="51863">
      <c r="E51863" s="96"/>
    </row>
    <row r="51864">
      <c r="E51864" s="96"/>
    </row>
    <row r="51865">
      <c r="E51865" s="96"/>
    </row>
    <row r="51866">
      <c r="E51866" s="96"/>
    </row>
    <row r="51867">
      <c r="E51867" s="96"/>
    </row>
    <row r="51868">
      <c r="E51868" s="96"/>
    </row>
    <row r="51869">
      <c r="E51869" s="96"/>
    </row>
    <row r="51870">
      <c r="E51870" s="96"/>
    </row>
    <row r="51871">
      <c r="E51871" s="96"/>
    </row>
    <row r="51872">
      <c r="E51872" s="96"/>
    </row>
    <row r="51873">
      <c r="E51873" s="96"/>
    </row>
    <row r="51874">
      <c r="E51874" s="96"/>
    </row>
    <row r="51875">
      <c r="E51875" s="96"/>
    </row>
    <row r="51876">
      <c r="E51876" s="96"/>
    </row>
    <row r="51877">
      <c r="E51877" s="96"/>
    </row>
    <row r="51878">
      <c r="E51878" s="96"/>
    </row>
    <row r="51879">
      <c r="E51879" s="96"/>
    </row>
    <row r="51880">
      <c r="E51880" s="96"/>
    </row>
    <row r="51881">
      <c r="E51881" s="96"/>
    </row>
    <row r="51882">
      <c r="E51882" s="96"/>
    </row>
    <row r="51883">
      <c r="E51883" s="96"/>
    </row>
    <row r="51884">
      <c r="E51884" s="96"/>
    </row>
    <row r="51885">
      <c r="E51885" s="96"/>
    </row>
    <row r="51886">
      <c r="E51886" s="96"/>
    </row>
    <row r="51887">
      <c r="E51887" s="96"/>
    </row>
    <row r="51888">
      <c r="E51888" s="96"/>
    </row>
    <row r="51889">
      <c r="E51889" s="96"/>
    </row>
    <row r="51890">
      <c r="E51890" s="96"/>
    </row>
    <row r="51891">
      <c r="E51891" s="96"/>
    </row>
    <row r="51892">
      <c r="E51892" s="96"/>
    </row>
    <row r="51893">
      <c r="E51893" s="96"/>
    </row>
    <row r="51894">
      <c r="E51894" s="96"/>
    </row>
    <row r="51895">
      <c r="E51895" s="96"/>
    </row>
    <row r="51896">
      <c r="E51896" s="96"/>
    </row>
    <row r="51897">
      <c r="E51897" s="96"/>
    </row>
    <row r="51898">
      <c r="E51898" s="96"/>
    </row>
    <row r="51899">
      <c r="E51899" s="96"/>
    </row>
    <row r="51900">
      <c r="E51900" s="96"/>
    </row>
    <row r="51901">
      <c r="E51901" s="96"/>
    </row>
    <row r="51902">
      <c r="E51902" s="96"/>
    </row>
    <row r="51903">
      <c r="E51903" s="96"/>
    </row>
    <row r="51904">
      <c r="E51904" s="96"/>
    </row>
    <row r="51905">
      <c r="E51905" s="96"/>
    </row>
    <row r="51906">
      <c r="E51906" s="96"/>
    </row>
    <row r="51907">
      <c r="E51907" s="96"/>
    </row>
    <row r="51908">
      <c r="E51908" s="96"/>
    </row>
    <row r="51909">
      <c r="E51909" s="96"/>
    </row>
    <row r="51910">
      <c r="E51910" s="96"/>
    </row>
    <row r="51911">
      <c r="E51911" s="96"/>
    </row>
    <row r="51912">
      <c r="E51912" s="96"/>
    </row>
    <row r="51913">
      <c r="E51913" s="96"/>
    </row>
    <row r="51914">
      <c r="E51914" s="96"/>
    </row>
    <row r="51915">
      <c r="E51915" s="96"/>
    </row>
    <row r="51916">
      <c r="E51916" s="96"/>
    </row>
    <row r="51917">
      <c r="E51917" s="96"/>
    </row>
    <row r="51918">
      <c r="E51918" s="96"/>
    </row>
    <row r="51919">
      <c r="E51919" s="96"/>
    </row>
    <row r="51920">
      <c r="E51920" s="96"/>
    </row>
    <row r="51921">
      <c r="E51921" s="96"/>
    </row>
    <row r="51922">
      <c r="E51922" s="96"/>
    </row>
    <row r="51923">
      <c r="E51923" s="96"/>
    </row>
    <row r="51924">
      <c r="E51924" s="96"/>
    </row>
    <row r="51925">
      <c r="E51925" s="96"/>
    </row>
    <row r="51926">
      <c r="E51926" s="96"/>
    </row>
    <row r="51927">
      <c r="E51927" s="96"/>
    </row>
    <row r="51928">
      <c r="E51928" s="96"/>
    </row>
    <row r="51929">
      <c r="E51929" s="96"/>
    </row>
    <row r="51930">
      <c r="E51930" s="96"/>
    </row>
    <row r="51931">
      <c r="E51931" s="96"/>
    </row>
    <row r="51932">
      <c r="E51932" s="96"/>
    </row>
    <row r="51933">
      <c r="E51933" s="96"/>
    </row>
    <row r="51934">
      <c r="E51934" s="96"/>
    </row>
    <row r="51935">
      <c r="E51935" s="96"/>
    </row>
    <row r="51936">
      <c r="E51936" s="96"/>
    </row>
    <row r="51937">
      <c r="E51937" s="96"/>
    </row>
    <row r="51938">
      <c r="E51938" s="96"/>
    </row>
    <row r="51939">
      <c r="E51939" s="96"/>
    </row>
    <row r="51940">
      <c r="E51940" s="96"/>
    </row>
    <row r="51941">
      <c r="E51941" s="96"/>
    </row>
    <row r="51942">
      <c r="E51942" s="96"/>
    </row>
    <row r="51943">
      <c r="E51943" s="96"/>
    </row>
    <row r="51944">
      <c r="E51944" s="96"/>
    </row>
    <row r="51945">
      <c r="E51945" s="96"/>
    </row>
    <row r="51946">
      <c r="E51946" s="96"/>
    </row>
    <row r="51947">
      <c r="E51947" s="96"/>
    </row>
    <row r="51948">
      <c r="E51948" s="96"/>
    </row>
    <row r="51949">
      <c r="E51949" s="96"/>
    </row>
    <row r="51950">
      <c r="E51950" s="96"/>
    </row>
    <row r="51951">
      <c r="E51951" s="96"/>
    </row>
    <row r="51952">
      <c r="E51952" s="96"/>
    </row>
    <row r="51953">
      <c r="E51953" s="96"/>
    </row>
    <row r="51954">
      <c r="E51954" s="96"/>
    </row>
    <row r="51955">
      <c r="E51955" s="96"/>
    </row>
    <row r="51956">
      <c r="E51956" s="96"/>
    </row>
    <row r="51957">
      <c r="E51957" s="96"/>
    </row>
    <row r="51958">
      <c r="E51958" s="96"/>
    </row>
    <row r="51959">
      <c r="E51959" s="96"/>
    </row>
    <row r="51960">
      <c r="E51960" s="96"/>
    </row>
    <row r="51961">
      <c r="E51961" s="96"/>
    </row>
    <row r="51962">
      <c r="E51962" s="96"/>
    </row>
    <row r="51963">
      <c r="E51963" s="96"/>
    </row>
    <row r="51964">
      <c r="E51964" s="96"/>
    </row>
    <row r="51965">
      <c r="E51965" s="96"/>
    </row>
    <row r="51966">
      <c r="E51966" s="96"/>
    </row>
    <row r="51967">
      <c r="E51967" s="96"/>
    </row>
    <row r="51968">
      <c r="E51968" s="96"/>
    </row>
    <row r="51969">
      <c r="E51969" s="96"/>
    </row>
    <row r="51970">
      <c r="E51970" s="96"/>
    </row>
    <row r="51971">
      <c r="E51971" s="96"/>
    </row>
    <row r="51972">
      <c r="E51972" s="96"/>
    </row>
    <row r="51973">
      <c r="E51973" s="96"/>
    </row>
    <row r="51974">
      <c r="E51974" s="96"/>
    </row>
    <row r="51975">
      <c r="E51975" s="96"/>
    </row>
    <row r="51976">
      <c r="E51976" s="96"/>
    </row>
    <row r="51977">
      <c r="E51977" s="96"/>
    </row>
    <row r="51978">
      <c r="E51978" s="96"/>
    </row>
    <row r="51979">
      <c r="E51979" s="96"/>
    </row>
    <row r="51980">
      <c r="E51980" s="96"/>
    </row>
    <row r="51981">
      <c r="E51981" s="96"/>
    </row>
    <row r="51982">
      <c r="E51982" s="96"/>
    </row>
    <row r="51983">
      <c r="E51983" s="96"/>
    </row>
    <row r="51984">
      <c r="E51984" s="96"/>
    </row>
    <row r="51985">
      <c r="E51985" s="96"/>
    </row>
    <row r="51986">
      <c r="E51986" s="96"/>
    </row>
    <row r="51987">
      <c r="E51987" s="96"/>
    </row>
    <row r="51988">
      <c r="E51988" s="96"/>
    </row>
    <row r="51989">
      <c r="E51989" s="96"/>
    </row>
    <row r="51990">
      <c r="E51990" s="96"/>
    </row>
    <row r="51991">
      <c r="E51991" s="96"/>
    </row>
    <row r="51992">
      <c r="E51992" s="96"/>
    </row>
    <row r="51993">
      <c r="E51993" s="96"/>
    </row>
    <row r="51994">
      <c r="E51994" s="96"/>
    </row>
    <row r="51995">
      <c r="E51995" s="96"/>
    </row>
    <row r="51996">
      <c r="E51996" s="96"/>
    </row>
    <row r="51997">
      <c r="E51997" s="96"/>
    </row>
    <row r="51998">
      <c r="E51998" s="96"/>
    </row>
    <row r="51999">
      <c r="E51999" s="96"/>
    </row>
    <row r="52000">
      <c r="E52000" s="96"/>
    </row>
    <row r="52001">
      <c r="E52001" s="96"/>
    </row>
    <row r="52002">
      <c r="E52002" s="96"/>
    </row>
    <row r="52003">
      <c r="E52003" s="96"/>
    </row>
    <row r="52004">
      <c r="E52004" s="96"/>
    </row>
    <row r="52005">
      <c r="E52005" s="96"/>
    </row>
    <row r="52006">
      <c r="E52006" s="96"/>
    </row>
    <row r="52007">
      <c r="E52007" s="96"/>
    </row>
    <row r="52008">
      <c r="E52008" s="96"/>
    </row>
    <row r="52009">
      <c r="E52009" s="96"/>
    </row>
    <row r="52010">
      <c r="E52010" s="96"/>
    </row>
    <row r="52011">
      <c r="E52011" s="96"/>
    </row>
    <row r="52012">
      <c r="E52012" s="96"/>
    </row>
    <row r="52013">
      <c r="E52013" s="96"/>
    </row>
    <row r="52014">
      <c r="E52014" s="96"/>
    </row>
    <row r="52015">
      <c r="E52015" s="96"/>
    </row>
    <row r="52016">
      <c r="E52016" s="96"/>
    </row>
    <row r="52017">
      <c r="E52017" s="96"/>
    </row>
    <row r="52018">
      <c r="E52018" s="96"/>
    </row>
    <row r="52019">
      <c r="E52019" s="96"/>
    </row>
    <row r="52020">
      <c r="E52020" s="96"/>
    </row>
    <row r="52021">
      <c r="E52021" s="96"/>
    </row>
    <row r="52022">
      <c r="E52022" s="96"/>
    </row>
    <row r="52023">
      <c r="E52023" s="96"/>
    </row>
    <row r="52024">
      <c r="E52024" s="96"/>
    </row>
    <row r="52025">
      <c r="E52025" s="96"/>
    </row>
    <row r="52026">
      <c r="E52026" s="96"/>
    </row>
    <row r="52027">
      <c r="E52027" s="96"/>
    </row>
    <row r="52028">
      <c r="E52028" s="96"/>
    </row>
    <row r="52029">
      <c r="E52029" s="96"/>
    </row>
    <row r="52030">
      <c r="E52030" s="96"/>
    </row>
    <row r="52031">
      <c r="E52031" s="96"/>
    </row>
    <row r="52032">
      <c r="E52032" s="96"/>
    </row>
    <row r="52033">
      <c r="E52033" s="96"/>
    </row>
    <row r="52034">
      <c r="E52034" s="96"/>
    </row>
    <row r="52035">
      <c r="E52035" s="96"/>
    </row>
    <row r="52036">
      <c r="E52036" s="96"/>
    </row>
    <row r="52037">
      <c r="E52037" s="96"/>
    </row>
    <row r="52038">
      <c r="E52038" s="96"/>
    </row>
    <row r="52039">
      <c r="E52039" s="96"/>
    </row>
    <row r="52040">
      <c r="E52040" s="96"/>
    </row>
    <row r="52041">
      <c r="E52041" s="96"/>
    </row>
    <row r="52042">
      <c r="E52042" s="96"/>
    </row>
    <row r="52043">
      <c r="E52043" s="96"/>
    </row>
    <row r="52044">
      <c r="E52044" s="96"/>
    </row>
    <row r="52045">
      <c r="E52045" s="96"/>
    </row>
    <row r="52046">
      <c r="E52046" s="96"/>
    </row>
    <row r="52047">
      <c r="E52047" s="96"/>
    </row>
    <row r="52048">
      <c r="E52048" s="96"/>
    </row>
    <row r="52049">
      <c r="E52049" s="96"/>
    </row>
    <row r="52050">
      <c r="E52050" s="96"/>
    </row>
    <row r="52051">
      <c r="E52051" s="96"/>
    </row>
    <row r="52052">
      <c r="E52052" s="96"/>
    </row>
    <row r="52053">
      <c r="E52053" s="96"/>
    </row>
    <row r="52054">
      <c r="E52054" s="96"/>
    </row>
    <row r="52055">
      <c r="E52055" s="96"/>
    </row>
    <row r="52056">
      <c r="E52056" s="96"/>
    </row>
    <row r="52057">
      <c r="E52057" s="96"/>
    </row>
    <row r="52058">
      <c r="E52058" s="96"/>
    </row>
    <row r="52059">
      <c r="E52059" s="96"/>
    </row>
    <row r="52060">
      <c r="E52060" s="96"/>
    </row>
    <row r="52061">
      <c r="E52061" s="96"/>
    </row>
    <row r="52062">
      <c r="E52062" s="96"/>
    </row>
    <row r="52063">
      <c r="E52063" s="96"/>
    </row>
    <row r="52064">
      <c r="E52064" s="96"/>
    </row>
    <row r="52065">
      <c r="E52065" s="96"/>
    </row>
    <row r="52066">
      <c r="E52066" s="96"/>
    </row>
    <row r="52067">
      <c r="E52067" s="96"/>
    </row>
    <row r="52068">
      <c r="E52068" s="96"/>
    </row>
    <row r="52069">
      <c r="E52069" s="96"/>
    </row>
    <row r="52070">
      <c r="E52070" s="96"/>
    </row>
    <row r="52071">
      <c r="E52071" s="96"/>
    </row>
    <row r="52072">
      <c r="E52072" s="96"/>
    </row>
    <row r="52073">
      <c r="E52073" s="96"/>
    </row>
    <row r="52074">
      <c r="E52074" s="96"/>
    </row>
    <row r="52075">
      <c r="E52075" s="96"/>
    </row>
    <row r="52076">
      <c r="E52076" s="96"/>
    </row>
    <row r="52077">
      <c r="E52077" s="96"/>
    </row>
    <row r="52078">
      <c r="E52078" s="96"/>
    </row>
    <row r="52079">
      <c r="E52079" s="96"/>
    </row>
    <row r="52080">
      <c r="E52080" s="96"/>
    </row>
    <row r="52081">
      <c r="E52081" s="96"/>
    </row>
    <row r="52082">
      <c r="E52082" s="96"/>
    </row>
    <row r="52083">
      <c r="E52083" s="96"/>
    </row>
    <row r="52084">
      <c r="E52084" s="96"/>
    </row>
    <row r="52085">
      <c r="E52085" s="96"/>
    </row>
    <row r="52086">
      <c r="E52086" s="96"/>
    </row>
    <row r="52087">
      <c r="E52087" s="96"/>
    </row>
    <row r="52088">
      <c r="E52088" s="96"/>
    </row>
    <row r="52089">
      <c r="E52089" s="96"/>
    </row>
    <row r="52090">
      <c r="E52090" s="96"/>
    </row>
    <row r="52091">
      <c r="E52091" s="96"/>
    </row>
    <row r="52092">
      <c r="E52092" s="96"/>
    </row>
    <row r="52093">
      <c r="E52093" s="96"/>
    </row>
    <row r="52094">
      <c r="E52094" s="96"/>
    </row>
    <row r="52095">
      <c r="E52095" s="96"/>
    </row>
    <row r="52096">
      <c r="E52096" s="96"/>
    </row>
    <row r="52097">
      <c r="E52097" s="96"/>
    </row>
    <row r="52098">
      <c r="E52098" s="96"/>
    </row>
    <row r="52099">
      <c r="E52099" s="96"/>
    </row>
    <row r="52100">
      <c r="E52100" s="96"/>
    </row>
    <row r="52101">
      <c r="E52101" s="96"/>
    </row>
    <row r="52102">
      <c r="E52102" s="96"/>
    </row>
    <row r="52103">
      <c r="E52103" s="96"/>
    </row>
    <row r="52104">
      <c r="E52104" s="96"/>
    </row>
    <row r="52105">
      <c r="E52105" s="96"/>
    </row>
    <row r="52106">
      <c r="E52106" s="96"/>
    </row>
    <row r="52107">
      <c r="E52107" s="96"/>
    </row>
    <row r="52108">
      <c r="E52108" s="96"/>
    </row>
    <row r="52109">
      <c r="E52109" s="96"/>
    </row>
    <row r="52110">
      <c r="E52110" s="96"/>
    </row>
    <row r="52111">
      <c r="E52111" s="96"/>
    </row>
    <row r="52112">
      <c r="E52112" s="96"/>
    </row>
    <row r="52113">
      <c r="E52113" s="96"/>
    </row>
    <row r="52114">
      <c r="E52114" s="96"/>
    </row>
    <row r="52115">
      <c r="E52115" s="96"/>
    </row>
    <row r="52116">
      <c r="E52116" s="96"/>
    </row>
    <row r="52117">
      <c r="E52117" s="96"/>
    </row>
    <row r="52118">
      <c r="E52118" s="96"/>
    </row>
    <row r="52119">
      <c r="E52119" s="96"/>
    </row>
    <row r="52120">
      <c r="E52120" s="96"/>
    </row>
    <row r="52121">
      <c r="E52121" s="96"/>
    </row>
    <row r="52122">
      <c r="E52122" s="96"/>
    </row>
    <row r="52123">
      <c r="E52123" s="96"/>
    </row>
    <row r="52124">
      <c r="E52124" s="96"/>
    </row>
    <row r="52125">
      <c r="E52125" s="96"/>
    </row>
    <row r="52126">
      <c r="E52126" s="96"/>
    </row>
    <row r="52127">
      <c r="E52127" s="96"/>
    </row>
    <row r="52128">
      <c r="E52128" s="96"/>
    </row>
    <row r="52129">
      <c r="E52129" s="96"/>
    </row>
    <row r="52130">
      <c r="E52130" s="96"/>
    </row>
    <row r="52131">
      <c r="E52131" s="96"/>
    </row>
    <row r="52132">
      <c r="E52132" s="96"/>
    </row>
    <row r="52133">
      <c r="E52133" s="96"/>
    </row>
    <row r="52134">
      <c r="E52134" s="96"/>
    </row>
    <row r="52135">
      <c r="E52135" s="96"/>
    </row>
    <row r="52136">
      <c r="E52136" s="96"/>
    </row>
    <row r="52137">
      <c r="E52137" s="96"/>
    </row>
    <row r="52138">
      <c r="E52138" s="96"/>
    </row>
    <row r="52139">
      <c r="E52139" s="96"/>
    </row>
    <row r="52140">
      <c r="E52140" s="96"/>
    </row>
    <row r="52141">
      <c r="E52141" s="96"/>
    </row>
    <row r="52142">
      <c r="E52142" s="96"/>
    </row>
    <row r="52143">
      <c r="E52143" s="96"/>
    </row>
    <row r="52144">
      <c r="E52144" s="96"/>
    </row>
    <row r="52145">
      <c r="E52145" s="96"/>
    </row>
    <row r="52146">
      <c r="E52146" s="96"/>
    </row>
    <row r="52147">
      <c r="E52147" s="96"/>
    </row>
    <row r="52148">
      <c r="E52148" s="96"/>
    </row>
    <row r="52149">
      <c r="E52149" s="96"/>
    </row>
    <row r="52150">
      <c r="E52150" s="96"/>
    </row>
    <row r="52151">
      <c r="E52151" s="96"/>
    </row>
    <row r="52152">
      <c r="E52152" s="96"/>
    </row>
    <row r="52153">
      <c r="E52153" s="96"/>
    </row>
    <row r="52154">
      <c r="E52154" s="96"/>
    </row>
    <row r="52155">
      <c r="E52155" s="96"/>
    </row>
    <row r="52156">
      <c r="E52156" s="96"/>
    </row>
    <row r="52157">
      <c r="E52157" s="96"/>
    </row>
    <row r="52158">
      <c r="E52158" s="96"/>
    </row>
    <row r="52159">
      <c r="E52159" s="96"/>
    </row>
    <row r="52160">
      <c r="E52160" s="96"/>
    </row>
    <row r="52161">
      <c r="E52161" s="96"/>
    </row>
    <row r="52162">
      <c r="E52162" s="96"/>
    </row>
    <row r="52163">
      <c r="E52163" s="96"/>
    </row>
    <row r="52164">
      <c r="E52164" s="96"/>
    </row>
    <row r="52165">
      <c r="E52165" s="96"/>
    </row>
    <row r="52166">
      <c r="E52166" s="96"/>
    </row>
    <row r="52167">
      <c r="E52167" s="96"/>
    </row>
    <row r="52168">
      <c r="E52168" s="96"/>
    </row>
    <row r="52169">
      <c r="E52169" s="96"/>
    </row>
    <row r="52170">
      <c r="E52170" s="96"/>
    </row>
    <row r="52171">
      <c r="E52171" s="96"/>
    </row>
    <row r="52172">
      <c r="E52172" s="96"/>
    </row>
    <row r="52173">
      <c r="E52173" s="96"/>
    </row>
    <row r="52174">
      <c r="E52174" s="96"/>
    </row>
    <row r="52175">
      <c r="E52175" s="96"/>
    </row>
    <row r="52176">
      <c r="E52176" s="96"/>
    </row>
    <row r="52177">
      <c r="E52177" s="96"/>
    </row>
    <row r="52178">
      <c r="E52178" s="96"/>
    </row>
    <row r="52179">
      <c r="E52179" s="96"/>
    </row>
    <row r="52180">
      <c r="E52180" s="96"/>
    </row>
    <row r="52181">
      <c r="E52181" s="96"/>
    </row>
    <row r="52182">
      <c r="E52182" s="96"/>
    </row>
    <row r="52183">
      <c r="E52183" s="96"/>
    </row>
    <row r="52184">
      <c r="E52184" s="96"/>
    </row>
    <row r="52185">
      <c r="E52185" s="96"/>
    </row>
    <row r="52186">
      <c r="E52186" s="96"/>
    </row>
    <row r="52187">
      <c r="E52187" s="96"/>
    </row>
    <row r="52188">
      <c r="E52188" s="96"/>
    </row>
    <row r="52189">
      <c r="E52189" s="96"/>
    </row>
    <row r="52190">
      <c r="E52190" s="96"/>
    </row>
    <row r="52191">
      <c r="E52191" s="96"/>
    </row>
    <row r="52192">
      <c r="E52192" s="96"/>
    </row>
    <row r="52193">
      <c r="E52193" s="96"/>
    </row>
    <row r="52194">
      <c r="E52194" s="96"/>
    </row>
    <row r="52195">
      <c r="E52195" s="96"/>
    </row>
    <row r="52196">
      <c r="E52196" s="96"/>
    </row>
    <row r="52197">
      <c r="E52197" s="96"/>
    </row>
    <row r="52198">
      <c r="E52198" s="96"/>
    </row>
    <row r="52199">
      <c r="E52199" s="96"/>
    </row>
    <row r="52200">
      <c r="E52200" s="96"/>
    </row>
    <row r="52201">
      <c r="E52201" s="96"/>
    </row>
    <row r="52202">
      <c r="E52202" s="96"/>
    </row>
    <row r="52203">
      <c r="E52203" s="96"/>
    </row>
    <row r="52204">
      <c r="E52204" s="96"/>
    </row>
    <row r="52205">
      <c r="E52205" s="96"/>
    </row>
    <row r="52206">
      <c r="E52206" s="96"/>
    </row>
    <row r="52207">
      <c r="E52207" s="96"/>
    </row>
    <row r="52208">
      <c r="E52208" s="96"/>
    </row>
    <row r="52209">
      <c r="E52209" s="96"/>
    </row>
    <row r="52210">
      <c r="E52210" s="96"/>
    </row>
    <row r="52211">
      <c r="E52211" s="96"/>
    </row>
    <row r="52212">
      <c r="E52212" s="96"/>
    </row>
    <row r="52213">
      <c r="E52213" s="96"/>
    </row>
    <row r="52214">
      <c r="E52214" s="96"/>
    </row>
    <row r="52215">
      <c r="E52215" s="96"/>
    </row>
    <row r="52216">
      <c r="E52216" s="96"/>
    </row>
    <row r="52217">
      <c r="E52217" s="96"/>
    </row>
    <row r="52218">
      <c r="E52218" s="96"/>
    </row>
    <row r="52219">
      <c r="E52219" s="96"/>
    </row>
    <row r="52220">
      <c r="E52220" s="96"/>
    </row>
    <row r="52221">
      <c r="E52221" s="96"/>
    </row>
    <row r="52222">
      <c r="E52222" s="96"/>
    </row>
    <row r="52223">
      <c r="E52223" s="96"/>
    </row>
    <row r="52224">
      <c r="E52224" s="96"/>
    </row>
    <row r="52225">
      <c r="E52225" s="96"/>
    </row>
    <row r="52226">
      <c r="E52226" s="96"/>
    </row>
    <row r="52227">
      <c r="E52227" s="96"/>
    </row>
    <row r="52228">
      <c r="E52228" s="96"/>
    </row>
    <row r="52229">
      <c r="E52229" s="96"/>
    </row>
    <row r="52230">
      <c r="E52230" s="96"/>
    </row>
    <row r="52231">
      <c r="E52231" s="96"/>
    </row>
    <row r="52232">
      <c r="E52232" s="96"/>
    </row>
    <row r="52233">
      <c r="E52233" s="96"/>
    </row>
    <row r="52234">
      <c r="E52234" s="96"/>
    </row>
    <row r="52235">
      <c r="E52235" s="96"/>
    </row>
    <row r="52236">
      <c r="E52236" s="96"/>
    </row>
    <row r="52237">
      <c r="E52237" s="96"/>
    </row>
    <row r="52238">
      <c r="E52238" s="96"/>
    </row>
    <row r="52239">
      <c r="E52239" s="96"/>
    </row>
    <row r="52240">
      <c r="E52240" s="96"/>
    </row>
    <row r="52241">
      <c r="E52241" s="96"/>
    </row>
    <row r="52242">
      <c r="E52242" s="96"/>
    </row>
    <row r="52243">
      <c r="E52243" s="96"/>
    </row>
    <row r="52244">
      <c r="E52244" s="96"/>
    </row>
    <row r="52245">
      <c r="E52245" s="96"/>
    </row>
    <row r="52246">
      <c r="E52246" s="96"/>
    </row>
    <row r="52247">
      <c r="E52247" s="96"/>
    </row>
    <row r="52248">
      <c r="E52248" s="96"/>
    </row>
    <row r="52249">
      <c r="E52249" s="96"/>
    </row>
    <row r="52250">
      <c r="E52250" s="96"/>
    </row>
    <row r="52251">
      <c r="E52251" s="96"/>
    </row>
    <row r="52252">
      <c r="E52252" s="96"/>
    </row>
    <row r="52253">
      <c r="E52253" s="96"/>
    </row>
    <row r="52254">
      <c r="E52254" s="96"/>
    </row>
    <row r="52255">
      <c r="E52255" s="96"/>
    </row>
    <row r="52256">
      <c r="E52256" s="96"/>
    </row>
    <row r="52257">
      <c r="E52257" s="96"/>
    </row>
    <row r="52258">
      <c r="E52258" s="96"/>
    </row>
    <row r="52259">
      <c r="E52259" s="96"/>
    </row>
    <row r="52260">
      <c r="E52260" s="96"/>
    </row>
    <row r="52261">
      <c r="E52261" s="96"/>
    </row>
    <row r="52262">
      <c r="E52262" s="96"/>
    </row>
    <row r="52263">
      <c r="E52263" s="96"/>
    </row>
    <row r="52264">
      <c r="E52264" s="96"/>
    </row>
    <row r="52265">
      <c r="E52265" s="96"/>
    </row>
    <row r="52266">
      <c r="E52266" s="96"/>
    </row>
    <row r="52267">
      <c r="E52267" s="96"/>
    </row>
    <row r="52268">
      <c r="E52268" s="96"/>
    </row>
    <row r="52269">
      <c r="E52269" s="96"/>
    </row>
    <row r="52270">
      <c r="E52270" s="96"/>
    </row>
    <row r="52271">
      <c r="E52271" s="96"/>
    </row>
    <row r="52272">
      <c r="E52272" s="96"/>
    </row>
    <row r="52273">
      <c r="E52273" s="96"/>
    </row>
    <row r="52274">
      <c r="E52274" s="96"/>
    </row>
    <row r="52275">
      <c r="E52275" s="96"/>
    </row>
    <row r="52276">
      <c r="E52276" s="96"/>
    </row>
    <row r="52277">
      <c r="E52277" s="96"/>
    </row>
    <row r="52278">
      <c r="E52278" s="96"/>
    </row>
    <row r="52279">
      <c r="E52279" s="96"/>
    </row>
    <row r="52280">
      <c r="E52280" s="96"/>
    </row>
    <row r="52281">
      <c r="E52281" s="96"/>
    </row>
    <row r="52282">
      <c r="E52282" s="96"/>
    </row>
    <row r="52283">
      <c r="E52283" s="96"/>
    </row>
    <row r="52284">
      <c r="E52284" s="96"/>
    </row>
    <row r="52285">
      <c r="E52285" s="96"/>
    </row>
    <row r="52286">
      <c r="E52286" s="96"/>
    </row>
    <row r="52287">
      <c r="E52287" s="96"/>
    </row>
    <row r="52288">
      <c r="E52288" s="96"/>
    </row>
    <row r="52289">
      <c r="E52289" s="96"/>
    </row>
    <row r="52290">
      <c r="E52290" s="96"/>
    </row>
    <row r="52291">
      <c r="E52291" s="96"/>
    </row>
    <row r="52292">
      <c r="E52292" s="96"/>
    </row>
    <row r="52293">
      <c r="E52293" s="96"/>
    </row>
    <row r="52294">
      <c r="E52294" s="96"/>
    </row>
    <row r="52295">
      <c r="E52295" s="96"/>
    </row>
    <row r="52296">
      <c r="E52296" s="96"/>
    </row>
    <row r="52297">
      <c r="E52297" s="96"/>
    </row>
    <row r="52298">
      <c r="E52298" s="96"/>
    </row>
    <row r="52299">
      <c r="E52299" s="96"/>
    </row>
    <row r="52300">
      <c r="E52300" s="96"/>
    </row>
    <row r="52301">
      <c r="E52301" s="96"/>
    </row>
    <row r="52302">
      <c r="E52302" s="96"/>
    </row>
    <row r="52303">
      <c r="E52303" s="96"/>
    </row>
    <row r="52304">
      <c r="E52304" s="96"/>
    </row>
    <row r="52305">
      <c r="E52305" s="96"/>
    </row>
    <row r="52306">
      <c r="E52306" s="96"/>
    </row>
    <row r="52307">
      <c r="E52307" s="96"/>
    </row>
    <row r="52308">
      <c r="E52308" s="96"/>
    </row>
    <row r="52309">
      <c r="E52309" s="96"/>
    </row>
    <row r="52310">
      <c r="E52310" s="96"/>
    </row>
    <row r="52311">
      <c r="E52311" s="96"/>
    </row>
    <row r="52312">
      <c r="E52312" s="96"/>
    </row>
    <row r="52313">
      <c r="E52313" s="96"/>
    </row>
    <row r="52314">
      <c r="E52314" s="96"/>
    </row>
    <row r="52315">
      <c r="E52315" s="96"/>
    </row>
    <row r="52316">
      <c r="E52316" s="96"/>
    </row>
    <row r="52317">
      <c r="E52317" s="96"/>
    </row>
    <row r="52318">
      <c r="E52318" s="96"/>
    </row>
    <row r="52319">
      <c r="E52319" s="96"/>
    </row>
    <row r="52320">
      <c r="E52320" s="96"/>
    </row>
    <row r="52321">
      <c r="E52321" s="96"/>
    </row>
    <row r="52322">
      <c r="E52322" s="96"/>
    </row>
    <row r="52323">
      <c r="E52323" s="96"/>
    </row>
    <row r="52324">
      <c r="E52324" s="96"/>
    </row>
    <row r="52325">
      <c r="E52325" s="96"/>
    </row>
    <row r="52326">
      <c r="E52326" s="96"/>
    </row>
    <row r="52327">
      <c r="E52327" s="96"/>
    </row>
    <row r="52328">
      <c r="E52328" s="96"/>
    </row>
    <row r="52329">
      <c r="E52329" s="96"/>
    </row>
    <row r="52330">
      <c r="E52330" s="96"/>
    </row>
    <row r="52331">
      <c r="E52331" s="96"/>
    </row>
    <row r="52332">
      <c r="E52332" s="96"/>
    </row>
    <row r="52333">
      <c r="E52333" s="96"/>
    </row>
    <row r="52334">
      <c r="E52334" s="96"/>
    </row>
    <row r="52335">
      <c r="E52335" s="96"/>
    </row>
    <row r="52336">
      <c r="E52336" s="96"/>
    </row>
    <row r="52337">
      <c r="E52337" s="96"/>
    </row>
    <row r="52338">
      <c r="E52338" s="96"/>
    </row>
    <row r="52339">
      <c r="E52339" s="96"/>
    </row>
    <row r="52340">
      <c r="E52340" s="96"/>
    </row>
    <row r="52341">
      <c r="E52341" s="96"/>
    </row>
    <row r="52342">
      <c r="E52342" s="96"/>
    </row>
    <row r="52343">
      <c r="E52343" s="96"/>
    </row>
    <row r="52344">
      <c r="E52344" s="96"/>
    </row>
    <row r="52345">
      <c r="E52345" s="96"/>
    </row>
    <row r="52346">
      <c r="E52346" s="96"/>
    </row>
    <row r="52347">
      <c r="E52347" s="96"/>
    </row>
    <row r="52348">
      <c r="E52348" s="96"/>
    </row>
    <row r="52349">
      <c r="E52349" s="96"/>
    </row>
    <row r="52350">
      <c r="E52350" s="96"/>
    </row>
    <row r="52351">
      <c r="E52351" s="96"/>
    </row>
    <row r="52352">
      <c r="E52352" s="96"/>
    </row>
    <row r="52353">
      <c r="E52353" s="96"/>
    </row>
    <row r="52354">
      <c r="E52354" s="96"/>
    </row>
    <row r="52355">
      <c r="E52355" s="96"/>
    </row>
    <row r="52356">
      <c r="E52356" s="96"/>
    </row>
    <row r="52357">
      <c r="E52357" s="96"/>
    </row>
    <row r="52358">
      <c r="E52358" s="96"/>
    </row>
    <row r="52359">
      <c r="E52359" s="96"/>
    </row>
    <row r="52360">
      <c r="E52360" s="96"/>
    </row>
    <row r="52361">
      <c r="E52361" s="96"/>
    </row>
    <row r="52362">
      <c r="E52362" s="96"/>
    </row>
    <row r="52363">
      <c r="E52363" s="96"/>
    </row>
    <row r="52364">
      <c r="E52364" s="96"/>
    </row>
    <row r="52365">
      <c r="E52365" s="96"/>
    </row>
    <row r="52366">
      <c r="E52366" s="96"/>
    </row>
    <row r="52367">
      <c r="E52367" s="96"/>
    </row>
    <row r="52368">
      <c r="E52368" s="96"/>
    </row>
    <row r="52369">
      <c r="E52369" s="96"/>
    </row>
    <row r="52370">
      <c r="E52370" s="96"/>
    </row>
    <row r="52371">
      <c r="E52371" s="96"/>
    </row>
    <row r="52372">
      <c r="E52372" s="96"/>
    </row>
    <row r="52373">
      <c r="E52373" s="96"/>
    </row>
    <row r="52374">
      <c r="E52374" s="96"/>
    </row>
    <row r="52375">
      <c r="E52375" s="96"/>
    </row>
    <row r="52376">
      <c r="E52376" s="96"/>
    </row>
    <row r="52377">
      <c r="E52377" s="96"/>
    </row>
    <row r="52378">
      <c r="E52378" s="96"/>
    </row>
    <row r="52379">
      <c r="E52379" s="96"/>
    </row>
    <row r="52380">
      <c r="E52380" s="96"/>
    </row>
    <row r="52381">
      <c r="E52381" s="96"/>
    </row>
    <row r="52382">
      <c r="E52382" s="96"/>
    </row>
    <row r="52383">
      <c r="E52383" s="96"/>
    </row>
    <row r="52384">
      <c r="E52384" s="96"/>
    </row>
    <row r="52385">
      <c r="E52385" s="96"/>
    </row>
    <row r="52386">
      <c r="E52386" s="96"/>
    </row>
    <row r="52387">
      <c r="E52387" s="96"/>
    </row>
    <row r="52388">
      <c r="E52388" s="96"/>
    </row>
    <row r="52389">
      <c r="E52389" s="96"/>
    </row>
    <row r="52390">
      <c r="E52390" s="96"/>
    </row>
    <row r="52391">
      <c r="E52391" s="96"/>
    </row>
    <row r="52392">
      <c r="E52392" s="96"/>
    </row>
    <row r="52393">
      <c r="E52393" s="96"/>
    </row>
    <row r="52394">
      <c r="E52394" s="96"/>
    </row>
    <row r="52395">
      <c r="E52395" s="96"/>
    </row>
    <row r="52396">
      <c r="E52396" s="96"/>
    </row>
    <row r="52397">
      <c r="E52397" s="96"/>
    </row>
    <row r="52398">
      <c r="E52398" s="96"/>
    </row>
    <row r="52399">
      <c r="E52399" s="96"/>
    </row>
    <row r="52400">
      <c r="E52400" s="96"/>
    </row>
    <row r="52401">
      <c r="E52401" s="96"/>
    </row>
    <row r="52402">
      <c r="E52402" s="96"/>
    </row>
    <row r="52403">
      <c r="E52403" s="96"/>
    </row>
    <row r="52404">
      <c r="E52404" s="96"/>
    </row>
    <row r="52405">
      <c r="E52405" s="96"/>
    </row>
    <row r="52406">
      <c r="E52406" s="96"/>
    </row>
    <row r="52407">
      <c r="E52407" s="96"/>
    </row>
    <row r="52408">
      <c r="E52408" s="96"/>
    </row>
    <row r="52409">
      <c r="E52409" s="96"/>
    </row>
    <row r="52410">
      <c r="E52410" s="96"/>
    </row>
    <row r="52411">
      <c r="E52411" s="96"/>
    </row>
    <row r="52412">
      <c r="E52412" s="96"/>
    </row>
    <row r="52413">
      <c r="E52413" s="96"/>
    </row>
    <row r="52414">
      <c r="E52414" s="96"/>
    </row>
    <row r="52415">
      <c r="E52415" s="96"/>
    </row>
    <row r="52416">
      <c r="E52416" s="96"/>
    </row>
    <row r="52417">
      <c r="E52417" s="96"/>
    </row>
    <row r="52418">
      <c r="E52418" s="96"/>
    </row>
    <row r="52419">
      <c r="E52419" s="96"/>
    </row>
    <row r="52420">
      <c r="E52420" s="96"/>
    </row>
    <row r="52421">
      <c r="E52421" s="96"/>
    </row>
    <row r="52422">
      <c r="E52422" s="96"/>
    </row>
    <row r="52423">
      <c r="E52423" s="96"/>
    </row>
    <row r="52424">
      <c r="E52424" s="96"/>
    </row>
    <row r="52425">
      <c r="E52425" s="96"/>
    </row>
    <row r="52426">
      <c r="E52426" s="96"/>
    </row>
    <row r="52427">
      <c r="E52427" s="96"/>
    </row>
    <row r="52428">
      <c r="E52428" s="96"/>
    </row>
    <row r="52429">
      <c r="E52429" s="96"/>
    </row>
    <row r="52430">
      <c r="E52430" s="96"/>
    </row>
    <row r="52431">
      <c r="E52431" s="96"/>
    </row>
    <row r="52432">
      <c r="E52432" s="96"/>
    </row>
    <row r="52433">
      <c r="E52433" s="96"/>
    </row>
    <row r="52434">
      <c r="E52434" s="96"/>
    </row>
    <row r="52435">
      <c r="E52435" s="96"/>
    </row>
    <row r="52436">
      <c r="E52436" s="96"/>
    </row>
    <row r="52437">
      <c r="E52437" s="96"/>
    </row>
    <row r="52438">
      <c r="E52438" s="96"/>
    </row>
    <row r="52439">
      <c r="E52439" s="96"/>
    </row>
    <row r="52440">
      <c r="E52440" s="96"/>
    </row>
    <row r="52441">
      <c r="E52441" s="96"/>
    </row>
    <row r="52442">
      <c r="E52442" s="96"/>
    </row>
    <row r="52443">
      <c r="E52443" s="96"/>
    </row>
    <row r="52444">
      <c r="E52444" s="96"/>
    </row>
    <row r="52445">
      <c r="E52445" s="96"/>
    </row>
    <row r="52446">
      <c r="E52446" s="96"/>
    </row>
    <row r="52447">
      <c r="E52447" s="96"/>
    </row>
    <row r="52448">
      <c r="E52448" s="96"/>
    </row>
    <row r="52449">
      <c r="E52449" s="96"/>
    </row>
    <row r="52450">
      <c r="E52450" s="96"/>
    </row>
    <row r="52451">
      <c r="E52451" s="96"/>
    </row>
    <row r="52452">
      <c r="E52452" s="96"/>
    </row>
    <row r="52453">
      <c r="E52453" s="96"/>
    </row>
    <row r="52454">
      <c r="E52454" s="96"/>
    </row>
    <row r="52455">
      <c r="E52455" s="96"/>
    </row>
    <row r="52456">
      <c r="E52456" s="96"/>
    </row>
    <row r="52457">
      <c r="E52457" s="96"/>
    </row>
    <row r="52458">
      <c r="E52458" s="96"/>
    </row>
    <row r="52459">
      <c r="E52459" s="96"/>
    </row>
    <row r="52460">
      <c r="E52460" s="96"/>
    </row>
    <row r="52461">
      <c r="E52461" s="96"/>
    </row>
    <row r="52462">
      <c r="E52462" s="96"/>
    </row>
    <row r="52463">
      <c r="E52463" s="96"/>
    </row>
    <row r="52464">
      <c r="E52464" s="96"/>
    </row>
    <row r="52465">
      <c r="E52465" s="96"/>
    </row>
    <row r="52466">
      <c r="E52466" s="96"/>
    </row>
    <row r="52467">
      <c r="E52467" s="96"/>
    </row>
    <row r="52468">
      <c r="E52468" s="96"/>
    </row>
    <row r="52469">
      <c r="E52469" s="96"/>
    </row>
    <row r="52470">
      <c r="E52470" s="96"/>
    </row>
    <row r="52471">
      <c r="E52471" s="96"/>
    </row>
    <row r="52472">
      <c r="E52472" s="96"/>
    </row>
    <row r="52473">
      <c r="E52473" s="96"/>
    </row>
    <row r="52474">
      <c r="E52474" s="96"/>
    </row>
    <row r="52475">
      <c r="E52475" s="96"/>
    </row>
    <row r="52476">
      <c r="E52476" s="96"/>
    </row>
    <row r="52477">
      <c r="E52477" s="96"/>
    </row>
    <row r="52478">
      <c r="E52478" s="96"/>
    </row>
    <row r="52479">
      <c r="E52479" s="96"/>
    </row>
    <row r="52480">
      <c r="E52480" s="96"/>
    </row>
    <row r="52481">
      <c r="E52481" s="96"/>
    </row>
    <row r="52482">
      <c r="E52482" s="96"/>
    </row>
    <row r="52483">
      <c r="E52483" s="96"/>
    </row>
    <row r="52484">
      <c r="E52484" s="96"/>
    </row>
    <row r="52485">
      <c r="E52485" s="96"/>
    </row>
    <row r="52486">
      <c r="E52486" s="96"/>
    </row>
    <row r="52487">
      <c r="E52487" s="96"/>
    </row>
    <row r="52488">
      <c r="E52488" s="96"/>
    </row>
    <row r="52489">
      <c r="E52489" s="96"/>
    </row>
    <row r="52490">
      <c r="E52490" s="96"/>
    </row>
    <row r="52491">
      <c r="E52491" s="96"/>
    </row>
    <row r="52492">
      <c r="E52492" s="96"/>
    </row>
    <row r="52493">
      <c r="E52493" s="96"/>
    </row>
    <row r="52494">
      <c r="E52494" s="96"/>
    </row>
    <row r="52495">
      <c r="E52495" s="96"/>
    </row>
    <row r="52496">
      <c r="E52496" s="96"/>
    </row>
    <row r="52497">
      <c r="E52497" s="96"/>
    </row>
    <row r="52498">
      <c r="E52498" s="96"/>
    </row>
    <row r="52499">
      <c r="E52499" s="96"/>
    </row>
    <row r="52500">
      <c r="E52500" s="96"/>
    </row>
    <row r="52501">
      <c r="E52501" s="96"/>
    </row>
    <row r="52502">
      <c r="E52502" s="96"/>
    </row>
    <row r="52503">
      <c r="E52503" s="96"/>
    </row>
    <row r="52504">
      <c r="E52504" s="96"/>
    </row>
    <row r="52505">
      <c r="E52505" s="96"/>
    </row>
    <row r="52506">
      <c r="E52506" s="96"/>
    </row>
    <row r="52507">
      <c r="E52507" s="96"/>
    </row>
    <row r="52508">
      <c r="E52508" s="96"/>
    </row>
    <row r="52509">
      <c r="E52509" s="96"/>
    </row>
    <row r="52510">
      <c r="E52510" s="96"/>
    </row>
    <row r="52511">
      <c r="E52511" s="96"/>
    </row>
    <row r="52512">
      <c r="E52512" s="96"/>
    </row>
    <row r="52513">
      <c r="E52513" s="96"/>
    </row>
    <row r="52514">
      <c r="E52514" s="96"/>
    </row>
    <row r="52515">
      <c r="E52515" s="96"/>
    </row>
    <row r="52516">
      <c r="E52516" s="96"/>
    </row>
    <row r="52517">
      <c r="E52517" s="96"/>
    </row>
    <row r="52518">
      <c r="E52518" s="96"/>
    </row>
    <row r="52519">
      <c r="E52519" s="96"/>
    </row>
    <row r="52520">
      <c r="E52520" s="96"/>
    </row>
    <row r="52521">
      <c r="E52521" s="96"/>
    </row>
    <row r="52522">
      <c r="E52522" s="96"/>
    </row>
    <row r="52523">
      <c r="E52523" s="96"/>
    </row>
    <row r="52524">
      <c r="E52524" s="96"/>
    </row>
    <row r="52525">
      <c r="E52525" s="96"/>
    </row>
    <row r="52526">
      <c r="E52526" s="96"/>
    </row>
    <row r="52527">
      <c r="E52527" s="96"/>
    </row>
    <row r="52528">
      <c r="E52528" s="96"/>
    </row>
    <row r="52529">
      <c r="E52529" s="96"/>
    </row>
    <row r="52530">
      <c r="E52530" s="96"/>
    </row>
    <row r="52531">
      <c r="E52531" s="96"/>
    </row>
    <row r="52532">
      <c r="E52532" s="96"/>
    </row>
    <row r="52533">
      <c r="E52533" s="96"/>
    </row>
    <row r="52534">
      <c r="E52534" s="96"/>
    </row>
    <row r="52535">
      <c r="E52535" s="96"/>
    </row>
    <row r="52536">
      <c r="E52536" s="96"/>
    </row>
    <row r="52537">
      <c r="E52537" s="96"/>
    </row>
    <row r="52538">
      <c r="E52538" s="96"/>
    </row>
    <row r="52539">
      <c r="E52539" s="96"/>
    </row>
    <row r="52540">
      <c r="E52540" s="96"/>
    </row>
    <row r="52541">
      <c r="E52541" s="96"/>
    </row>
    <row r="52542">
      <c r="E52542" s="96"/>
    </row>
    <row r="52543">
      <c r="E52543" s="96"/>
    </row>
    <row r="52544">
      <c r="E52544" s="96"/>
    </row>
    <row r="52545">
      <c r="E52545" s="96"/>
    </row>
    <row r="52546">
      <c r="E52546" s="96"/>
    </row>
    <row r="52547">
      <c r="E52547" s="96"/>
    </row>
    <row r="52548">
      <c r="E52548" s="96"/>
    </row>
    <row r="52549">
      <c r="E52549" s="96"/>
    </row>
    <row r="52550">
      <c r="E52550" s="96"/>
    </row>
    <row r="52551">
      <c r="E52551" s="96"/>
    </row>
    <row r="52552">
      <c r="E52552" s="96"/>
    </row>
    <row r="52553">
      <c r="E52553" s="96"/>
    </row>
    <row r="52554">
      <c r="E52554" s="96"/>
    </row>
    <row r="52555">
      <c r="E52555" s="96"/>
    </row>
    <row r="52556">
      <c r="E52556" s="96"/>
    </row>
    <row r="52557">
      <c r="E52557" s="96"/>
    </row>
    <row r="52558">
      <c r="E52558" s="96"/>
    </row>
    <row r="52559">
      <c r="E52559" s="96"/>
    </row>
    <row r="52560">
      <c r="E52560" s="96"/>
    </row>
    <row r="52561">
      <c r="E52561" s="96"/>
    </row>
    <row r="52562">
      <c r="E52562" s="96"/>
    </row>
    <row r="52563">
      <c r="E52563" s="96"/>
    </row>
    <row r="52564">
      <c r="E52564" s="96"/>
    </row>
    <row r="52565">
      <c r="E52565" s="96"/>
    </row>
    <row r="52566">
      <c r="E52566" s="96"/>
    </row>
    <row r="52567">
      <c r="E52567" s="96"/>
    </row>
    <row r="52568">
      <c r="E52568" s="96"/>
    </row>
    <row r="52569">
      <c r="E52569" s="96"/>
    </row>
    <row r="52570">
      <c r="E52570" s="96"/>
    </row>
    <row r="52571">
      <c r="E52571" s="96"/>
    </row>
    <row r="52572">
      <c r="E52572" s="96"/>
    </row>
    <row r="52573">
      <c r="E52573" s="96"/>
    </row>
    <row r="52574">
      <c r="E52574" s="96"/>
    </row>
    <row r="52575">
      <c r="E52575" s="96"/>
    </row>
    <row r="52576">
      <c r="E52576" s="96"/>
    </row>
    <row r="52577">
      <c r="E52577" s="96"/>
    </row>
    <row r="52578">
      <c r="E52578" s="96"/>
    </row>
    <row r="52579">
      <c r="E52579" s="96"/>
    </row>
    <row r="52580">
      <c r="E52580" s="96"/>
    </row>
    <row r="52581">
      <c r="E52581" s="96"/>
    </row>
    <row r="52582">
      <c r="E52582" s="96"/>
    </row>
    <row r="52583">
      <c r="E52583" s="96"/>
    </row>
    <row r="52584">
      <c r="E52584" s="96"/>
    </row>
    <row r="52585">
      <c r="E52585" s="96"/>
    </row>
    <row r="52586">
      <c r="E52586" s="96"/>
    </row>
    <row r="52587">
      <c r="E52587" s="96"/>
    </row>
    <row r="52588">
      <c r="E52588" s="96"/>
    </row>
    <row r="52589">
      <c r="E52589" s="96"/>
    </row>
    <row r="52590">
      <c r="E52590" s="96"/>
    </row>
    <row r="52591">
      <c r="E52591" s="96"/>
    </row>
    <row r="52592">
      <c r="E52592" s="96"/>
    </row>
    <row r="52593">
      <c r="E52593" s="96"/>
    </row>
    <row r="52594">
      <c r="E52594" s="96"/>
    </row>
    <row r="52595">
      <c r="E52595" s="96"/>
    </row>
    <row r="52596">
      <c r="E52596" s="96"/>
    </row>
    <row r="52597">
      <c r="E52597" s="96"/>
    </row>
    <row r="52598">
      <c r="E52598" s="96"/>
    </row>
    <row r="52599">
      <c r="E52599" s="96"/>
    </row>
    <row r="52600">
      <c r="E52600" s="96"/>
    </row>
    <row r="52601">
      <c r="E52601" s="96"/>
    </row>
    <row r="52602">
      <c r="E52602" s="96"/>
    </row>
    <row r="52603">
      <c r="E52603" s="96"/>
    </row>
    <row r="52604">
      <c r="E52604" s="96"/>
    </row>
    <row r="52605">
      <c r="E52605" s="96"/>
    </row>
    <row r="52606">
      <c r="E52606" s="96"/>
    </row>
    <row r="52607">
      <c r="E52607" s="96"/>
    </row>
    <row r="52608">
      <c r="E52608" s="96"/>
    </row>
    <row r="52609">
      <c r="E52609" s="96"/>
    </row>
    <row r="52610">
      <c r="E52610" s="96"/>
    </row>
    <row r="52611">
      <c r="E52611" s="96"/>
    </row>
    <row r="52612">
      <c r="E52612" s="96"/>
    </row>
    <row r="52613">
      <c r="E52613" s="96"/>
    </row>
    <row r="52614">
      <c r="E52614" s="96"/>
    </row>
    <row r="52615">
      <c r="E52615" s="96"/>
    </row>
    <row r="52616">
      <c r="E52616" s="96"/>
    </row>
    <row r="52617">
      <c r="E52617" s="96"/>
    </row>
    <row r="52618">
      <c r="E52618" s="96"/>
    </row>
    <row r="52619">
      <c r="E52619" s="96"/>
    </row>
    <row r="52620">
      <c r="E52620" s="96"/>
    </row>
    <row r="52621">
      <c r="E52621" s="96"/>
    </row>
    <row r="52622">
      <c r="E52622" s="96"/>
    </row>
    <row r="52623">
      <c r="E52623" s="96"/>
    </row>
    <row r="52624">
      <c r="E52624" s="96"/>
    </row>
    <row r="52625">
      <c r="E52625" s="96"/>
    </row>
    <row r="52626">
      <c r="E52626" s="96"/>
    </row>
    <row r="52627">
      <c r="E52627" s="96"/>
    </row>
    <row r="52628">
      <c r="E52628" s="96"/>
    </row>
    <row r="52629">
      <c r="E52629" s="96"/>
    </row>
    <row r="52630">
      <c r="E52630" s="96"/>
    </row>
    <row r="52631">
      <c r="E52631" s="96"/>
    </row>
    <row r="52632">
      <c r="E52632" s="96"/>
    </row>
    <row r="52633">
      <c r="E52633" s="96"/>
    </row>
    <row r="52634">
      <c r="E52634" s="96"/>
    </row>
    <row r="52635">
      <c r="E52635" s="96"/>
    </row>
    <row r="52636">
      <c r="E52636" s="96"/>
    </row>
    <row r="52637">
      <c r="E52637" s="96"/>
    </row>
    <row r="52638">
      <c r="E52638" s="96"/>
    </row>
    <row r="52639">
      <c r="E52639" s="96"/>
    </row>
    <row r="52640">
      <c r="E52640" s="96"/>
    </row>
    <row r="52641">
      <c r="E52641" s="96"/>
    </row>
    <row r="52642">
      <c r="E52642" s="96"/>
    </row>
    <row r="52643">
      <c r="E52643" s="96"/>
    </row>
    <row r="52644">
      <c r="E52644" s="96"/>
    </row>
    <row r="52645">
      <c r="E52645" s="96"/>
    </row>
    <row r="52646">
      <c r="E52646" s="96"/>
    </row>
    <row r="52647">
      <c r="E52647" s="96"/>
    </row>
    <row r="52648">
      <c r="E52648" s="96"/>
    </row>
    <row r="52649">
      <c r="E52649" s="96"/>
    </row>
    <row r="52650">
      <c r="E52650" s="96"/>
    </row>
    <row r="52651">
      <c r="E52651" s="96"/>
    </row>
    <row r="52652">
      <c r="E52652" s="96"/>
    </row>
    <row r="52653">
      <c r="E52653" s="96"/>
    </row>
    <row r="52654">
      <c r="E52654" s="96"/>
    </row>
    <row r="52655">
      <c r="E52655" s="96"/>
    </row>
    <row r="52656">
      <c r="E52656" s="96"/>
    </row>
    <row r="52657">
      <c r="E52657" s="96"/>
    </row>
    <row r="52658">
      <c r="E52658" s="96"/>
    </row>
    <row r="52659">
      <c r="E52659" s="96"/>
    </row>
    <row r="52660">
      <c r="E52660" s="96"/>
    </row>
    <row r="52661">
      <c r="E52661" s="96"/>
    </row>
    <row r="52662">
      <c r="E52662" s="96"/>
    </row>
    <row r="52663">
      <c r="E52663" s="96"/>
    </row>
    <row r="52664">
      <c r="E52664" s="96"/>
    </row>
    <row r="52665">
      <c r="E52665" s="96"/>
    </row>
    <row r="52666">
      <c r="E52666" s="96"/>
    </row>
    <row r="52667">
      <c r="E52667" s="96"/>
    </row>
    <row r="52668">
      <c r="E52668" s="96"/>
    </row>
    <row r="52669">
      <c r="E52669" s="96"/>
    </row>
    <row r="52670">
      <c r="E52670" s="96"/>
    </row>
    <row r="52671">
      <c r="E52671" s="96"/>
    </row>
    <row r="52672">
      <c r="E52672" s="96"/>
    </row>
    <row r="52673">
      <c r="E52673" s="96"/>
    </row>
    <row r="52674">
      <c r="E52674" s="96"/>
    </row>
    <row r="52675">
      <c r="E52675" s="96"/>
    </row>
    <row r="52676">
      <c r="E52676" s="96"/>
    </row>
    <row r="52677">
      <c r="E52677" s="96"/>
    </row>
    <row r="52678">
      <c r="E52678" s="96"/>
    </row>
    <row r="52679">
      <c r="E52679" s="96"/>
    </row>
    <row r="52680">
      <c r="E52680" s="96"/>
    </row>
    <row r="52681">
      <c r="E52681" s="96"/>
    </row>
    <row r="52682">
      <c r="E52682" s="96"/>
    </row>
    <row r="52683">
      <c r="E52683" s="96"/>
    </row>
    <row r="52684">
      <c r="E52684" s="96"/>
    </row>
    <row r="52685">
      <c r="E52685" s="96"/>
    </row>
    <row r="52686">
      <c r="E52686" s="96"/>
    </row>
    <row r="52687">
      <c r="E52687" s="96"/>
    </row>
    <row r="52688">
      <c r="E52688" s="96"/>
    </row>
    <row r="52689">
      <c r="E52689" s="96"/>
    </row>
    <row r="52690">
      <c r="E52690" s="96"/>
    </row>
    <row r="52691">
      <c r="E52691" s="96"/>
    </row>
    <row r="52692">
      <c r="E52692" s="96"/>
    </row>
    <row r="52693">
      <c r="E52693" s="96"/>
    </row>
    <row r="52694">
      <c r="E52694" s="96"/>
    </row>
    <row r="52695">
      <c r="E52695" s="96"/>
    </row>
    <row r="52696">
      <c r="E52696" s="96"/>
    </row>
    <row r="52697">
      <c r="E52697" s="96"/>
    </row>
    <row r="52698">
      <c r="E52698" s="96"/>
    </row>
    <row r="52699">
      <c r="E52699" s="96"/>
    </row>
    <row r="52700">
      <c r="E52700" s="96"/>
    </row>
    <row r="52701">
      <c r="E52701" s="96"/>
    </row>
    <row r="52702">
      <c r="E52702" s="96"/>
    </row>
    <row r="52703">
      <c r="E52703" s="96"/>
    </row>
    <row r="52704">
      <c r="E52704" s="96"/>
    </row>
    <row r="52705">
      <c r="E52705" s="96"/>
    </row>
    <row r="52706">
      <c r="E52706" s="96"/>
    </row>
    <row r="52707">
      <c r="E52707" s="96"/>
    </row>
    <row r="52708">
      <c r="E52708" s="96"/>
    </row>
    <row r="52709">
      <c r="E52709" s="96"/>
    </row>
    <row r="52710">
      <c r="E52710" s="96"/>
    </row>
    <row r="52711">
      <c r="E52711" s="96"/>
    </row>
    <row r="52712">
      <c r="E52712" s="96"/>
    </row>
    <row r="52713">
      <c r="E52713" s="96"/>
    </row>
    <row r="52714">
      <c r="E52714" s="96"/>
    </row>
    <row r="52715">
      <c r="E52715" s="96"/>
    </row>
    <row r="52716">
      <c r="E52716" s="96"/>
    </row>
    <row r="52717">
      <c r="E52717" s="96"/>
    </row>
    <row r="52718">
      <c r="E52718" s="96"/>
    </row>
    <row r="52719">
      <c r="E52719" s="96"/>
    </row>
    <row r="52720">
      <c r="E52720" s="96"/>
    </row>
    <row r="52721">
      <c r="E52721" s="96"/>
    </row>
    <row r="52722">
      <c r="E52722" s="96"/>
    </row>
    <row r="52723">
      <c r="E52723" s="96"/>
    </row>
    <row r="52724">
      <c r="E52724" s="96"/>
    </row>
    <row r="52725">
      <c r="E52725" s="96"/>
    </row>
    <row r="52726">
      <c r="E52726" s="96"/>
    </row>
    <row r="52727">
      <c r="E52727" s="96"/>
    </row>
    <row r="52728">
      <c r="E52728" s="96"/>
    </row>
    <row r="52729">
      <c r="E52729" s="96"/>
    </row>
    <row r="52730">
      <c r="E52730" s="96"/>
    </row>
    <row r="52731">
      <c r="E52731" s="96"/>
    </row>
    <row r="52732">
      <c r="E52732" s="96"/>
    </row>
    <row r="52733">
      <c r="E52733" s="96"/>
    </row>
    <row r="52734">
      <c r="E52734" s="96"/>
    </row>
    <row r="52735">
      <c r="E52735" s="96"/>
    </row>
    <row r="52736">
      <c r="E52736" s="96"/>
    </row>
    <row r="52737">
      <c r="E52737" s="96"/>
    </row>
    <row r="52738">
      <c r="E52738" s="96"/>
    </row>
    <row r="52739">
      <c r="E52739" s="96"/>
    </row>
    <row r="52740">
      <c r="E52740" s="96"/>
    </row>
    <row r="52741">
      <c r="E52741" s="96"/>
    </row>
    <row r="52742">
      <c r="E52742" s="96"/>
    </row>
    <row r="52743">
      <c r="E52743" s="96"/>
    </row>
    <row r="52744">
      <c r="E52744" s="96"/>
    </row>
    <row r="52745">
      <c r="E52745" s="96"/>
    </row>
    <row r="52746">
      <c r="E52746" s="96"/>
    </row>
    <row r="52747">
      <c r="E52747" s="96"/>
    </row>
    <row r="52748">
      <c r="E52748" s="96"/>
    </row>
    <row r="52749">
      <c r="E52749" s="96"/>
    </row>
    <row r="52750">
      <c r="E52750" s="96"/>
    </row>
    <row r="52751">
      <c r="E52751" s="96"/>
    </row>
    <row r="52752">
      <c r="E52752" s="96"/>
    </row>
    <row r="52753">
      <c r="E52753" s="96"/>
    </row>
    <row r="52754">
      <c r="E52754" s="96"/>
    </row>
    <row r="52755">
      <c r="E52755" s="96"/>
    </row>
    <row r="52756">
      <c r="E52756" s="96"/>
    </row>
    <row r="52757">
      <c r="E52757" s="96"/>
    </row>
    <row r="52758">
      <c r="E52758" s="96"/>
    </row>
    <row r="52759">
      <c r="E52759" s="96"/>
    </row>
    <row r="52760">
      <c r="E52760" s="96"/>
    </row>
    <row r="52761">
      <c r="E52761" s="96"/>
    </row>
    <row r="52762">
      <c r="E52762" s="96"/>
    </row>
    <row r="52763">
      <c r="E52763" s="96"/>
    </row>
    <row r="52764">
      <c r="E52764" s="96"/>
    </row>
    <row r="52765">
      <c r="E52765" s="96"/>
    </row>
    <row r="52766">
      <c r="E52766" s="96"/>
    </row>
    <row r="52767">
      <c r="E52767" s="96"/>
    </row>
    <row r="52768">
      <c r="E52768" s="96"/>
    </row>
    <row r="52769">
      <c r="E52769" s="96"/>
    </row>
    <row r="52770">
      <c r="E52770" s="96"/>
    </row>
    <row r="52771">
      <c r="E52771" s="96"/>
    </row>
    <row r="52772">
      <c r="E52772" s="96"/>
    </row>
    <row r="52773">
      <c r="E52773" s="96"/>
    </row>
    <row r="52774">
      <c r="E52774" s="96"/>
    </row>
    <row r="52775">
      <c r="E52775" s="96"/>
    </row>
    <row r="52776">
      <c r="E52776" s="96"/>
    </row>
    <row r="52777">
      <c r="E52777" s="96"/>
    </row>
    <row r="52778">
      <c r="E52778" s="96"/>
    </row>
    <row r="52779">
      <c r="E52779" s="96"/>
    </row>
    <row r="52780">
      <c r="E52780" s="96"/>
    </row>
    <row r="52781">
      <c r="E52781" s="96"/>
    </row>
    <row r="52782">
      <c r="E52782" s="96"/>
    </row>
    <row r="52783">
      <c r="E52783" s="96"/>
    </row>
    <row r="52784">
      <c r="E52784" s="96"/>
    </row>
    <row r="52785">
      <c r="E52785" s="96"/>
    </row>
    <row r="52786">
      <c r="E52786" s="96"/>
    </row>
    <row r="52787">
      <c r="E52787" s="96"/>
    </row>
    <row r="52788">
      <c r="E52788" s="96"/>
    </row>
    <row r="52789">
      <c r="E52789" s="96"/>
    </row>
    <row r="52790">
      <c r="E52790" s="96"/>
    </row>
    <row r="52791">
      <c r="E52791" s="96"/>
    </row>
    <row r="52792">
      <c r="E52792" s="96"/>
    </row>
    <row r="52793">
      <c r="E52793" s="96"/>
    </row>
    <row r="52794">
      <c r="E52794" s="96"/>
    </row>
    <row r="52795">
      <c r="E52795" s="96"/>
    </row>
    <row r="52796">
      <c r="E52796" s="96"/>
    </row>
    <row r="52797">
      <c r="E52797" s="96"/>
    </row>
    <row r="52798">
      <c r="E52798" s="96"/>
    </row>
    <row r="52799">
      <c r="E52799" s="96"/>
    </row>
    <row r="52800">
      <c r="E52800" s="96"/>
    </row>
    <row r="52801">
      <c r="E52801" s="96"/>
    </row>
    <row r="52802">
      <c r="E52802" s="96"/>
    </row>
    <row r="52803">
      <c r="E52803" s="96"/>
    </row>
    <row r="52804">
      <c r="E52804" s="96"/>
    </row>
    <row r="52805">
      <c r="E52805" s="96"/>
    </row>
    <row r="52806">
      <c r="E52806" s="96"/>
    </row>
    <row r="52807">
      <c r="E52807" s="96"/>
    </row>
    <row r="52808">
      <c r="E52808" s="96"/>
    </row>
    <row r="52809">
      <c r="E52809" s="96"/>
    </row>
    <row r="52810">
      <c r="E52810" s="96"/>
    </row>
    <row r="52811">
      <c r="E52811" s="96"/>
    </row>
    <row r="52812">
      <c r="E52812" s="96"/>
    </row>
    <row r="52813">
      <c r="E52813" s="96"/>
    </row>
    <row r="52814">
      <c r="E52814" s="96"/>
    </row>
    <row r="52815">
      <c r="E52815" s="96"/>
    </row>
    <row r="52816">
      <c r="E52816" s="96"/>
    </row>
    <row r="52817">
      <c r="E52817" s="96"/>
    </row>
    <row r="52818">
      <c r="E52818" s="96"/>
    </row>
    <row r="52819">
      <c r="E52819" s="96"/>
    </row>
    <row r="52820">
      <c r="E52820" s="96"/>
    </row>
    <row r="52821">
      <c r="E52821" s="96"/>
    </row>
    <row r="52822">
      <c r="E52822" s="96"/>
    </row>
    <row r="52823">
      <c r="E52823" s="96"/>
    </row>
    <row r="52824">
      <c r="E52824" s="96"/>
    </row>
    <row r="52825">
      <c r="E52825" s="96"/>
    </row>
    <row r="52826">
      <c r="E52826" s="96"/>
    </row>
    <row r="52827">
      <c r="E52827" s="96"/>
    </row>
    <row r="52828">
      <c r="E52828" s="96"/>
    </row>
    <row r="52829">
      <c r="E52829" s="96"/>
    </row>
    <row r="52830">
      <c r="E52830" s="96"/>
    </row>
    <row r="52831">
      <c r="E52831" s="96"/>
    </row>
    <row r="52832">
      <c r="E52832" s="96"/>
    </row>
    <row r="52833">
      <c r="E52833" s="96"/>
    </row>
    <row r="52834">
      <c r="E52834" s="96"/>
    </row>
    <row r="52835">
      <c r="E52835" s="96"/>
    </row>
    <row r="52836">
      <c r="E52836" s="96"/>
    </row>
    <row r="52837">
      <c r="E52837" s="96"/>
    </row>
    <row r="52838">
      <c r="E52838" s="96"/>
    </row>
    <row r="52839">
      <c r="E52839" s="96"/>
    </row>
    <row r="52840">
      <c r="E52840" s="96"/>
    </row>
    <row r="52841">
      <c r="E52841" s="96"/>
    </row>
    <row r="52842">
      <c r="E52842" s="96"/>
    </row>
    <row r="52843">
      <c r="E52843" s="96"/>
    </row>
    <row r="52844">
      <c r="E52844" s="96"/>
    </row>
    <row r="52845">
      <c r="E52845" s="96"/>
    </row>
    <row r="52846">
      <c r="E52846" s="96"/>
    </row>
    <row r="52847">
      <c r="E52847" s="96"/>
    </row>
    <row r="52848">
      <c r="E52848" s="96"/>
    </row>
    <row r="52849">
      <c r="E52849" s="96"/>
    </row>
    <row r="52850">
      <c r="E52850" s="96"/>
    </row>
    <row r="52851">
      <c r="E52851" s="96"/>
    </row>
    <row r="52852">
      <c r="E52852" s="96"/>
    </row>
    <row r="52853">
      <c r="E52853" s="96"/>
    </row>
    <row r="52854">
      <c r="E52854" s="96"/>
    </row>
    <row r="52855">
      <c r="E52855" s="96"/>
    </row>
    <row r="52856">
      <c r="E52856" s="96"/>
    </row>
    <row r="52857">
      <c r="E52857" s="96"/>
    </row>
    <row r="52858">
      <c r="E52858" s="96"/>
    </row>
    <row r="52859">
      <c r="E52859" s="96"/>
    </row>
    <row r="52860">
      <c r="E52860" s="96"/>
    </row>
    <row r="52861">
      <c r="E52861" s="96"/>
    </row>
    <row r="52862">
      <c r="E52862" s="96"/>
    </row>
    <row r="52863">
      <c r="E52863" s="96"/>
    </row>
    <row r="52864">
      <c r="E52864" s="96"/>
    </row>
    <row r="52865">
      <c r="E52865" s="96"/>
    </row>
    <row r="52866">
      <c r="E52866" s="96"/>
    </row>
    <row r="52867">
      <c r="E52867" s="96"/>
    </row>
    <row r="52868">
      <c r="E52868" s="96"/>
    </row>
    <row r="52869">
      <c r="E52869" s="96"/>
    </row>
    <row r="52870">
      <c r="E52870" s="96"/>
    </row>
    <row r="52871">
      <c r="E52871" s="96"/>
    </row>
    <row r="52872">
      <c r="E52872" s="96"/>
    </row>
    <row r="52873">
      <c r="E52873" s="96"/>
    </row>
    <row r="52874">
      <c r="E52874" s="96"/>
    </row>
    <row r="52875">
      <c r="E52875" s="96"/>
    </row>
    <row r="52876">
      <c r="E52876" s="96"/>
    </row>
    <row r="52877">
      <c r="E52877" s="96"/>
    </row>
    <row r="52878">
      <c r="E52878" s="96"/>
    </row>
    <row r="52879">
      <c r="E52879" s="96"/>
    </row>
    <row r="52880">
      <c r="E52880" s="96"/>
    </row>
    <row r="52881">
      <c r="E52881" s="96"/>
    </row>
    <row r="52882">
      <c r="E52882" s="96"/>
    </row>
    <row r="52883">
      <c r="E52883" s="96"/>
    </row>
    <row r="52884">
      <c r="E52884" s="96"/>
    </row>
    <row r="52885">
      <c r="E52885" s="96"/>
    </row>
    <row r="52886">
      <c r="E52886" s="96"/>
    </row>
    <row r="52887">
      <c r="E52887" s="96"/>
    </row>
    <row r="52888">
      <c r="E52888" s="96"/>
    </row>
    <row r="52889">
      <c r="E52889" s="96"/>
    </row>
    <row r="52890">
      <c r="E52890" s="96"/>
    </row>
    <row r="52891">
      <c r="E52891" s="96"/>
    </row>
    <row r="52892">
      <c r="E52892" s="96"/>
    </row>
    <row r="52893">
      <c r="E52893" s="96"/>
    </row>
    <row r="52894">
      <c r="E52894" s="96"/>
    </row>
    <row r="52895">
      <c r="E52895" s="96"/>
    </row>
    <row r="52896">
      <c r="E52896" s="96"/>
    </row>
    <row r="52897">
      <c r="E52897" s="96"/>
    </row>
    <row r="52898">
      <c r="E52898" s="96"/>
    </row>
    <row r="52899">
      <c r="E52899" s="96"/>
    </row>
    <row r="52900">
      <c r="E52900" s="96"/>
    </row>
    <row r="52901">
      <c r="E52901" s="96"/>
    </row>
    <row r="52902">
      <c r="E52902" s="96"/>
    </row>
    <row r="52903">
      <c r="E52903" s="96"/>
    </row>
    <row r="52904">
      <c r="E52904" s="96"/>
    </row>
    <row r="52905">
      <c r="E52905" s="96"/>
    </row>
    <row r="52906">
      <c r="E52906" s="96"/>
    </row>
    <row r="52907">
      <c r="E52907" s="96"/>
    </row>
    <row r="52908">
      <c r="E52908" s="96"/>
    </row>
    <row r="52909">
      <c r="E52909" s="96"/>
    </row>
    <row r="52910">
      <c r="E52910" s="96"/>
    </row>
    <row r="52911">
      <c r="E52911" s="96"/>
    </row>
    <row r="52912">
      <c r="E52912" s="96"/>
    </row>
    <row r="52913">
      <c r="E52913" s="96"/>
    </row>
    <row r="52914">
      <c r="E52914" s="96"/>
    </row>
    <row r="52915">
      <c r="E52915" s="96"/>
    </row>
    <row r="52916">
      <c r="E52916" s="96"/>
    </row>
    <row r="52917">
      <c r="E52917" s="96"/>
    </row>
    <row r="52918">
      <c r="E52918" s="96"/>
    </row>
    <row r="52919">
      <c r="E52919" s="96"/>
    </row>
    <row r="52920">
      <c r="E52920" s="96"/>
    </row>
    <row r="52921">
      <c r="E52921" s="96"/>
    </row>
    <row r="52922">
      <c r="E52922" s="96"/>
    </row>
    <row r="52923">
      <c r="E52923" s="96"/>
    </row>
    <row r="52924">
      <c r="E52924" s="96"/>
    </row>
    <row r="52925">
      <c r="E52925" s="96"/>
    </row>
    <row r="52926">
      <c r="E52926" s="96"/>
    </row>
    <row r="52927">
      <c r="E52927" s="96"/>
    </row>
    <row r="52928">
      <c r="E52928" s="96"/>
    </row>
    <row r="52929">
      <c r="E52929" s="96"/>
    </row>
    <row r="52930">
      <c r="E52930" s="96"/>
    </row>
    <row r="52931">
      <c r="E52931" s="96"/>
    </row>
    <row r="52932">
      <c r="E52932" s="96"/>
    </row>
    <row r="52933">
      <c r="E52933" s="96"/>
    </row>
    <row r="52934">
      <c r="E52934" s="96"/>
    </row>
    <row r="52935">
      <c r="E52935" s="96"/>
    </row>
    <row r="52936">
      <c r="E52936" s="96"/>
    </row>
    <row r="52937">
      <c r="E52937" s="96"/>
    </row>
    <row r="52938">
      <c r="E52938" s="96"/>
    </row>
    <row r="52939">
      <c r="E52939" s="96"/>
    </row>
    <row r="52940">
      <c r="E52940" s="96"/>
    </row>
    <row r="52941">
      <c r="E52941" s="96"/>
    </row>
    <row r="52942">
      <c r="E52942" s="96"/>
    </row>
    <row r="52943">
      <c r="E52943" s="96"/>
    </row>
    <row r="52944">
      <c r="E52944" s="96"/>
    </row>
    <row r="52945">
      <c r="E52945" s="96"/>
    </row>
    <row r="52946">
      <c r="E52946" s="96"/>
    </row>
    <row r="52947">
      <c r="E52947" s="96"/>
    </row>
    <row r="52948">
      <c r="E52948" s="96"/>
    </row>
    <row r="52949">
      <c r="E52949" s="96"/>
    </row>
    <row r="52950">
      <c r="E52950" s="96"/>
    </row>
    <row r="52951">
      <c r="E52951" s="96"/>
    </row>
    <row r="52952">
      <c r="E52952" s="96"/>
    </row>
    <row r="52953">
      <c r="E52953" s="96"/>
    </row>
    <row r="52954">
      <c r="E52954" s="96"/>
    </row>
    <row r="52955">
      <c r="E52955" s="96"/>
    </row>
    <row r="52956">
      <c r="E52956" s="96"/>
    </row>
    <row r="52957">
      <c r="E52957" s="96"/>
    </row>
    <row r="52958">
      <c r="E52958" s="96"/>
    </row>
    <row r="52959">
      <c r="E52959" s="96"/>
    </row>
    <row r="52960">
      <c r="E52960" s="96"/>
    </row>
    <row r="52961">
      <c r="E52961" s="96"/>
    </row>
    <row r="52962">
      <c r="E52962" s="96"/>
    </row>
    <row r="52963">
      <c r="E52963" s="96"/>
    </row>
    <row r="52964">
      <c r="E52964" s="96"/>
    </row>
    <row r="52965">
      <c r="E52965" s="96"/>
    </row>
    <row r="52966">
      <c r="E52966" s="96"/>
    </row>
    <row r="52967">
      <c r="E52967" s="96"/>
    </row>
    <row r="52968">
      <c r="E52968" s="96"/>
    </row>
    <row r="52969">
      <c r="E52969" s="96"/>
    </row>
    <row r="52970">
      <c r="E52970" s="96"/>
    </row>
    <row r="52971">
      <c r="E52971" s="96"/>
    </row>
    <row r="52972">
      <c r="E52972" s="96"/>
    </row>
    <row r="52973">
      <c r="E52973" s="96"/>
    </row>
    <row r="52974">
      <c r="E52974" s="96"/>
    </row>
    <row r="52975">
      <c r="E52975" s="96"/>
    </row>
    <row r="52976">
      <c r="E52976" s="96"/>
    </row>
    <row r="52977">
      <c r="E52977" s="96"/>
    </row>
    <row r="52978">
      <c r="E52978" s="96"/>
    </row>
    <row r="52979">
      <c r="E52979" s="96"/>
    </row>
    <row r="52980">
      <c r="E52980" s="96"/>
    </row>
    <row r="52981">
      <c r="E52981" s="96"/>
    </row>
    <row r="52982">
      <c r="E52982" s="96"/>
    </row>
    <row r="52983">
      <c r="E52983" s="96"/>
    </row>
    <row r="52984">
      <c r="E52984" s="96"/>
    </row>
    <row r="52985">
      <c r="E52985" s="96"/>
    </row>
    <row r="52986">
      <c r="E52986" s="96"/>
    </row>
    <row r="52987">
      <c r="E52987" s="96"/>
    </row>
    <row r="52988">
      <c r="E52988" s="96"/>
    </row>
    <row r="52989">
      <c r="E52989" s="96"/>
    </row>
    <row r="52990">
      <c r="E52990" s="96"/>
    </row>
    <row r="52991">
      <c r="E52991" s="96"/>
    </row>
    <row r="52992">
      <c r="E52992" s="96"/>
    </row>
    <row r="52993">
      <c r="E52993" s="96"/>
    </row>
    <row r="52994">
      <c r="E52994" s="96"/>
    </row>
    <row r="52995">
      <c r="E52995" s="96"/>
    </row>
    <row r="52996">
      <c r="E52996" s="96"/>
    </row>
    <row r="52997">
      <c r="E52997" s="96"/>
    </row>
    <row r="52998">
      <c r="E52998" s="96"/>
    </row>
    <row r="52999">
      <c r="E52999" s="96"/>
    </row>
    <row r="53000">
      <c r="E53000" s="96"/>
    </row>
    <row r="53001">
      <c r="E53001" s="96"/>
    </row>
    <row r="53002">
      <c r="E53002" s="96"/>
    </row>
    <row r="53003">
      <c r="E53003" s="96"/>
    </row>
    <row r="53004">
      <c r="E53004" s="96"/>
    </row>
    <row r="53005">
      <c r="E53005" s="96"/>
    </row>
    <row r="53006">
      <c r="E53006" s="96"/>
    </row>
    <row r="53007">
      <c r="E53007" s="96"/>
    </row>
    <row r="53008">
      <c r="E53008" s="96"/>
    </row>
    <row r="53009">
      <c r="E53009" s="96"/>
    </row>
    <row r="53010">
      <c r="E53010" s="96"/>
    </row>
    <row r="53011">
      <c r="E53011" s="96"/>
    </row>
    <row r="53012">
      <c r="E53012" s="96"/>
    </row>
    <row r="53013">
      <c r="E53013" s="96"/>
    </row>
    <row r="53014">
      <c r="E53014" s="96"/>
    </row>
    <row r="53015">
      <c r="E53015" s="96"/>
    </row>
    <row r="53016">
      <c r="E53016" s="96"/>
    </row>
    <row r="53017">
      <c r="E53017" s="96"/>
    </row>
    <row r="53018">
      <c r="E53018" s="96"/>
    </row>
    <row r="53019">
      <c r="E53019" s="96"/>
    </row>
    <row r="53020">
      <c r="E53020" s="96"/>
    </row>
    <row r="53021">
      <c r="E53021" s="96"/>
    </row>
    <row r="53022">
      <c r="E53022" s="96"/>
    </row>
    <row r="53023">
      <c r="E53023" s="96"/>
    </row>
    <row r="53024">
      <c r="E53024" s="96"/>
    </row>
    <row r="53025">
      <c r="E53025" s="96"/>
    </row>
    <row r="53026">
      <c r="E53026" s="96"/>
    </row>
    <row r="53027">
      <c r="E53027" s="96"/>
    </row>
    <row r="53028">
      <c r="E53028" s="96"/>
    </row>
    <row r="53029">
      <c r="E53029" s="96"/>
    </row>
    <row r="53030">
      <c r="E53030" s="96"/>
    </row>
    <row r="53031">
      <c r="E53031" s="96"/>
    </row>
    <row r="53032">
      <c r="E53032" s="96"/>
    </row>
    <row r="53033">
      <c r="E53033" s="96"/>
    </row>
    <row r="53034">
      <c r="E53034" s="96"/>
    </row>
    <row r="53035">
      <c r="E53035" s="96"/>
    </row>
    <row r="53036">
      <c r="E53036" s="96"/>
    </row>
    <row r="53037">
      <c r="E53037" s="96"/>
    </row>
    <row r="53038">
      <c r="E53038" s="96"/>
    </row>
    <row r="53039">
      <c r="E53039" s="96"/>
    </row>
    <row r="53040">
      <c r="E53040" s="96"/>
    </row>
    <row r="53041">
      <c r="E53041" s="96"/>
    </row>
    <row r="53042">
      <c r="E53042" s="96"/>
    </row>
    <row r="53043">
      <c r="E53043" s="96"/>
    </row>
    <row r="53044">
      <c r="E53044" s="96"/>
    </row>
    <row r="53045">
      <c r="E53045" s="96"/>
    </row>
    <row r="53046">
      <c r="E53046" s="96"/>
    </row>
    <row r="53047">
      <c r="E53047" s="96"/>
    </row>
    <row r="53048">
      <c r="E53048" s="96"/>
    </row>
    <row r="53049">
      <c r="E53049" s="96"/>
    </row>
    <row r="53050">
      <c r="E53050" s="96"/>
    </row>
    <row r="53051">
      <c r="E53051" s="96"/>
    </row>
    <row r="53052">
      <c r="E53052" s="96"/>
    </row>
    <row r="53053">
      <c r="E53053" s="96"/>
    </row>
    <row r="53054">
      <c r="E53054" s="96"/>
    </row>
    <row r="53055">
      <c r="E53055" s="96"/>
    </row>
    <row r="53056">
      <c r="E53056" s="96"/>
    </row>
    <row r="53057">
      <c r="E53057" s="96"/>
    </row>
    <row r="53058">
      <c r="E53058" s="96"/>
    </row>
    <row r="53059">
      <c r="E53059" s="96"/>
    </row>
    <row r="53060">
      <c r="E53060" s="96"/>
    </row>
    <row r="53061">
      <c r="E53061" s="96"/>
    </row>
    <row r="53062">
      <c r="E53062" s="96"/>
    </row>
    <row r="53063">
      <c r="E53063" s="96"/>
    </row>
    <row r="53064">
      <c r="E53064" s="96"/>
    </row>
    <row r="53065">
      <c r="E53065" s="96"/>
    </row>
    <row r="53066">
      <c r="E53066" s="96"/>
    </row>
    <row r="53067">
      <c r="E53067" s="96"/>
    </row>
    <row r="53068">
      <c r="E53068" s="96"/>
    </row>
    <row r="53069">
      <c r="E53069" s="96"/>
    </row>
    <row r="53070">
      <c r="E53070" s="96"/>
    </row>
    <row r="53071">
      <c r="E53071" s="96"/>
    </row>
    <row r="53072">
      <c r="E53072" s="96"/>
    </row>
    <row r="53073">
      <c r="E53073" s="96"/>
    </row>
    <row r="53074">
      <c r="E53074" s="96"/>
    </row>
    <row r="53075">
      <c r="E53075" s="96"/>
    </row>
    <row r="53076">
      <c r="E53076" s="96"/>
    </row>
    <row r="53077">
      <c r="E53077" s="96"/>
    </row>
    <row r="53078">
      <c r="E53078" s="96"/>
    </row>
    <row r="53079">
      <c r="E53079" s="96"/>
    </row>
    <row r="53080">
      <c r="E53080" s="96"/>
    </row>
    <row r="53081">
      <c r="E53081" s="96"/>
    </row>
    <row r="53082">
      <c r="E53082" s="96"/>
    </row>
    <row r="53083">
      <c r="E53083" s="96"/>
    </row>
    <row r="53084">
      <c r="E53084" s="96"/>
    </row>
    <row r="53085">
      <c r="E53085" s="96"/>
    </row>
    <row r="53086">
      <c r="E53086" s="96"/>
    </row>
    <row r="53087">
      <c r="E53087" s="96"/>
    </row>
    <row r="53088">
      <c r="E53088" s="96"/>
    </row>
    <row r="53089">
      <c r="E53089" s="96"/>
    </row>
    <row r="53090">
      <c r="E53090" s="96"/>
    </row>
    <row r="53091">
      <c r="E53091" s="96"/>
    </row>
    <row r="53092">
      <c r="E53092" s="96"/>
    </row>
    <row r="53093">
      <c r="E53093" s="96"/>
    </row>
    <row r="53094">
      <c r="E53094" s="96"/>
    </row>
    <row r="53095">
      <c r="E53095" s="96"/>
    </row>
    <row r="53096">
      <c r="E53096" s="96"/>
    </row>
    <row r="53097">
      <c r="E53097" s="96"/>
    </row>
    <row r="53098">
      <c r="E53098" s="96"/>
    </row>
    <row r="53099">
      <c r="E53099" s="96"/>
    </row>
    <row r="53100">
      <c r="E53100" s="96"/>
    </row>
    <row r="53101">
      <c r="E53101" s="96"/>
    </row>
    <row r="53102">
      <c r="E53102" s="96"/>
    </row>
    <row r="53103">
      <c r="E53103" s="96"/>
    </row>
    <row r="53104">
      <c r="E53104" s="96"/>
    </row>
    <row r="53105">
      <c r="E53105" s="96"/>
    </row>
    <row r="53106">
      <c r="E53106" s="96"/>
    </row>
    <row r="53107">
      <c r="E53107" s="96"/>
    </row>
    <row r="53108">
      <c r="E53108" s="96"/>
    </row>
    <row r="53109">
      <c r="E53109" s="96"/>
    </row>
    <row r="53110">
      <c r="E53110" s="96"/>
    </row>
    <row r="53111">
      <c r="E53111" s="96"/>
    </row>
    <row r="53112">
      <c r="E53112" s="96"/>
    </row>
    <row r="53113">
      <c r="E53113" s="96"/>
    </row>
    <row r="53114">
      <c r="E53114" s="96"/>
    </row>
    <row r="53115">
      <c r="E53115" s="96"/>
    </row>
    <row r="53116">
      <c r="E53116" s="96"/>
    </row>
    <row r="53117">
      <c r="E53117" s="96"/>
    </row>
    <row r="53118">
      <c r="E53118" s="96"/>
    </row>
    <row r="53119">
      <c r="E53119" s="96"/>
    </row>
    <row r="53120">
      <c r="E53120" s="96"/>
    </row>
    <row r="53121">
      <c r="E53121" s="96"/>
    </row>
    <row r="53122">
      <c r="E53122" s="96"/>
    </row>
    <row r="53123">
      <c r="E53123" s="96"/>
    </row>
    <row r="53124">
      <c r="E53124" s="96"/>
    </row>
    <row r="53125">
      <c r="E53125" s="96"/>
    </row>
    <row r="53126">
      <c r="E53126" s="96"/>
    </row>
    <row r="53127">
      <c r="E53127" s="96"/>
    </row>
    <row r="53128">
      <c r="E53128" s="96"/>
    </row>
    <row r="53129">
      <c r="E53129" s="96"/>
    </row>
    <row r="53130">
      <c r="E53130" s="96"/>
    </row>
    <row r="53131">
      <c r="E53131" s="96"/>
    </row>
    <row r="53132">
      <c r="E53132" s="96"/>
    </row>
    <row r="53133">
      <c r="E53133" s="96"/>
    </row>
    <row r="53134">
      <c r="E53134" s="96"/>
    </row>
    <row r="53135">
      <c r="E53135" s="96"/>
    </row>
    <row r="53136">
      <c r="E53136" s="96"/>
    </row>
    <row r="53137">
      <c r="E53137" s="96"/>
    </row>
    <row r="53138">
      <c r="E53138" s="96"/>
    </row>
    <row r="53139">
      <c r="E53139" s="96"/>
    </row>
    <row r="53140">
      <c r="E53140" s="96"/>
    </row>
    <row r="53141">
      <c r="E53141" s="96"/>
    </row>
    <row r="53142">
      <c r="E53142" s="96"/>
    </row>
    <row r="53143">
      <c r="E53143" s="96"/>
    </row>
    <row r="53144">
      <c r="E53144" s="96"/>
    </row>
    <row r="53145">
      <c r="E53145" s="96"/>
    </row>
    <row r="53146">
      <c r="E53146" s="96"/>
    </row>
    <row r="53147">
      <c r="E53147" s="96"/>
    </row>
    <row r="53148">
      <c r="E53148" s="96"/>
    </row>
    <row r="53149">
      <c r="E53149" s="96"/>
    </row>
    <row r="53150">
      <c r="E53150" s="96"/>
    </row>
    <row r="53151">
      <c r="E53151" s="96"/>
    </row>
    <row r="53152">
      <c r="E53152" s="96"/>
    </row>
    <row r="53153">
      <c r="E53153" s="96"/>
    </row>
    <row r="53154">
      <c r="E53154" s="96"/>
    </row>
    <row r="53155">
      <c r="E53155" s="96"/>
    </row>
    <row r="53156">
      <c r="E53156" s="96"/>
    </row>
    <row r="53157">
      <c r="E53157" s="96"/>
    </row>
    <row r="53158">
      <c r="E53158" s="96"/>
    </row>
    <row r="53159">
      <c r="E53159" s="96"/>
    </row>
    <row r="53160">
      <c r="E53160" s="96"/>
    </row>
    <row r="53161">
      <c r="E53161" s="96"/>
    </row>
    <row r="53162">
      <c r="E53162" s="96"/>
    </row>
    <row r="53163">
      <c r="E53163" s="96"/>
    </row>
    <row r="53164">
      <c r="E53164" s="96"/>
    </row>
    <row r="53165">
      <c r="E53165" s="96"/>
    </row>
    <row r="53166">
      <c r="E53166" s="96"/>
    </row>
    <row r="53167">
      <c r="E53167" s="96"/>
    </row>
    <row r="53168">
      <c r="E53168" s="96"/>
    </row>
    <row r="53169">
      <c r="E53169" s="96"/>
    </row>
    <row r="53170">
      <c r="E53170" s="96"/>
    </row>
    <row r="53171">
      <c r="E53171" s="96"/>
    </row>
    <row r="53172">
      <c r="E53172" s="96"/>
    </row>
    <row r="53173">
      <c r="E53173" s="96"/>
    </row>
    <row r="53174">
      <c r="E53174" s="96"/>
    </row>
    <row r="53175">
      <c r="E53175" s="96"/>
    </row>
    <row r="53176">
      <c r="E53176" s="96"/>
    </row>
    <row r="53177">
      <c r="E53177" s="96"/>
    </row>
    <row r="53178">
      <c r="E53178" s="96"/>
    </row>
    <row r="53179">
      <c r="E53179" s="96"/>
    </row>
    <row r="53180">
      <c r="E53180" s="96"/>
    </row>
    <row r="53181">
      <c r="E53181" s="96"/>
    </row>
    <row r="53182">
      <c r="E53182" s="96"/>
    </row>
    <row r="53183">
      <c r="E53183" s="96"/>
    </row>
    <row r="53184">
      <c r="E53184" s="96"/>
    </row>
    <row r="53185">
      <c r="E53185" s="96"/>
    </row>
    <row r="53186">
      <c r="E53186" s="96"/>
    </row>
    <row r="53187">
      <c r="E53187" s="96"/>
    </row>
    <row r="53188">
      <c r="E53188" s="96"/>
    </row>
    <row r="53189">
      <c r="E53189" s="96"/>
    </row>
    <row r="53190">
      <c r="E53190" s="96"/>
    </row>
    <row r="53191">
      <c r="E53191" s="96"/>
    </row>
    <row r="53192">
      <c r="E53192" s="96"/>
    </row>
    <row r="53193">
      <c r="E53193" s="96"/>
    </row>
    <row r="53194">
      <c r="E53194" s="96"/>
    </row>
    <row r="53195">
      <c r="E53195" s="96"/>
    </row>
    <row r="53196">
      <c r="E53196" s="96"/>
    </row>
    <row r="53197">
      <c r="E53197" s="96"/>
    </row>
    <row r="53198">
      <c r="E53198" s="96"/>
    </row>
    <row r="53199">
      <c r="E53199" s="96"/>
    </row>
    <row r="53200">
      <c r="E53200" s="96"/>
    </row>
    <row r="53201">
      <c r="E53201" s="96"/>
    </row>
    <row r="53202">
      <c r="E53202" s="96"/>
    </row>
    <row r="53203">
      <c r="E53203" s="96"/>
    </row>
    <row r="53204">
      <c r="E53204" s="96"/>
    </row>
    <row r="53205">
      <c r="E53205" s="96"/>
    </row>
    <row r="53206">
      <c r="E53206" s="96"/>
    </row>
    <row r="53207">
      <c r="E53207" s="96"/>
    </row>
    <row r="53208">
      <c r="E53208" s="96"/>
    </row>
    <row r="53209">
      <c r="E53209" s="96"/>
    </row>
    <row r="53210">
      <c r="E53210" s="96"/>
    </row>
    <row r="53211">
      <c r="E53211" s="96"/>
    </row>
    <row r="53212">
      <c r="E53212" s="96"/>
    </row>
    <row r="53213">
      <c r="E53213" s="96"/>
    </row>
    <row r="53214">
      <c r="E53214" s="96"/>
    </row>
    <row r="53215">
      <c r="E53215" s="96"/>
    </row>
    <row r="53216">
      <c r="E53216" s="96"/>
    </row>
    <row r="53217">
      <c r="E53217" s="96"/>
    </row>
    <row r="53218">
      <c r="E53218" s="96"/>
    </row>
    <row r="53219">
      <c r="E53219" s="96"/>
    </row>
    <row r="53220">
      <c r="E53220" s="96"/>
    </row>
    <row r="53221">
      <c r="E53221" s="96"/>
    </row>
    <row r="53222">
      <c r="E53222" s="96"/>
    </row>
    <row r="53223">
      <c r="E53223" s="96"/>
    </row>
    <row r="53224">
      <c r="E53224" s="96"/>
    </row>
    <row r="53225">
      <c r="E53225" s="96"/>
    </row>
    <row r="53226">
      <c r="E53226" s="96"/>
    </row>
    <row r="53227">
      <c r="E53227" s="96"/>
    </row>
    <row r="53228">
      <c r="E53228" s="96"/>
    </row>
    <row r="53229">
      <c r="E53229" s="96"/>
    </row>
    <row r="53230">
      <c r="E53230" s="96"/>
    </row>
    <row r="53231">
      <c r="E53231" s="96"/>
    </row>
    <row r="53232">
      <c r="E53232" s="96"/>
    </row>
    <row r="53233">
      <c r="E53233" s="96"/>
    </row>
    <row r="53234">
      <c r="E53234" s="96"/>
    </row>
    <row r="53235">
      <c r="E53235" s="96"/>
    </row>
    <row r="53236">
      <c r="E53236" s="96"/>
    </row>
    <row r="53237">
      <c r="E53237" s="96"/>
    </row>
    <row r="53238">
      <c r="E53238" s="96"/>
    </row>
    <row r="53239">
      <c r="E53239" s="96"/>
    </row>
    <row r="53240">
      <c r="E53240" s="96"/>
    </row>
    <row r="53241">
      <c r="E53241" s="96"/>
    </row>
    <row r="53242">
      <c r="E53242" s="96"/>
    </row>
    <row r="53243">
      <c r="E53243" s="96"/>
    </row>
    <row r="53244">
      <c r="E53244" s="96"/>
    </row>
    <row r="53245">
      <c r="E53245" s="96"/>
    </row>
    <row r="53246">
      <c r="E53246" s="96"/>
    </row>
    <row r="53247">
      <c r="E53247" s="96"/>
    </row>
    <row r="53248">
      <c r="E53248" s="96"/>
    </row>
    <row r="53249">
      <c r="E53249" s="96"/>
    </row>
    <row r="53250">
      <c r="E53250" s="96"/>
    </row>
    <row r="53251">
      <c r="E53251" s="96"/>
    </row>
    <row r="53252">
      <c r="E53252" s="96"/>
    </row>
    <row r="53253">
      <c r="E53253" s="96"/>
    </row>
    <row r="53254">
      <c r="E53254" s="96"/>
    </row>
    <row r="53255">
      <c r="E53255" s="96"/>
    </row>
    <row r="53256">
      <c r="E53256" s="96"/>
    </row>
    <row r="53257">
      <c r="E53257" s="96"/>
    </row>
    <row r="53258">
      <c r="E53258" s="96"/>
    </row>
    <row r="53259">
      <c r="E53259" s="96"/>
    </row>
    <row r="53260">
      <c r="E53260" s="96"/>
    </row>
    <row r="53261">
      <c r="E53261" s="96"/>
    </row>
    <row r="53262">
      <c r="E53262" s="96"/>
    </row>
    <row r="53263">
      <c r="E53263" s="96"/>
    </row>
    <row r="53264">
      <c r="E53264" s="96"/>
    </row>
    <row r="53265">
      <c r="E53265" s="96"/>
    </row>
    <row r="53266">
      <c r="E53266" s="96"/>
    </row>
    <row r="53267">
      <c r="E53267" s="96"/>
    </row>
    <row r="53268">
      <c r="E53268" s="96"/>
    </row>
    <row r="53269">
      <c r="E53269" s="96"/>
    </row>
    <row r="53270">
      <c r="E53270" s="96"/>
    </row>
    <row r="53271">
      <c r="E53271" s="96"/>
    </row>
    <row r="53272">
      <c r="E53272" s="96"/>
    </row>
    <row r="53273">
      <c r="E53273" s="96"/>
    </row>
    <row r="53274">
      <c r="E53274" s="96"/>
    </row>
    <row r="53275">
      <c r="E53275" s="96"/>
    </row>
    <row r="53276">
      <c r="E53276" s="96"/>
    </row>
    <row r="53277">
      <c r="E53277" s="96"/>
    </row>
    <row r="53278">
      <c r="E53278" s="96"/>
    </row>
    <row r="53279">
      <c r="E53279" s="96"/>
    </row>
    <row r="53280">
      <c r="E53280" s="96"/>
    </row>
    <row r="53281">
      <c r="E53281" s="96"/>
    </row>
    <row r="53282">
      <c r="E53282" s="96"/>
    </row>
    <row r="53283">
      <c r="E53283" s="96"/>
    </row>
    <row r="53284">
      <c r="E53284" s="96"/>
    </row>
    <row r="53285">
      <c r="E53285" s="96"/>
    </row>
    <row r="53286">
      <c r="E53286" s="96"/>
    </row>
    <row r="53287">
      <c r="E53287" s="96"/>
    </row>
    <row r="53288">
      <c r="E53288" s="96"/>
    </row>
    <row r="53289">
      <c r="E53289" s="96"/>
    </row>
    <row r="53290">
      <c r="E53290" s="96"/>
    </row>
    <row r="53291">
      <c r="E53291" s="96"/>
    </row>
    <row r="53292">
      <c r="E53292" s="96"/>
    </row>
    <row r="53293">
      <c r="E53293" s="96"/>
    </row>
    <row r="53294">
      <c r="E53294" s="96"/>
    </row>
    <row r="53295">
      <c r="E53295" s="96"/>
    </row>
    <row r="53296">
      <c r="E53296" s="96"/>
    </row>
    <row r="53297">
      <c r="E53297" s="96"/>
    </row>
    <row r="53298">
      <c r="E53298" s="96"/>
    </row>
    <row r="53299">
      <c r="E53299" s="96"/>
    </row>
    <row r="53300">
      <c r="E53300" s="96"/>
    </row>
    <row r="53301">
      <c r="E53301" s="96"/>
    </row>
    <row r="53302">
      <c r="E53302" s="96"/>
    </row>
    <row r="53303">
      <c r="E53303" s="96"/>
    </row>
    <row r="53304">
      <c r="E53304" s="96"/>
    </row>
    <row r="53305">
      <c r="E53305" s="96"/>
    </row>
    <row r="53306">
      <c r="E53306" s="96"/>
    </row>
    <row r="53307">
      <c r="E53307" s="96"/>
    </row>
    <row r="53308">
      <c r="E53308" s="96"/>
    </row>
    <row r="53309">
      <c r="E53309" s="96"/>
    </row>
    <row r="53310">
      <c r="E53310" s="96"/>
    </row>
    <row r="53311">
      <c r="E53311" s="96"/>
    </row>
    <row r="53312">
      <c r="E53312" s="96"/>
    </row>
    <row r="53313">
      <c r="E53313" s="96"/>
    </row>
    <row r="53314">
      <c r="E53314" s="96"/>
    </row>
    <row r="53315">
      <c r="E53315" s="96"/>
    </row>
    <row r="53316">
      <c r="E53316" s="96"/>
    </row>
    <row r="53317">
      <c r="E53317" s="96"/>
    </row>
    <row r="53318">
      <c r="E53318" s="96"/>
    </row>
    <row r="53319">
      <c r="E53319" s="96"/>
    </row>
    <row r="53320">
      <c r="E53320" s="96"/>
    </row>
    <row r="53321">
      <c r="E53321" s="96"/>
    </row>
    <row r="53322">
      <c r="E53322" s="96"/>
    </row>
    <row r="53323">
      <c r="E53323" s="96"/>
    </row>
    <row r="53324">
      <c r="E53324" s="96"/>
    </row>
    <row r="53325">
      <c r="E53325" s="96"/>
    </row>
    <row r="53326">
      <c r="E53326" s="96"/>
    </row>
    <row r="53327">
      <c r="E53327" s="96"/>
    </row>
    <row r="53328">
      <c r="E53328" s="96"/>
    </row>
    <row r="53329">
      <c r="E53329" s="96"/>
    </row>
    <row r="53330">
      <c r="E53330" s="96"/>
    </row>
    <row r="53331">
      <c r="E53331" s="96"/>
    </row>
    <row r="53332">
      <c r="E53332" s="96"/>
    </row>
    <row r="53333">
      <c r="E53333" s="96"/>
    </row>
    <row r="53334">
      <c r="E53334" s="96"/>
    </row>
    <row r="53335">
      <c r="E53335" s="96"/>
    </row>
    <row r="53336">
      <c r="E53336" s="96"/>
    </row>
    <row r="53337">
      <c r="E53337" s="96"/>
    </row>
    <row r="53338">
      <c r="E53338" s="96"/>
    </row>
    <row r="53339">
      <c r="E53339" s="96"/>
    </row>
    <row r="53340">
      <c r="E53340" s="96"/>
    </row>
    <row r="53341">
      <c r="E53341" s="96"/>
    </row>
    <row r="53342">
      <c r="E53342" s="96"/>
    </row>
    <row r="53343">
      <c r="E53343" s="96"/>
    </row>
    <row r="53344">
      <c r="E53344" s="96"/>
    </row>
    <row r="53345">
      <c r="E53345" s="96"/>
    </row>
    <row r="53346">
      <c r="E53346" s="96"/>
    </row>
    <row r="53347">
      <c r="E53347" s="96"/>
    </row>
    <row r="53348">
      <c r="E53348" s="96"/>
    </row>
    <row r="53349">
      <c r="E53349" s="96"/>
    </row>
    <row r="53350">
      <c r="E53350" s="96"/>
    </row>
    <row r="53351">
      <c r="E53351" s="96"/>
    </row>
    <row r="53352">
      <c r="E53352" s="96"/>
    </row>
    <row r="53353">
      <c r="E53353" s="96"/>
    </row>
    <row r="53354">
      <c r="E53354" s="96"/>
    </row>
    <row r="53355">
      <c r="E53355" s="96"/>
    </row>
    <row r="53356">
      <c r="E53356" s="96"/>
    </row>
    <row r="53357">
      <c r="E53357" s="96"/>
    </row>
    <row r="53358">
      <c r="E53358" s="96"/>
    </row>
    <row r="53359">
      <c r="E53359" s="96"/>
    </row>
    <row r="53360">
      <c r="E53360" s="96"/>
    </row>
    <row r="53361">
      <c r="E53361" s="96"/>
    </row>
    <row r="53362">
      <c r="E53362" s="96"/>
    </row>
    <row r="53363">
      <c r="E53363" s="96"/>
    </row>
    <row r="53364">
      <c r="E53364" s="96"/>
    </row>
    <row r="53365">
      <c r="E53365" s="96"/>
    </row>
    <row r="53366">
      <c r="E53366" s="96"/>
    </row>
    <row r="53367">
      <c r="E53367" s="96"/>
    </row>
    <row r="53368">
      <c r="E53368" s="96"/>
    </row>
    <row r="53369">
      <c r="E53369" s="96"/>
    </row>
    <row r="53370">
      <c r="E53370" s="96"/>
    </row>
    <row r="53371">
      <c r="E53371" s="96"/>
    </row>
    <row r="53372">
      <c r="E53372" s="96"/>
    </row>
    <row r="53373">
      <c r="E53373" s="96"/>
    </row>
    <row r="53374">
      <c r="E53374" s="96"/>
    </row>
    <row r="53375">
      <c r="E53375" s="96"/>
    </row>
    <row r="53376">
      <c r="E53376" s="96"/>
    </row>
    <row r="53377">
      <c r="E53377" s="96"/>
    </row>
    <row r="53378">
      <c r="E53378" s="96"/>
    </row>
    <row r="53379">
      <c r="E53379" s="96"/>
    </row>
    <row r="53380">
      <c r="E53380" s="96"/>
    </row>
    <row r="53381">
      <c r="E53381" s="96"/>
    </row>
    <row r="53382">
      <c r="E53382" s="96"/>
    </row>
    <row r="53383">
      <c r="E53383" s="96"/>
    </row>
    <row r="53384">
      <c r="E53384" s="96"/>
    </row>
    <row r="53385">
      <c r="E53385" s="96"/>
    </row>
    <row r="53386">
      <c r="E53386" s="96"/>
    </row>
    <row r="53387">
      <c r="E53387" s="96"/>
    </row>
    <row r="53388">
      <c r="E53388" s="96"/>
    </row>
    <row r="53389">
      <c r="E53389" s="96"/>
    </row>
    <row r="53390">
      <c r="E53390" s="96"/>
    </row>
    <row r="53391">
      <c r="E53391" s="96"/>
    </row>
    <row r="53392">
      <c r="E53392" s="96"/>
    </row>
    <row r="53393">
      <c r="E53393" s="96"/>
    </row>
    <row r="53394">
      <c r="E53394" s="96"/>
    </row>
    <row r="53395">
      <c r="E53395" s="96"/>
    </row>
    <row r="53396">
      <c r="E53396" s="96"/>
    </row>
    <row r="53397">
      <c r="E53397" s="96"/>
    </row>
    <row r="53398">
      <c r="E53398" s="96"/>
    </row>
    <row r="53399">
      <c r="E53399" s="96"/>
    </row>
    <row r="53400">
      <c r="E53400" s="96"/>
    </row>
    <row r="53401">
      <c r="E53401" s="96"/>
    </row>
    <row r="53402">
      <c r="E53402" s="96"/>
    </row>
    <row r="53403">
      <c r="E53403" s="96"/>
    </row>
    <row r="53404">
      <c r="E53404" s="96"/>
    </row>
    <row r="53405">
      <c r="E53405" s="96"/>
    </row>
    <row r="53406">
      <c r="E53406" s="96"/>
    </row>
    <row r="53407">
      <c r="E53407" s="96"/>
    </row>
    <row r="53408">
      <c r="E53408" s="96"/>
    </row>
    <row r="53409">
      <c r="E53409" s="96"/>
    </row>
    <row r="53410">
      <c r="E53410" s="96"/>
    </row>
    <row r="53411">
      <c r="E53411" s="96"/>
    </row>
    <row r="53412">
      <c r="E53412" s="96"/>
    </row>
    <row r="53413">
      <c r="E53413" s="96"/>
    </row>
    <row r="53414">
      <c r="E53414" s="96"/>
    </row>
    <row r="53415">
      <c r="E53415" s="96"/>
    </row>
    <row r="53416">
      <c r="E53416" s="96"/>
    </row>
    <row r="53417">
      <c r="E53417" s="96"/>
    </row>
    <row r="53418">
      <c r="E53418" s="96"/>
    </row>
    <row r="53419">
      <c r="E53419" s="96"/>
    </row>
    <row r="53420">
      <c r="E53420" s="96"/>
    </row>
    <row r="53421">
      <c r="E53421" s="96"/>
    </row>
    <row r="53422">
      <c r="E53422" s="96"/>
    </row>
    <row r="53423">
      <c r="E53423" s="96"/>
    </row>
    <row r="53424">
      <c r="E53424" s="96"/>
    </row>
    <row r="53425">
      <c r="E53425" s="96"/>
    </row>
    <row r="53426">
      <c r="E53426" s="96"/>
    </row>
    <row r="53427">
      <c r="E53427" s="96"/>
    </row>
    <row r="53428">
      <c r="E53428" s="96"/>
    </row>
    <row r="53429">
      <c r="E53429" s="96"/>
    </row>
    <row r="53430">
      <c r="E53430" s="96"/>
    </row>
    <row r="53431">
      <c r="E53431" s="96"/>
    </row>
    <row r="53432">
      <c r="E53432" s="96"/>
    </row>
    <row r="53433">
      <c r="E53433" s="96"/>
    </row>
    <row r="53434">
      <c r="E53434" s="96"/>
    </row>
    <row r="53435">
      <c r="E53435" s="96"/>
    </row>
    <row r="53436">
      <c r="E53436" s="96"/>
    </row>
    <row r="53437">
      <c r="E53437" s="96"/>
    </row>
    <row r="53438">
      <c r="E53438" s="96"/>
    </row>
    <row r="53439">
      <c r="E53439" s="96"/>
    </row>
    <row r="53440">
      <c r="E53440" s="96"/>
    </row>
    <row r="53441">
      <c r="E53441" s="96"/>
    </row>
    <row r="53442">
      <c r="E53442" s="96"/>
    </row>
    <row r="53443">
      <c r="E53443" s="96"/>
    </row>
    <row r="53444">
      <c r="E53444" s="96"/>
    </row>
    <row r="53445">
      <c r="E53445" s="96"/>
    </row>
    <row r="53446">
      <c r="E53446" s="96"/>
    </row>
    <row r="53447">
      <c r="E53447" s="96"/>
    </row>
    <row r="53448">
      <c r="E53448" s="96"/>
    </row>
    <row r="53449">
      <c r="E53449" s="96"/>
    </row>
    <row r="53450">
      <c r="E53450" s="96"/>
    </row>
    <row r="53451">
      <c r="E53451" s="96"/>
    </row>
    <row r="53452">
      <c r="E53452" s="96"/>
    </row>
    <row r="53453">
      <c r="E53453" s="96"/>
    </row>
    <row r="53454">
      <c r="E53454" s="96"/>
    </row>
    <row r="53455">
      <c r="E53455" s="96"/>
    </row>
    <row r="53456">
      <c r="E53456" s="96"/>
    </row>
    <row r="53457">
      <c r="E53457" s="96"/>
    </row>
    <row r="53458">
      <c r="E53458" s="96"/>
    </row>
    <row r="53459">
      <c r="E53459" s="96"/>
    </row>
    <row r="53460">
      <c r="E53460" s="96"/>
    </row>
    <row r="53461">
      <c r="E53461" s="96"/>
    </row>
    <row r="53462">
      <c r="E53462" s="96"/>
    </row>
    <row r="53463">
      <c r="E53463" s="96"/>
    </row>
    <row r="53464">
      <c r="E53464" s="96"/>
    </row>
    <row r="53465">
      <c r="E53465" s="96"/>
    </row>
    <row r="53466">
      <c r="E53466" s="96"/>
    </row>
    <row r="53467">
      <c r="E53467" s="96"/>
    </row>
    <row r="53468">
      <c r="E53468" s="96"/>
    </row>
    <row r="53469">
      <c r="E53469" s="96"/>
    </row>
    <row r="53470">
      <c r="E53470" s="96"/>
    </row>
    <row r="53471">
      <c r="E53471" s="96"/>
    </row>
    <row r="53472">
      <c r="E53472" s="96"/>
    </row>
    <row r="53473">
      <c r="E53473" s="96"/>
    </row>
    <row r="53474">
      <c r="E53474" s="96"/>
    </row>
    <row r="53475">
      <c r="E53475" s="96"/>
    </row>
    <row r="53476">
      <c r="E53476" s="96"/>
    </row>
    <row r="53477">
      <c r="E53477" s="96"/>
    </row>
    <row r="53478">
      <c r="E53478" s="96"/>
    </row>
    <row r="53479">
      <c r="E53479" s="96"/>
    </row>
    <row r="53480">
      <c r="E53480" s="96"/>
    </row>
    <row r="53481">
      <c r="E53481" s="96"/>
    </row>
    <row r="53482">
      <c r="E53482" s="96"/>
    </row>
    <row r="53483">
      <c r="E53483" s="96"/>
    </row>
    <row r="53484">
      <c r="E53484" s="96"/>
    </row>
    <row r="53485">
      <c r="E53485" s="96"/>
    </row>
    <row r="53486">
      <c r="E53486" s="96"/>
    </row>
    <row r="53487">
      <c r="E53487" s="96"/>
    </row>
    <row r="53488">
      <c r="E53488" s="96"/>
    </row>
    <row r="53489">
      <c r="E53489" s="96"/>
    </row>
    <row r="53490">
      <c r="E53490" s="96"/>
    </row>
    <row r="53491">
      <c r="E53491" s="96"/>
    </row>
    <row r="53492">
      <c r="E53492" s="96"/>
    </row>
    <row r="53493">
      <c r="E53493" s="96"/>
    </row>
    <row r="53494">
      <c r="E53494" s="96"/>
    </row>
    <row r="53495">
      <c r="E53495" s="96"/>
    </row>
    <row r="53496">
      <c r="E53496" s="96"/>
    </row>
    <row r="53497">
      <c r="E53497" s="96"/>
    </row>
    <row r="53498">
      <c r="E53498" s="96"/>
    </row>
    <row r="53499">
      <c r="E53499" s="96"/>
    </row>
    <row r="53500">
      <c r="E53500" s="96"/>
    </row>
    <row r="53501">
      <c r="E53501" s="96"/>
    </row>
    <row r="53502">
      <c r="E53502" s="96"/>
    </row>
    <row r="53503">
      <c r="E53503" s="96"/>
    </row>
    <row r="53504">
      <c r="E53504" s="96"/>
    </row>
    <row r="53505">
      <c r="E53505" s="96"/>
    </row>
    <row r="53506">
      <c r="E53506" s="96"/>
    </row>
    <row r="53507">
      <c r="E53507" s="96"/>
    </row>
    <row r="53508">
      <c r="E53508" s="96"/>
    </row>
    <row r="53509">
      <c r="E53509" s="96"/>
    </row>
    <row r="53510">
      <c r="E53510" s="96"/>
    </row>
    <row r="53511">
      <c r="E53511" s="96"/>
    </row>
    <row r="53512">
      <c r="E53512" s="96"/>
    </row>
    <row r="53513">
      <c r="E53513" s="96"/>
    </row>
    <row r="53514">
      <c r="E53514" s="96"/>
    </row>
    <row r="53515">
      <c r="E53515" s="96"/>
    </row>
    <row r="53516">
      <c r="E53516" s="96"/>
    </row>
    <row r="53517">
      <c r="E53517" s="96"/>
    </row>
    <row r="53518">
      <c r="E53518" s="96"/>
    </row>
    <row r="53519">
      <c r="E53519" s="96"/>
    </row>
    <row r="53520">
      <c r="E53520" s="96"/>
    </row>
    <row r="53521">
      <c r="E53521" s="96"/>
    </row>
    <row r="53522">
      <c r="E53522" s="96"/>
    </row>
    <row r="53523">
      <c r="E53523" s="96"/>
    </row>
    <row r="53524">
      <c r="E53524" s="96"/>
    </row>
    <row r="53525">
      <c r="E53525" s="96"/>
    </row>
    <row r="53526">
      <c r="E53526" s="96"/>
    </row>
    <row r="53527">
      <c r="E53527" s="96"/>
    </row>
    <row r="53528">
      <c r="E53528" s="96"/>
    </row>
    <row r="53529">
      <c r="E53529" s="96"/>
    </row>
    <row r="53530">
      <c r="E53530" s="96"/>
    </row>
    <row r="53531">
      <c r="E53531" s="96"/>
    </row>
    <row r="53532">
      <c r="E53532" s="96"/>
    </row>
    <row r="53533">
      <c r="E53533" s="96"/>
    </row>
    <row r="53534">
      <c r="E53534" s="96"/>
    </row>
    <row r="53535">
      <c r="E53535" s="96"/>
    </row>
    <row r="53536">
      <c r="E53536" s="96"/>
    </row>
    <row r="53537">
      <c r="E53537" s="96"/>
    </row>
    <row r="53538">
      <c r="E53538" s="96"/>
    </row>
    <row r="53539">
      <c r="E53539" s="96"/>
    </row>
    <row r="53540">
      <c r="E53540" s="96"/>
    </row>
    <row r="53541">
      <c r="E53541" s="96"/>
    </row>
    <row r="53542">
      <c r="E53542" s="96"/>
    </row>
    <row r="53543">
      <c r="E53543" s="96"/>
    </row>
    <row r="53544">
      <c r="E53544" s="96"/>
    </row>
    <row r="53545">
      <c r="E53545" s="96"/>
    </row>
    <row r="53546">
      <c r="E53546" s="96"/>
    </row>
    <row r="53547">
      <c r="E53547" s="96"/>
    </row>
    <row r="53548">
      <c r="E53548" s="96"/>
    </row>
    <row r="53549">
      <c r="E53549" s="96"/>
    </row>
    <row r="53550">
      <c r="E53550" s="96"/>
    </row>
    <row r="53551">
      <c r="E53551" s="96"/>
    </row>
    <row r="53552">
      <c r="E53552" s="96"/>
    </row>
    <row r="53553">
      <c r="E53553" s="96"/>
    </row>
    <row r="53554">
      <c r="E53554" s="96"/>
    </row>
    <row r="53555">
      <c r="E53555" s="96"/>
    </row>
    <row r="53556">
      <c r="E53556" s="96"/>
    </row>
    <row r="53557">
      <c r="E53557" s="96"/>
    </row>
    <row r="53558">
      <c r="E53558" s="96"/>
    </row>
    <row r="53559">
      <c r="E53559" s="96"/>
    </row>
    <row r="53560">
      <c r="E53560" s="96"/>
    </row>
    <row r="53561">
      <c r="E53561" s="96"/>
    </row>
    <row r="53562">
      <c r="E53562" s="96"/>
    </row>
    <row r="53563">
      <c r="E53563" s="96"/>
    </row>
    <row r="53564">
      <c r="E53564" s="96"/>
    </row>
    <row r="53565">
      <c r="E53565" s="96"/>
    </row>
    <row r="53566">
      <c r="E53566" s="96"/>
    </row>
    <row r="53567">
      <c r="E53567" s="96"/>
    </row>
    <row r="53568">
      <c r="E53568" s="96"/>
    </row>
    <row r="53569">
      <c r="E53569" s="96"/>
    </row>
    <row r="53570">
      <c r="E53570" s="96"/>
    </row>
    <row r="53571">
      <c r="E53571" s="96"/>
    </row>
    <row r="53572">
      <c r="E53572" s="96"/>
    </row>
    <row r="53573">
      <c r="E53573" s="96"/>
    </row>
    <row r="53574">
      <c r="E53574" s="96"/>
    </row>
    <row r="53575">
      <c r="E53575" s="96"/>
    </row>
    <row r="53576">
      <c r="E53576" s="96"/>
    </row>
    <row r="53577">
      <c r="E53577" s="96"/>
    </row>
    <row r="53578">
      <c r="E53578" s="96"/>
    </row>
    <row r="53579">
      <c r="E53579" s="96"/>
    </row>
    <row r="53580">
      <c r="E53580" s="96"/>
    </row>
    <row r="53581">
      <c r="E53581" s="96"/>
    </row>
    <row r="53582">
      <c r="E53582" s="96"/>
    </row>
    <row r="53583">
      <c r="E53583" s="96"/>
    </row>
    <row r="53584">
      <c r="E53584" s="96"/>
    </row>
    <row r="53585">
      <c r="E53585" s="96"/>
    </row>
    <row r="53586">
      <c r="E53586" s="96"/>
    </row>
    <row r="53587">
      <c r="E53587" s="96"/>
    </row>
    <row r="53588">
      <c r="E53588" s="96"/>
    </row>
    <row r="53589">
      <c r="E53589" s="96"/>
    </row>
    <row r="53590">
      <c r="E53590" s="96"/>
    </row>
    <row r="53591">
      <c r="E53591" s="96"/>
    </row>
    <row r="53592">
      <c r="E53592" s="96"/>
    </row>
    <row r="53593">
      <c r="E53593" s="96"/>
    </row>
    <row r="53594">
      <c r="E53594" s="96"/>
    </row>
    <row r="53595">
      <c r="E53595" s="96"/>
    </row>
    <row r="53596">
      <c r="E53596" s="96"/>
    </row>
    <row r="53597">
      <c r="E53597" s="96"/>
    </row>
    <row r="53598">
      <c r="E53598" s="96"/>
    </row>
    <row r="53599">
      <c r="E53599" s="96"/>
    </row>
    <row r="53600">
      <c r="E53600" s="96"/>
    </row>
    <row r="53601">
      <c r="E53601" s="96"/>
    </row>
    <row r="53602">
      <c r="E53602" s="96"/>
    </row>
    <row r="53603">
      <c r="E53603" s="96"/>
    </row>
    <row r="53604">
      <c r="E53604" s="96"/>
    </row>
    <row r="53605">
      <c r="E53605" s="96"/>
    </row>
    <row r="53606">
      <c r="E53606" s="96"/>
    </row>
    <row r="53607">
      <c r="E53607" s="96"/>
    </row>
    <row r="53608">
      <c r="E53608" s="96"/>
    </row>
    <row r="53609">
      <c r="E53609" s="96"/>
    </row>
    <row r="53610">
      <c r="E53610" s="96"/>
    </row>
    <row r="53611">
      <c r="E53611" s="96"/>
    </row>
    <row r="53612">
      <c r="E53612" s="96"/>
    </row>
    <row r="53613">
      <c r="E53613" s="96"/>
    </row>
    <row r="53614">
      <c r="E53614" s="96"/>
    </row>
    <row r="53615">
      <c r="E53615" s="96"/>
    </row>
    <row r="53616">
      <c r="E53616" s="96"/>
    </row>
    <row r="53617">
      <c r="E53617" s="96"/>
    </row>
    <row r="53618">
      <c r="E53618" s="96"/>
    </row>
    <row r="53619">
      <c r="E53619" s="96"/>
    </row>
    <row r="53620">
      <c r="E53620" s="96"/>
    </row>
    <row r="53621">
      <c r="E53621" s="96"/>
    </row>
    <row r="53622">
      <c r="E53622" s="96"/>
    </row>
    <row r="53623">
      <c r="E53623" s="96"/>
    </row>
    <row r="53624">
      <c r="E53624" s="96"/>
    </row>
    <row r="53625">
      <c r="E53625" s="96"/>
    </row>
    <row r="53626">
      <c r="E53626" s="96"/>
    </row>
    <row r="53627">
      <c r="E53627" s="96"/>
    </row>
    <row r="53628">
      <c r="E53628" s="96"/>
    </row>
    <row r="53629">
      <c r="E53629" s="96"/>
    </row>
    <row r="53630">
      <c r="E53630" s="96"/>
    </row>
    <row r="53631">
      <c r="E53631" s="96"/>
    </row>
    <row r="53632">
      <c r="E53632" s="96"/>
    </row>
    <row r="53633">
      <c r="E53633" s="96"/>
    </row>
    <row r="53634">
      <c r="E53634" s="96"/>
    </row>
    <row r="53635">
      <c r="E53635" s="96"/>
    </row>
    <row r="53636">
      <c r="E53636" s="96"/>
    </row>
    <row r="53637">
      <c r="E53637" s="96"/>
    </row>
    <row r="53638">
      <c r="E53638" s="96"/>
    </row>
    <row r="53639">
      <c r="E53639" s="96"/>
    </row>
    <row r="53640">
      <c r="E53640" s="96"/>
    </row>
    <row r="53641">
      <c r="E53641" s="96"/>
    </row>
    <row r="53642">
      <c r="E53642" s="96"/>
    </row>
    <row r="53643">
      <c r="E53643" s="96"/>
    </row>
    <row r="53644">
      <c r="E53644" s="96"/>
    </row>
    <row r="53645">
      <c r="E53645" s="96"/>
    </row>
    <row r="53646">
      <c r="E53646" s="96"/>
    </row>
    <row r="53647">
      <c r="E53647" s="96"/>
    </row>
    <row r="53648">
      <c r="E53648" s="96"/>
    </row>
    <row r="53649">
      <c r="E53649" s="96"/>
    </row>
    <row r="53650">
      <c r="E53650" s="96"/>
    </row>
    <row r="53651">
      <c r="E53651" s="96"/>
    </row>
    <row r="53652">
      <c r="E53652" s="96"/>
    </row>
    <row r="53653">
      <c r="E53653" s="96"/>
    </row>
    <row r="53654">
      <c r="E53654" s="96"/>
    </row>
    <row r="53655">
      <c r="E53655" s="96"/>
    </row>
    <row r="53656">
      <c r="E53656" s="96"/>
    </row>
    <row r="53657">
      <c r="E53657" s="96"/>
    </row>
    <row r="53658">
      <c r="E53658" s="96"/>
    </row>
    <row r="53659">
      <c r="E53659" s="96"/>
    </row>
    <row r="53660">
      <c r="E53660" s="96"/>
    </row>
    <row r="53661">
      <c r="E53661" s="96"/>
    </row>
    <row r="53662">
      <c r="E53662" s="96"/>
    </row>
    <row r="53663">
      <c r="E53663" s="96"/>
    </row>
    <row r="53664">
      <c r="E53664" s="96"/>
    </row>
    <row r="53665">
      <c r="E53665" s="96"/>
    </row>
    <row r="53666">
      <c r="E53666" s="96"/>
    </row>
    <row r="53667">
      <c r="E53667" s="96"/>
    </row>
    <row r="53668">
      <c r="E53668" s="96"/>
    </row>
    <row r="53669">
      <c r="E53669" s="96"/>
    </row>
    <row r="53670">
      <c r="E53670" s="96"/>
    </row>
    <row r="53671">
      <c r="E53671" s="96"/>
    </row>
    <row r="53672">
      <c r="E53672" s="96"/>
    </row>
    <row r="53673">
      <c r="E53673" s="96"/>
    </row>
    <row r="53674">
      <c r="E53674" s="96"/>
    </row>
    <row r="53675">
      <c r="E53675" s="96"/>
    </row>
    <row r="53676">
      <c r="E53676" s="96"/>
    </row>
    <row r="53677">
      <c r="E53677" s="96"/>
    </row>
    <row r="53678">
      <c r="E53678" s="96"/>
    </row>
    <row r="53679">
      <c r="E53679" s="96"/>
    </row>
    <row r="53680">
      <c r="E53680" s="96"/>
    </row>
    <row r="53681">
      <c r="E53681" s="96"/>
    </row>
    <row r="53682">
      <c r="E53682" s="96"/>
    </row>
    <row r="53683">
      <c r="E53683" s="96"/>
    </row>
    <row r="53684">
      <c r="E53684" s="96"/>
    </row>
    <row r="53685">
      <c r="E53685" s="96"/>
    </row>
    <row r="53686">
      <c r="E53686" s="96"/>
    </row>
    <row r="53687">
      <c r="E53687" s="96"/>
    </row>
    <row r="53688">
      <c r="E53688" s="96"/>
    </row>
    <row r="53689">
      <c r="E53689" s="96"/>
    </row>
    <row r="53690">
      <c r="E53690" s="96"/>
    </row>
    <row r="53691">
      <c r="E53691" s="96"/>
    </row>
    <row r="53692">
      <c r="E53692" s="96"/>
    </row>
    <row r="53693">
      <c r="E53693" s="96"/>
    </row>
    <row r="53694">
      <c r="E53694" s="96"/>
    </row>
    <row r="53695">
      <c r="E53695" s="96"/>
    </row>
    <row r="53696">
      <c r="E53696" s="96"/>
    </row>
    <row r="53697">
      <c r="E53697" s="96"/>
    </row>
    <row r="53698">
      <c r="E53698" s="96"/>
    </row>
    <row r="53699">
      <c r="E53699" s="96"/>
    </row>
    <row r="53700">
      <c r="E53700" s="96"/>
    </row>
    <row r="53701">
      <c r="E53701" s="96"/>
    </row>
    <row r="53702">
      <c r="E53702" s="96"/>
    </row>
    <row r="53703">
      <c r="E53703" s="96"/>
    </row>
    <row r="53704">
      <c r="E53704" s="96"/>
    </row>
    <row r="53705">
      <c r="E53705" s="96"/>
    </row>
    <row r="53706">
      <c r="E53706" s="96"/>
    </row>
    <row r="53707">
      <c r="E53707" s="96"/>
    </row>
    <row r="53708">
      <c r="E53708" s="96"/>
    </row>
    <row r="53709">
      <c r="E53709" s="96"/>
    </row>
    <row r="53710">
      <c r="E53710" s="96"/>
    </row>
    <row r="53711">
      <c r="E53711" s="96"/>
    </row>
    <row r="53712">
      <c r="E53712" s="96"/>
    </row>
    <row r="53713">
      <c r="E53713" s="96"/>
    </row>
    <row r="53714">
      <c r="E53714" s="96"/>
    </row>
    <row r="53715">
      <c r="E53715" s="96"/>
    </row>
    <row r="53716">
      <c r="E53716" s="96"/>
    </row>
    <row r="53717">
      <c r="E53717" s="96"/>
    </row>
    <row r="53718">
      <c r="E53718" s="96"/>
    </row>
    <row r="53719">
      <c r="E53719" s="96"/>
    </row>
    <row r="53720">
      <c r="E53720" s="96"/>
    </row>
    <row r="53721">
      <c r="E53721" s="96"/>
    </row>
    <row r="53722">
      <c r="E53722" s="96"/>
    </row>
    <row r="53723">
      <c r="E53723" s="96"/>
    </row>
    <row r="53724">
      <c r="E53724" s="96"/>
    </row>
    <row r="53725">
      <c r="E53725" s="96"/>
    </row>
    <row r="53726">
      <c r="E53726" s="96"/>
    </row>
    <row r="53727">
      <c r="E53727" s="96"/>
    </row>
    <row r="53728">
      <c r="E53728" s="96"/>
    </row>
    <row r="53729">
      <c r="E53729" s="96"/>
    </row>
    <row r="53730">
      <c r="E53730" s="96"/>
    </row>
    <row r="53731">
      <c r="E53731" s="96"/>
    </row>
    <row r="53732">
      <c r="E53732" s="96"/>
    </row>
    <row r="53733">
      <c r="E53733" s="96"/>
    </row>
    <row r="53734">
      <c r="E53734" s="96"/>
    </row>
    <row r="53735">
      <c r="E53735" s="96"/>
    </row>
    <row r="53736">
      <c r="E53736" s="96"/>
    </row>
    <row r="53737">
      <c r="E53737" s="96"/>
    </row>
    <row r="53738">
      <c r="E53738" s="96"/>
    </row>
    <row r="53739">
      <c r="E53739" s="96"/>
    </row>
    <row r="53740">
      <c r="E53740" s="96"/>
    </row>
    <row r="53741">
      <c r="E53741" s="96"/>
    </row>
    <row r="53742">
      <c r="E53742" s="96"/>
    </row>
    <row r="53743">
      <c r="E53743" s="96"/>
    </row>
    <row r="53744">
      <c r="E53744" s="96"/>
    </row>
    <row r="53745">
      <c r="E53745" s="96"/>
    </row>
    <row r="53746">
      <c r="E53746" s="96"/>
    </row>
    <row r="53747">
      <c r="E53747" s="96"/>
    </row>
    <row r="53748">
      <c r="E53748" s="96"/>
    </row>
    <row r="53749">
      <c r="E53749" s="96"/>
    </row>
    <row r="53750">
      <c r="E53750" s="96"/>
    </row>
    <row r="53751">
      <c r="E53751" s="96"/>
    </row>
    <row r="53752">
      <c r="E53752" s="96"/>
    </row>
    <row r="53753">
      <c r="E53753" s="96"/>
    </row>
    <row r="53754">
      <c r="E53754" s="96"/>
    </row>
    <row r="53755">
      <c r="E53755" s="96"/>
    </row>
    <row r="53756">
      <c r="E53756" s="96"/>
    </row>
    <row r="53757">
      <c r="E53757" s="96"/>
    </row>
    <row r="53758">
      <c r="E53758" s="96"/>
    </row>
    <row r="53759">
      <c r="E53759" s="96"/>
    </row>
    <row r="53760">
      <c r="E53760" s="96"/>
    </row>
    <row r="53761">
      <c r="E53761" s="96"/>
    </row>
    <row r="53762">
      <c r="E53762" s="96"/>
    </row>
    <row r="53763">
      <c r="E53763" s="96"/>
    </row>
    <row r="53764">
      <c r="E53764" s="96"/>
    </row>
    <row r="53765">
      <c r="E53765" s="96"/>
    </row>
    <row r="53766">
      <c r="E53766" s="96"/>
    </row>
    <row r="53767">
      <c r="E53767" s="96"/>
    </row>
    <row r="53768">
      <c r="E53768" s="96"/>
    </row>
    <row r="53769">
      <c r="E53769" s="96"/>
    </row>
    <row r="53770">
      <c r="E53770" s="96"/>
    </row>
    <row r="53771">
      <c r="E53771" s="96"/>
    </row>
    <row r="53772">
      <c r="E53772" s="96"/>
    </row>
    <row r="53773">
      <c r="E53773" s="96"/>
    </row>
    <row r="53774">
      <c r="E53774" s="96"/>
    </row>
    <row r="53775">
      <c r="E53775" s="96"/>
    </row>
    <row r="53776">
      <c r="E53776" s="96"/>
    </row>
    <row r="53777">
      <c r="E53777" s="96"/>
    </row>
    <row r="53778">
      <c r="E53778" s="96"/>
    </row>
    <row r="53779">
      <c r="E53779" s="96"/>
    </row>
    <row r="53780">
      <c r="E53780" s="96"/>
    </row>
    <row r="53781">
      <c r="E53781" s="96"/>
    </row>
    <row r="53782">
      <c r="E53782" s="96"/>
    </row>
    <row r="53783">
      <c r="E53783" s="96"/>
    </row>
    <row r="53784">
      <c r="E53784" s="96"/>
    </row>
    <row r="53785">
      <c r="E53785" s="96"/>
    </row>
    <row r="53786">
      <c r="E53786" s="96"/>
    </row>
    <row r="53787">
      <c r="E53787" s="96"/>
    </row>
    <row r="53788">
      <c r="E53788" s="96"/>
    </row>
    <row r="53789">
      <c r="E53789" s="96"/>
    </row>
    <row r="53790">
      <c r="E53790" s="96"/>
    </row>
    <row r="53791">
      <c r="E53791" s="96"/>
    </row>
    <row r="53792">
      <c r="E53792" s="96"/>
    </row>
    <row r="53793">
      <c r="E53793" s="96"/>
    </row>
    <row r="53794">
      <c r="E53794" s="96"/>
    </row>
    <row r="53795">
      <c r="E53795" s="96"/>
    </row>
    <row r="53796">
      <c r="E53796" s="96"/>
    </row>
    <row r="53797">
      <c r="E53797" s="96"/>
    </row>
    <row r="53798">
      <c r="E53798" s="96"/>
    </row>
    <row r="53799">
      <c r="E53799" s="96"/>
    </row>
    <row r="53800">
      <c r="E53800" s="96"/>
    </row>
    <row r="53801">
      <c r="E53801" s="96"/>
    </row>
    <row r="53802">
      <c r="E53802" s="96"/>
    </row>
    <row r="53803">
      <c r="E53803" s="96"/>
    </row>
    <row r="53804">
      <c r="E53804" s="96"/>
    </row>
    <row r="53805">
      <c r="E53805" s="96"/>
    </row>
    <row r="53806">
      <c r="E53806" s="96"/>
    </row>
    <row r="53807">
      <c r="E53807" s="96"/>
    </row>
    <row r="53808">
      <c r="E53808" s="96"/>
    </row>
    <row r="53809">
      <c r="E53809" s="96"/>
    </row>
    <row r="53810">
      <c r="E53810" s="96"/>
    </row>
    <row r="53811">
      <c r="E53811" s="96"/>
    </row>
    <row r="53812">
      <c r="E53812" s="96"/>
    </row>
    <row r="53813">
      <c r="E53813" s="96"/>
    </row>
    <row r="53814">
      <c r="E53814" s="96"/>
    </row>
    <row r="53815">
      <c r="E53815" s="96"/>
    </row>
    <row r="53816">
      <c r="E53816" s="96"/>
    </row>
    <row r="53817">
      <c r="E53817" s="96"/>
    </row>
    <row r="53818">
      <c r="E53818" s="96"/>
    </row>
    <row r="53819">
      <c r="E53819" s="96"/>
    </row>
    <row r="53820">
      <c r="E53820" s="96"/>
    </row>
    <row r="53821">
      <c r="E53821" s="96"/>
    </row>
    <row r="53822">
      <c r="E53822" s="96"/>
    </row>
    <row r="53823">
      <c r="E53823" s="96"/>
    </row>
    <row r="53824">
      <c r="E53824" s="96"/>
    </row>
    <row r="53825">
      <c r="E53825" s="96"/>
    </row>
    <row r="53826">
      <c r="E53826" s="96"/>
    </row>
    <row r="53827">
      <c r="E53827" s="96"/>
    </row>
    <row r="53828">
      <c r="E53828" s="96"/>
    </row>
    <row r="53829">
      <c r="E53829" s="96"/>
    </row>
    <row r="53830">
      <c r="E53830" s="96"/>
    </row>
    <row r="53831">
      <c r="E53831" s="96"/>
    </row>
    <row r="53832">
      <c r="E53832" s="96"/>
    </row>
    <row r="53833">
      <c r="E53833" s="96"/>
    </row>
    <row r="53834">
      <c r="E53834" s="96"/>
    </row>
    <row r="53835">
      <c r="E53835" s="96"/>
    </row>
    <row r="53836">
      <c r="E53836" s="96"/>
    </row>
    <row r="53837">
      <c r="E53837" s="96"/>
    </row>
    <row r="53838">
      <c r="E53838" s="96"/>
    </row>
    <row r="53839">
      <c r="E53839" s="96"/>
    </row>
    <row r="53840">
      <c r="E53840" s="96"/>
    </row>
    <row r="53841">
      <c r="E53841" s="96"/>
    </row>
    <row r="53842">
      <c r="E53842" s="96"/>
    </row>
    <row r="53843">
      <c r="E53843" s="96"/>
    </row>
    <row r="53844">
      <c r="E53844" s="96"/>
    </row>
    <row r="53845">
      <c r="E53845" s="96"/>
    </row>
    <row r="53846">
      <c r="E53846" s="96"/>
    </row>
    <row r="53847">
      <c r="E53847" s="96"/>
    </row>
    <row r="53848">
      <c r="E53848" s="96"/>
    </row>
    <row r="53849">
      <c r="E53849" s="96"/>
    </row>
    <row r="53850">
      <c r="E53850" s="96"/>
    </row>
    <row r="53851">
      <c r="E53851" s="96"/>
    </row>
    <row r="53852">
      <c r="E53852" s="96"/>
    </row>
    <row r="53853">
      <c r="E53853" s="96"/>
    </row>
    <row r="53854">
      <c r="E53854" s="96"/>
    </row>
    <row r="53855">
      <c r="E53855" s="96"/>
    </row>
    <row r="53856">
      <c r="E53856" s="96"/>
    </row>
    <row r="53857">
      <c r="E53857" s="96"/>
    </row>
    <row r="53858">
      <c r="E53858" s="96"/>
    </row>
    <row r="53859">
      <c r="E53859" s="96"/>
    </row>
    <row r="53860">
      <c r="E53860" s="96"/>
    </row>
    <row r="53861">
      <c r="E53861" s="96"/>
    </row>
    <row r="53862">
      <c r="E53862" s="96"/>
    </row>
    <row r="53863">
      <c r="E53863" s="96"/>
    </row>
    <row r="53864">
      <c r="E53864" s="96"/>
    </row>
    <row r="53865">
      <c r="E53865" s="96"/>
    </row>
    <row r="53866">
      <c r="E53866" s="96"/>
    </row>
    <row r="53867">
      <c r="E53867" s="96"/>
    </row>
    <row r="53868">
      <c r="E53868" s="96"/>
    </row>
    <row r="53869">
      <c r="E53869" s="96"/>
    </row>
    <row r="53870">
      <c r="E53870" s="96"/>
    </row>
    <row r="53871">
      <c r="E53871" s="96"/>
    </row>
    <row r="53872">
      <c r="E53872" s="96"/>
    </row>
    <row r="53873">
      <c r="E53873" s="96"/>
    </row>
    <row r="53874">
      <c r="E53874" s="96"/>
    </row>
    <row r="53875">
      <c r="E53875" s="96"/>
    </row>
    <row r="53876">
      <c r="E53876" s="96"/>
    </row>
    <row r="53877">
      <c r="E53877" s="96"/>
    </row>
    <row r="53878">
      <c r="E53878" s="96"/>
    </row>
    <row r="53879">
      <c r="E53879" s="96"/>
    </row>
    <row r="53880">
      <c r="E53880" s="96"/>
    </row>
    <row r="53881">
      <c r="E53881" s="96"/>
    </row>
    <row r="53882">
      <c r="E53882" s="96"/>
    </row>
    <row r="53883">
      <c r="E53883" s="96"/>
    </row>
    <row r="53884">
      <c r="E53884" s="96"/>
    </row>
    <row r="53885">
      <c r="E53885" s="96"/>
    </row>
    <row r="53886">
      <c r="E53886" s="96"/>
    </row>
    <row r="53887">
      <c r="E53887" s="96"/>
    </row>
    <row r="53888">
      <c r="E53888" s="96"/>
    </row>
    <row r="53889">
      <c r="E53889" s="96"/>
    </row>
    <row r="53890">
      <c r="E53890" s="96"/>
    </row>
    <row r="53891">
      <c r="E53891" s="96"/>
    </row>
    <row r="53892">
      <c r="E53892" s="96"/>
    </row>
    <row r="53893">
      <c r="E53893" s="96"/>
    </row>
    <row r="53894">
      <c r="E53894" s="96"/>
    </row>
    <row r="53895">
      <c r="E53895" s="96"/>
    </row>
    <row r="53896">
      <c r="E53896" s="96"/>
    </row>
    <row r="53897">
      <c r="E53897" s="96"/>
    </row>
    <row r="53898">
      <c r="E53898" s="96"/>
    </row>
    <row r="53899">
      <c r="E53899" s="96"/>
    </row>
    <row r="53900">
      <c r="E53900" s="96"/>
    </row>
    <row r="53901">
      <c r="E53901" s="96"/>
    </row>
    <row r="53902">
      <c r="E53902" s="96"/>
    </row>
    <row r="53903">
      <c r="E53903" s="96"/>
    </row>
    <row r="53904">
      <c r="E53904" s="96"/>
    </row>
    <row r="53905">
      <c r="E53905" s="96"/>
    </row>
    <row r="53906">
      <c r="E53906" s="96"/>
    </row>
    <row r="53907">
      <c r="E53907" s="96"/>
    </row>
    <row r="53908">
      <c r="E53908" s="96"/>
    </row>
    <row r="53909">
      <c r="E53909" s="96"/>
    </row>
    <row r="53910">
      <c r="E53910" s="96"/>
    </row>
    <row r="53911">
      <c r="E53911" s="96"/>
    </row>
    <row r="53912">
      <c r="E53912" s="96"/>
    </row>
    <row r="53913">
      <c r="E53913" s="96"/>
    </row>
    <row r="53914">
      <c r="E53914" s="96"/>
    </row>
    <row r="53915">
      <c r="E53915" s="96"/>
    </row>
    <row r="53916">
      <c r="E53916" s="96"/>
    </row>
    <row r="53917">
      <c r="E53917" s="96"/>
    </row>
    <row r="53918">
      <c r="E53918" s="96"/>
    </row>
    <row r="53919">
      <c r="E53919" s="96"/>
    </row>
    <row r="53920">
      <c r="E53920" s="96"/>
    </row>
    <row r="53921">
      <c r="E53921" s="96"/>
    </row>
    <row r="53922">
      <c r="E53922" s="96"/>
    </row>
    <row r="53923">
      <c r="E53923" s="96"/>
    </row>
    <row r="53924">
      <c r="E53924" s="96"/>
    </row>
    <row r="53925">
      <c r="E53925" s="96"/>
    </row>
    <row r="53926">
      <c r="E53926" s="96"/>
    </row>
    <row r="53927">
      <c r="E53927" s="96"/>
    </row>
    <row r="53928">
      <c r="E53928" s="96"/>
    </row>
    <row r="53929">
      <c r="E53929" s="96"/>
    </row>
    <row r="53930">
      <c r="E53930" s="96"/>
    </row>
    <row r="53931">
      <c r="E53931" s="96"/>
    </row>
    <row r="53932">
      <c r="E53932" s="96"/>
    </row>
    <row r="53933">
      <c r="E53933" s="96"/>
    </row>
    <row r="53934">
      <c r="E53934" s="96"/>
    </row>
    <row r="53935">
      <c r="E53935" s="96"/>
    </row>
    <row r="53936">
      <c r="E53936" s="96"/>
    </row>
    <row r="53937">
      <c r="E53937" s="96"/>
    </row>
    <row r="53938">
      <c r="E53938" s="96"/>
    </row>
    <row r="53939">
      <c r="E53939" s="96"/>
    </row>
    <row r="53940">
      <c r="E53940" s="96"/>
    </row>
    <row r="53941">
      <c r="E53941" s="96"/>
    </row>
    <row r="53942">
      <c r="E53942" s="96"/>
    </row>
    <row r="53943">
      <c r="E53943" s="96"/>
    </row>
    <row r="53944">
      <c r="E53944" s="96"/>
    </row>
    <row r="53945">
      <c r="E53945" s="96"/>
    </row>
    <row r="53946">
      <c r="E53946" s="96"/>
    </row>
    <row r="53947">
      <c r="E53947" s="96"/>
    </row>
    <row r="53948">
      <c r="E53948" s="96"/>
    </row>
    <row r="53949">
      <c r="E53949" s="96"/>
    </row>
    <row r="53950">
      <c r="E53950" s="96"/>
    </row>
    <row r="53951">
      <c r="E53951" s="96"/>
    </row>
    <row r="53952">
      <c r="E53952" s="96"/>
    </row>
    <row r="53953">
      <c r="E53953" s="96"/>
    </row>
    <row r="53954">
      <c r="E53954" s="96"/>
    </row>
    <row r="53955">
      <c r="E53955" s="96"/>
    </row>
    <row r="53956">
      <c r="E53956" s="96"/>
    </row>
    <row r="53957">
      <c r="E53957" s="96"/>
    </row>
    <row r="53958">
      <c r="E53958" s="96"/>
    </row>
    <row r="53959">
      <c r="E53959" s="96"/>
    </row>
    <row r="53960">
      <c r="E53960" s="96"/>
    </row>
    <row r="53961">
      <c r="E53961" s="96"/>
    </row>
    <row r="53962">
      <c r="E53962" s="96"/>
    </row>
    <row r="53963">
      <c r="E53963" s="96"/>
    </row>
    <row r="53964">
      <c r="E53964" s="96"/>
    </row>
    <row r="53965">
      <c r="E53965" s="96"/>
    </row>
    <row r="53966">
      <c r="E53966" s="96"/>
    </row>
    <row r="53967">
      <c r="E53967" s="96"/>
    </row>
    <row r="53968">
      <c r="E53968" s="96"/>
    </row>
    <row r="53969">
      <c r="E53969" s="96"/>
    </row>
    <row r="53970">
      <c r="E53970" s="96"/>
    </row>
    <row r="53971">
      <c r="E53971" s="96"/>
    </row>
    <row r="53972">
      <c r="E53972" s="96"/>
    </row>
    <row r="53973">
      <c r="E53973" s="96"/>
    </row>
    <row r="53974">
      <c r="E53974" s="96"/>
    </row>
    <row r="53975">
      <c r="E53975" s="96"/>
    </row>
    <row r="53976">
      <c r="E53976" s="96"/>
    </row>
    <row r="53977">
      <c r="E53977" s="96"/>
    </row>
    <row r="53978">
      <c r="E53978" s="96"/>
    </row>
    <row r="53979">
      <c r="E53979" s="96"/>
    </row>
    <row r="53980">
      <c r="E53980" s="96"/>
    </row>
    <row r="53981">
      <c r="E53981" s="96"/>
    </row>
    <row r="53982">
      <c r="E53982" s="96"/>
    </row>
    <row r="53983">
      <c r="E53983" s="96"/>
    </row>
    <row r="53984">
      <c r="E53984" s="96"/>
    </row>
    <row r="53985">
      <c r="E53985" s="96"/>
    </row>
    <row r="53986">
      <c r="E53986" s="96"/>
    </row>
    <row r="53987">
      <c r="E53987" s="96"/>
    </row>
    <row r="53988">
      <c r="E53988" s="96"/>
    </row>
    <row r="53989">
      <c r="E53989" s="96"/>
    </row>
    <row r="53990">
      <c r="E53990" s="96"/>
    </row>
    <row r="53991">
      <c r="E53991" s="96"/>
    </row>
    <row r="53992">
      <c r="E53992" s="96"/>
    </row>
    <row r="53993">
      <c r="E53993" s="96"/>
    </row>
    <row r="53994">
      <c r="E53994" s="96"/>
    </row>
    <row r="53995">
      <c r="E53995" s="96"/>
    </row>
    <row r="53996">
      <c r="E53996" s="96"/>
    </row>
    <row r="53997">
      <c r="E53997" s="96"/>
    </row>
    <row r="53998">
      <c r="E53998" s="96"/>
    </row>
    <row r="53999">
      <c r="E53999" s="96"/>
    </row>
    <row r="54000">
      <c r="E54000" s="96"/>
    </row>
    <row r="54001">
      <c r="E54001" s="96"/>
    </row>
    <row r="54002">
      <c r="E54002" s="96"/>
    </row>
    <row r="54003">
      <c r="E54003" s="96"/>
    </row>
    <row r="54004">
      <c r="E54004" s="96"/>
    </row>
    <row r="54005">
      <c r="E54005" s="96"/>
    </row>
    <row r="54006">
      <c r="E54006" s="96"/>
    </row>
    <row r="54007">
      <c r="E54007" s="96"/>
    </row>
    <row r="54008">
      <c r="E54008" s="96"/>
    </row>
    <row r="54009">
      <c r="E54009" s="96"/>
    </row>
    <row r="54010">
      <c r="E54010" s="96"/>
    </row>
    <row r="54011">
      <c r="E54011" s="96"/>
    </row>
    <row r="54012">
      <c r="E54012" s="96"/>
    </row>
    <row r="54013">
      <c r="E54013" s="96"/>
    </row>
    <row r="54014">
      <c r="E54014" s="96"/>
    </row>
    <row r="54015">
      <c r="E54015" s="96"/>
    </row>
    <row r="54016">
      <c r="E54016" s="96"/>
    </row>
    <row r="54017">
      <c r="E54017" s="96"/>
    </row>
    <row r="54018">
      <c r="E54018" s="96"/>
    </row>
    <row r="54019">
      <c r="E54019" s="96"/>
    </row>
    <row r="54020">
      <c r="E54020" s="96"/>
    </row>
    <row r="54021">
      <c r="E54021" s="96"/>
    </row>
    <row r="54022">
      <c r="E54022" s="96"/>
    </row>
    <row r="54023">
      <c r="E54023" s="96"/>
    </row>
    <row r="54024">
      <c r="E54024" s="96"/>
    </row>
    <row r="54025">
      <c r="E54025" s="96"/>
    </row>
    <row r="54026">
      <c r="E54026" s="96"/>
    </row>
    <row r="54027">
      <c r="E54027" s="96"/>
    </row>
    <row r="54028">
      <c r="E54028" s="96"/>
    </row>
    <row r="54029">
      <c r="E54029" s="96"/>
    </row>
    <row r="54030">
      <c r="E54030" s="96"/>
    </row>
    <row r="54031">
      <c r="E54031" s="96"/>
    </row>
    <row r="54032">
      <c r="E54032" s="96"/>
    </row>
    <row r="54033">
      <c r="E54033" s="96"/>
    </row>
    <row r="54034">
      <c r="E54034" s="96"/>
    </row>
    <row r="54035">
      <c r="E54035" s="96"/>
    </row>
    <row r="54036">
      <c r="E54036" s="96"/>
    </row>
    <row r="54037">
      <c r="E54037" s="96"/>
    </row>
    <row r="54038">
      <c r="E54038" s="96"/>
    </row>
    <row r="54039">
      <c r="E54039" s="96"/>
    </row>
    <row r="54040">
      <c r="E54040" s="96"/>
    </row>
    <row r="54041">
      <c r="E54041" s="96"/>
    </row>
    <row r="54042">
      <c r="E54042" s="96"/>
    </row>
    <row r="54043">
      <c r="E54043" s="96"/>
    </row>
    <row r="54044">
      <c r="E54044" s="96"/>
    </row>
    <row r="54045">
      <c r="E54045" s="96"/>
    </row>
    <row r="54046">
      <c r="E54046" s="96"/>
    </row>
    <row r="54047">
      <c r="E54047" s="96"/>
    </row>
    <row r="54048">
      <c r="E54048" s="96"/>
    </row>
    <row r="54049">
      <c r="E54049" s="96"/>
    </row>
    <row r="54050">
      <c r="E54050" s="96"/>
    </row>
    <row r="54051">
      <c r="E54051" s="96"/>
    </row>
    <row r="54052">
      <c r="E54052" s="96"/>
    </row>
    <row r="54053">
      <c r="E54053" s="96"/>
    </row>
    <row r="54054">
      <c r="E54054" s="96"/>
    </row>
    <row r="54055">
      <c r="E54055" s="96"/>
    </row>
    <row r="54056">
      <c r="E54056" s="96"/>
    </row>
    <row r="54057">
      <c r="E54057" s="96"/>
    </row>
    <row r="54058">
      <c r="E54058" s="96"/>
    </row>
    <row r="54059">
      <c r="E54059" s="96"/>
    </row>
    <row r="54060">
      <c r="E54060" s="96"/>
    </row>
    <row r="54061">
      <c r="E54061" s="96"/>
    </row>
    <row r="54062">
      <c r="E54062" s="96"/>
    </row>
    <row r="54063">
      <c r="E54063" s="96"/>
    </row>
    <row r="54064">
      <c r="E54064" s="96"/>
    </row>
    <row r="54065">
      <c r="E54065" s="96"/>
    </row>
    <row r="54066">
      <c r="E54066" s="96"/>
    </row>
    <row r="54067">
      <c r="E54067" s="96"/>
    </row>
    <row r="54068">
      <c r="E54068" s="96"/>
    </row>
    <row r="54069">
      <c r="E54069" s="96"/>
    </row>
    <row r="54070">
      <c r="E54070" s="96"/>
    </row>
    <row r="54071">
      <c r="E54071" s="96"/>
    </row>
    <row r="54072">
      <c r="E54072" s="96"/>
    </row>
    <row r="54073">
      <c r="E54073" s="96"/>
    </row>
    <row r="54074">
      <c r="E54074" s="96"/>
    </row>
    <row r="54075">
      <c r="E54075" s="96"/>
    </row>
    <row r="54076">
      <c r="E54076" s="96"/>
    </row>
    <row r="54077">
      <c r="E54077" s="96"/>
    </row>
    <row r="54078">
      <c r="E54078" s="96"/>
    </row>
    <row r="54079">
      <c r="E54079" s="96"/>
    </row>
    <row r="54080">
      <c r="E54080" s="96"/>
    </row>
    <row r="54081">
      <c r="E54081" s="96"/>
    </row>
    <row r="54082">
      <c r="E54082" s="96"/>
    </row>
    <row r="54083">
      <c r="E54083" s="96"/>
    </row>
    <row r="54084">
      <c r="E54084" s="96"/>
    </row>
    <row r="54085">
      <c r="E54085" s="96"/>
    </row>
    <row r="54086">
      <c r="E54086" s="96"/>
    </row>
    <row r="54087">
      <c r="E54087" s="96"/>
    </row>
    <row r="54088">
      <c r="E54088" s="96"/>
    </row>
    <row r="54089">
      <c r="E54089" s="96"/>
    </row>
    <row r="54090">
      <c r="E54090" s="96"/>
    </row>
    <row r="54091">
      <c r="E54091" s="96"/>
    </row>
    <row r="54092">
      <c r="E54092" s="96"/>
    </row>
    <row r="54093">
      <c r="E54093" s="96"/>
    </row>
    <row r="54094">
      <c r="E54094" s="96"/>
    </row>
    <row r="54095">
      <c r="E54095" s="96"/>
    </row>
    <row r="54096">
      <c r="E54096" s="96"/>
    </row>
    <row r="54097">
      <c r="E54097" s="96"/>
    </row>
    <row r="54098">
      <c r="E54098" s="96"/>
    </row>
    <row r="54099">
      <c r="E54099" s="96"/>
    </row>
    <row r="54100">
      <c r="E54100" s="96"/>
    </row>
    <row r="54101">
      <c r="E54101" s="96"/>
    </row>
    <row r="54102">
      <c r="E54102" s="96"/>
    </row>
    <row r="54103">
      <c r="E54103" s="96"/>
    </row>
    <row r="54104">
      <c r="E54104" s="96"/>
    </row>
    <row r="54105">
      <c r="E54105" s="96"/>
    </row>
    <row r="54106">
      <c r="E54106" s="96"/>
    </row>
    <row r="54107">
      <c r="E54107" s="96"/>
    </row>
    <row r="54108">
      <c r="E54108" s="96"/>
    </row>
    <row r="54109">
      <c r="E54109" s="96"/>
    </row>
    <row r="54110">
      <c r="E54110" s="96"/>
    </row>
    <row r="54111">
      <c r="E54111" s="96"/>
    </row>
    <row r="54112">
      <c r="E54112" s="96"/>
    </row>
    <row r="54113">
      <c r="E54113" s="96"/>
    </row>
    <row r="54114">
      <c r="E54114" s="96"/>
    </row>
    <row r="54115">
      <c r="E54115" s="96"/>
    </row>
    <row r="54116">
      <c r="E54116" s="96"/>
    </row>
    <row r="54117">
      <c r="E54117" s="96"/>
    </row>
    <row r="54118">
      <c r="E54118" s="96"/>
    </row>
    <row r="54119">
      <c r="E54119" s="96"/>
    </row>
    <row r="54120">
      <c r="E54120" s="96"/>
    </row>
    <row r="54121">
      <c r="E54121" s="96"/>
    </row>
    <row r="54122">
      <c r="E54122" s="96"/>
    </row>
    <row r="54123">
      <c r="E54123" s="96"/>
    </row>
    <row r="54124">
      <c r="E54124" s="96"/>
    </row>
    <row r="54125">
      <c r="E54125" s="96"/>
    </row>
    <row r="54126">
      <c r="E54126" s="96"/>
    </row>
    <row r="54127">
      <c r="E54127" s="96"/>
    </row>
    <row r="54128">
      <c r="E54128" s="96"/>
    </row>
    <row r="54129">
      <c r="E54129" s="96"/>
    </row>
    <row r="54130">
      <c r="E54130" s="96"/>
    </row>
    <row r="54131">
      <c r="E54131" s="96"/>
    </row>
    <row r="54132">
      <c r="E54132" s="96"/>
    </row>
    <row r="54133">
      <c r="E54133" s="96"/>
    </row>
    <row r="54134">
      <c r="E54134" s="96"/>
    </row>
    <row r="54135">
      <c r="E54135" s="96"/>
    </row>
    <row r="54136">
      <c r="E54136" s="96"/>
    </row>
    <row r="54137">
      <c r="E54137" s="96"/>
    </row>
    <row r="54138">
      <c r="E54138" s="96"/>
    </row>
    <row r="54139">
      <c r="E54139" s="96"/>
    </row>
    <row r="54140">
      <c r="E54140" s="96"/>
    </row>
    <row r="54141">
      <c r="E54141" s="96"/>
    </row>
    <row r="54142">
      <c r="E54142" s="96"/>
    </row>
    <row r="54143">
      <c r="E54143" s="96"/>
    </row>
    <row r="54144">
      <c r="E54144" s="96"/>
    </row>
    <row r="54145">
      <c r="E54145" s="96"/>
    </row>
    <row r="54146">
      <c r="E54146" s="96"/>
    </row>
    <row r="54147">
      <c r="E54147" s="96"/>
    </row>
    <row r="54148">
      <c r="E54148" s="96"/>
    </row>
    <row r="54149">
      <c r="E54149" s="96"/>
    </row>
    <row r="54150">
      <c r="E54150" s="96"/>
    </row>
    <row r="54151">
      <c r="E54151" s="96"/>
    </row>
    <row r="54152">
      <c r="E54152" s="96"/>
    </row>
    <row r="54153">
      <c r="E54153" s="96"/>
    </row>
    <row r="54154">
      <c r="E54154" s="96"/>
    </row>
    <row r="54155">
      <c r="E54155" s="96"/>
    </row>
    <row r="54156">
      <c r="E54156" s="96"/>
    </row>
    <row r="54157">
      <c r="E54157" s="96"/>
    </row>
    <row r="54158">
      <c r="E54158" s="96"/>
    </row>
    <row r="54159">
      <c r="E54159" s="96"/>
    </row>
    <row r="54160">
      <c r="E54160" s="96"/>
    </row>
    <row r="54161">
      <c r="E54161" s="96"/>
    </row>
    <row r="54162">
      <c r="E54162" s="96"/>
    </row>
    <row r="54163">
      <c r="E54163" s="96"/>
    </row>
    <row r="54164">
      <c r="E54164" s="96"/>
    </row>
    <row r="54165">
      <c r="E54165" s="96"/>
    </row>
    <row r="54166">
      <c r="E54166" s="96"/>
    </row>
    <row r="54167">
      <c r="E54167" s="96"/>
    </row>
    <row r="54168">
      <c r="E54168" s="96"/>
    </row>
    <row r="54169">
      <c r="E54169" s="96"/>
    </row>
    <row r="54170">
      <c r="E54170" s="96"/>
    </row>
    <row r="54171">
      <c r="E54171" s="96"/>
    </row>
    <row r="54172">
      <c r="E54172" s="96"/>
    </row>
    <row r="54173">
      <c r="E54173" s="96"/>
    </row>
    <row r="54174">
      <c r="E54174" s="96"/>
    </row>
    <row r="54175">
      <c r="E54175" s="96"/>
    </row>
    <row r="54176">
      <c r="E54176" s="96"/>
    </row>
    <row r="54177">
      <c r="E54177" s="96"/>
    </row>
    <row r="54178">
      <c r="E54178" s="96"/>
    </row>
    <row r="54179">
      <c r="E54179" s="96"/>
    </row>
    <row r="54180">
      <c r="E54180" s="96"/>
    </row>
    <row r="54181">
      <c r="E54181" s="96"/>
    </row>
    <row r="54182">
      <c r="E54182" s="96"/>
    </row>
    <row r="54183">
      <c r="E54183" s="96"/>
    </row>
    <row r="54184">
      <c r="E54184" s="96"/>
    </row>
    <row r="54185">
      <c r="E54185" s="96"/>
    </row>
    <row r="54186">
      <c r="E54186" s="96"/>
    </row>
    <row r="54187">
      <c r="E54187" s="96"/>
    </row>
    <row r="54188">
      <c r="E54188" s="96"/>
    </row>
    <row r="54189">
      <c r="E54189" s="96"/>
    </row>
    <row r="54190">
      <c r="E54190" s="96"/>
    </row>
    <row r="54191">
      <c r="E54191" s="96"/>
    </row>
    <row r="54192">
      <c r="E54192" s="96"/>
    </row>
    <row r="54193">
      <c r="E54193" s="96"/>
    </row>
    <row r="54194">
      <c r="E54194" s="96"/>
    </row>
    <row r="54195">
      <c r="E54195" s="96"/>
    </row>
    <row r="54196">
      <c r="E54196" s="96"/>
    </row>
    <row r="54197">
      <c r="E54197" s="96"/>
    </row>
    <row r="54198">
      <c r="E54198" s="96"/>
    </row>
    <row r="54199">
      <c r="E54199" s="96"/>
    </row>
    <row r="54200">
      <c r="E54200" s="96"/>
    </row>
    <row r="54201">
      <c r="E54201" s="96"/>
    </row>
    <row r="54202">
      <c r="E54202" s="96"/>
    </row>
    <row r="54203">
      <c r="E54203" s="96"/>
    </row>
    <row r="54204">
      <c r="E54204" s="96"/>
    </row>
    <row r="54205">
      <c r="E54205" s="96"/>
    </row>
    <row r="54206">
      <c r="E54206" s="96"/>
    </row>
    <row r="54207">
      <c r="E54207" s="96"/>
    </row>
    <row r="54208">
      <c r="E54208" s="96"/>
    </row>
    <row r="54209">
      <c r="E54209" s="96"/>
    </row>
    <row r="54210">
      <c r="E54210" s="96"/>
    </row>
    <row r="54211">
      <c r="E54211" s="96"/>
    </row>
    <row r="54212">
      <c r="E54212" s="96"/>
    </row>
    <row r="54213">
      <c r="E54213" s="96"/>
    </row>
    <row r="54214">
      <c r="E54214" s="96"/>
    </row>
    <row r="54215">
      <c r="E54215" s="96"/>
    </row>
    <row r="54216">
      <c r="E54216" s="96"/>
    </row>
    <row r="54217">
      <c r="E54217" s="96"/>
    </row>
    <row r="54218">
      <c r="E54218" s="96"/>
    </row>
    <row r="54219">
      <c r="E54219" s="96"/>
    </row>
    <row r="54220">
      <c r="E54220" s="96"/>
    </row>
    <row r="54221">
      <c r="E54221" s="96"/>
    </row>
    <row r="54222">
      <c r="E54222" s="96"/>
    </row>
    <row r="54223">
      <c r="E54223" s="96"/>
    </row>
    <row r="54224">
      <c r="E54224" s="96"/>
    </row>
    <row r="54225">
      <c r="E54225" s="96"/>
    </row>
    <row r="54226">
      <c r="E54226" s="96"/>
    </row>
    <row r="54227">
      <c r="E54227" s="96"/>
    </row>
    <row r="54228">
      <c r="E54228" s="96"/>
    </row>
    <row r="54229">
      <c r="E54229" s="96"/>
    </row>
    <row r="54230">
      <c r="E54230" s="96"/>
    </row>
    <row r="54231">
      <c r="E54231" s="96"/>
    </row>
    <row r="54232">
      <c r="E54232" s="96"/>
    </row>
    <row r="54233">
      <c r="E54233" s="96"/>
    </row>
    <row r="54234">
      <c r="E54234" s="96"/>
    </row>
    <row r="54235">
      <c r="E54235" s="96"/>
    </row>
    <row r="54236">
      <c r="E54236" s="96"/>
    </row>
    <row r="54237">
      <c r="E54237" s="96"/>
    </row>
    <row r="54238">
      <c r="E54238" s="96"/>
    </row>
    <row r="54239">
      <c r="E54239" s="96"/>
    </row>
    <row r="54240">
      <c r="E54240" s="96"/>
    </row>
    <row r="54241">
      <c r="E54241" s="96"/>
    </row>
    <row r="54242">
      <c r="E54242" s="96"/>
    </row>
    <row r="54243">
      <c r="E54243" s="96"/>
    </row>
    <row r="54244">
      <c r="E54244" s="96"/>
    </row>
    <row r="54245">
      <c r="E54245" s="96"/>
    </row>
    <row r="54246">
      <c r="E54246" s="96"/>
    </row>
    <row r="54247">
      <c r="E54247" s="96"/>
    </row>
    <row r="54248">
      <c r="E54248" s="96"/>
    </row>
    <row r="54249">
      <c r="E54249" s="96"/>
    </row>
    <row r="54250">
      <c r="E54250" s="96"/>
    </row>
    <row r="54251">
      <c r="E54251" s="96"/>
    </row>
    <row r="54252">
      <c r="E54252" s="96"/>
    </row>
    <row r="54253">
      <c r="E54253" s="96"/>
    </row>
    <row r="54254">
      <c r="E54254" s="96"/>
    </row>
    <row r="54255">
      <c r="E54255" s="96"/>
    </row>
    <row r="54256">
      <c r="E54256" s="96"/>
    </row>
    <row r="54257">
      <c r="E54257" s="96"/>
    </row>
    <row r="54258">
      <c r="E54258" s="96"/>
    </row>
    <row r="54259">
      <c r="E54259" s="96"/>
    </row>
    <row r="54260">
      <c r="E54260" s="96"/>
    </row>
    <row r="54261">
      <c r="E54261" s="96"/>
    </row>
    <row r="54262">
      <c r="E54262" s="96"/>
    </row>
    <row r="54263">
      <c r="E54263" s="96"/>
    </row>
    <row r="54264">
      <c r="E54264" s="96"/>
    </row>
    <row r="54265">
      <c r="E54265" s="96"/>
    </row>
    <row r="54266">
      <c r="E54266" s="96"/>
    </row>
    <row r="54267">
      <c r="E54267" s="96"/>
    </row>
    <row r="54268">
      <c r="E54268" s="96"/>
    </row>
    <row r="54269">
      <c r="E54269" s="96"/>
    </row>
    <row r="54270">
      <c r="E54270" s="96"/>
    </row>
    <row r="54271">
      <c r="E54271" s="96"/>
    </row>
    <row r="54272">
      <c r="E54272" s="96"/>
    </row>
    <row r="54273">
      <c r="E54273" s="96"/>
    </row>
    <row r="54274">
      <c r="E54274" s="96"/>
    </row>
    <row r="54275">
      <c r="E54275" s="96"/>
    </row>
    <row r="54276">
      <c r="E54276" s="96"/>
    </row>
    <row r="54277">
      <c r="E54277" s="96"/>
    </row>
    <row r="54278">
      <c r="E54278" s="96"/>
    </row>
    <row r="54279">
      <c r="E54279" s="96"/>
    </row>
    <row r="54280">
      <c r="E54280" s="96"/>
    </row>
    <row r="54281">
      <c r="E54281" s="96"/>
    </row>
    <row r="54282">
      <c r="E54282" s="96"/>
    </row>
    <row r="54283">
      <c r="E54283" s="96"/>
    </row>
    <row r="54284">
      <c r="E54284" s="96"/>
    </row>
    <row r="54285">
      <c r="E54285" s="96"/>
    </row>
    <row r="54286">
      <c r="E54286" s="96"/>
    </row>
    <row r="54287">
      <c r="E54287" s="96"/>
    </row>
    <row r="54288">
      <c r="E54288" s="96"/>
    </row>
    <row r="54289">
      <c r="E54289" s="96"/>
    </row>
    <row r="54290">
      <c r="E54290" s="96"/>
    </row>
    <row r="54291">
      <c r="E54291" s="96"/>
    </row>
    <row r="54292">
      <c r="E54292" s="96"/>
    </row>
    <row r="54293">
      <c r="E54293" s="96"/>
    </row>
    <row r="54294">
      <c r="E54294" s="96"/>
    </row>
    <row r="54295">
      <c r="E54295" s="96"/>
    </row>
    <row r="54296">
      <c r="E54296" s="96"/>
    </row>
    <row r="54297">
      <c r="E54297" s="96"/>
    </row>
    <row r="54298">
      <c r="E54298" s="96"/>
    </row>
    <row r="54299">
      <c r="E54299" s="96"/>
    </row>
    <row r="54300">
      <c r="E54300" s="96"/>
    </row>
    <row r="54301">
      <c r="E54301" s="96"/>
    </row>
    <row r="54302">
      <c r="E54302" s="96"/>
    </row>
    <row r="54303">
      <c r="E54303" s="96"/>
    </row>
    <row r="54304">
      <c r="E54304" s="96"/>
    </row>
    <row r="54305">
      <c r="E54305" s="96"/>
    </row>
    <row r="54306">
      <c r="E54306" s="96"/>
    </row>
    <row r="54307">
      <c r="E54307" s="96"/>
    </row>
    <row r="54308">
      <c r="E54308" s="96"/>
    </row>
    <row r="54309">
      <c r="E54309" s="96"/>
    </row>
    <row r="54310">
      <c r="E54310" s="96"/>
    </row>
    <row r="54311">
      <c r="E54311" s="96"/>
    </row>
    <row r="54312">
      <c r="E54312" s="96"/>
    </row>
    <row r="54313">
      <c r="E54313" s="96"/>
    </row>
    <row r="54314">
      <c r="E54314" s="96"/>
    </row>
    <row r="54315">
      <c r="E54315" s="96"/>
    </row>
    <row r="54316">
      <c r="E54316" s="96"/>
    </row>
    <row r="54317">
      <c r="E54317" s="96"/>
    </row>
    <row r="54318">
      <c r="E54318" s="96"/>
    </row>
    <row r="54319">
      <c r="E54319" s="96"/>
    </row>
    <row r="54320">
      <c r="E54320" s="96"/>
    </row>
    <row r="54321">
      <c r="E54321" s="96"/>
    </row>
    <row r="54322">
      <c r="E54322" s="96"/>
    </row>
    <row r="54323">
      <c r="E54323" s="96"/>
    </row>
    <row r="54324">
      <c r="E54324" s="96"/>
    </row>
    <row r="54325">
      <c r="E54325" s="96"/>
    </row>
    <row r="54326">
      <c r="E54326" s="96"/>
    </row>
    <row r="54327">
      <c r="E54327" s="96"/>
    </row>
    <row r="54328">
      <c r="E54328" s="96"/>
    </row>
    <row r="54329">
      <c r="E54329" s="96"/>
    </row>
    <row r="54330">
      <c r="E54330" s="96"/>
    </row>
    <row r="54331">
      <c r="E54331" s="96"/>
    </row>
    <row r="54332">
      <c r="E54332" s="96"/>
    </row>
    <row r="54333">
      <c r="E54333" s="96"/>
    </row>
    <row r="54334">
      <c r="E54334" s="96"/>
    </row>
    <row r="54335">
      <c r="E54335" s="96"/>
    </row>
    <row r="54336">
      <c r="E54336" s="96"/>
    </row>
    <row r="54337">
      <c r="E54337" s="96"/>
    </row>
    <row r="54338">
      <c r="E54338" s="96"/>
    </row>
    <row r="54339">
      <c r="E54339" s="96"/>
    </row>
    <row r="54340">
      <c r="E54340" s="96"/>
    </row>
    <row r="54341">
      <c r="E54341" s="96"/>
    </row>
    <row r="54342">
      <c r="E54342" s="96"/>
    </row>
    <row r="54343">
      <c r="E54343" s="96"/>
    </row>
    <row r="54344">
      <c r="E54344" s="96"/>
    </row>
    <row r="54345">
      <c r="E54345" s="96"/>
    </row>
    <row r="54346">
      <c r="E54346" s="96"/>
    </row>
    <row r="54347">
      <c r="E54347" s="96"/>
    </row>
    <row r="54348">
      <c r="E54348" s="96"/>
    </row>
    <row r="54349">
      <c r="E54349" s="96"/>
    </row>
    <row r="54350">
      <c r="E54350" s="96"/>
    </row>
    <row r="54351">
      <c r="E54351" s="96"/>
    </row>
    <row r="54352">
      <c r="E54352" s="96"/>
    </row>
    <row r="54353">
      <c r="E54353" s="96"/>
    </row>
    <row r="54354">
      <c r="E54354" s="96"/>
    </row>
    <row r="54355">
      <c r="E54355" s="96"/>
    </row>
    <row r="54356">
      <c r="E54356" s="96"/>
    </row>
    <row r="54357">
      <c r="E54357" s="96"/>
    </row>
    <row r="54358">
      <c r="E54358" s="96"/>
    </row>
    <row r="54359">
      <c r="E54359" s="96"/>
    </row>
    <row r="54360">
      <c r="E54360" s="96"/>
    </row>
    <row r="54361">
      <c r="E54361" s="96"/>
    </row>
    <row r="54362">
      <c r="E54362" s="96"/>
    </row>
    <row r="54363">
      <c r="E54363" s="96"/>
    </row>
    <row r="54364">
      <c r="E54364" s="96"/>
    </row>
    <row r="54365">
      <c r="E54365" s="96"/>
    </row>
    <row r="54366">
      <c r="E54366" s="96"/>
    </row>
    <row r="54367">
      <c r="E54367" s="96"/>
    </row>
    <row r="54368">
      <c r="E54368" s="96"/>
    </row>
    <row r="54369">
      <c r="E54369" s="96"/>
    </row>
    <row r="54370">
      <c r="E54370" s="96"/>
    </row>
    <row r="54371">
      <c r="E54371" s="96"/>
    </row>
    <row r="54372">
      <c r="E54372" s="96"/>
    </row>
    <row r="54373">
      <c r="E54373" s="96"/>
    </row>
    <row r="54374">
      <c r="E54374" s="96"/>
    </row>
    <row r="54375">
      <c r="E54375" s="96"/>
    </row>
    <row r="54376">
      <c r="E54376" s="96"/>
    </row>
    <row r="54377">
      <c r="E54377" s="96"/>
    </row>
    <row r="54378">
      <c r="E54378" s="96"/>
    </row>
    <row r="54379">
      <c r="E54379" s="96"/>
    </row>
    <row r="54380">
      <c r="E54380" s="96"/>
    </row>
    <row r="54381">
      <c r="E54381" s="96"/>
    </row>
    <row r="54382">
      <c r="E54382" s="96"/>
    </row>
    <row r="54383">
      <c r="E54383" s="96"/>
    </row>
    <row r="54384">
      <c r="E54384" s="96"/>
    </row>
    <row r="54385">
      <c r="E54385" s="96"/>
    </row>
    <row r="54386">
      <c r="E54386" s="96"/>
    </row>
    <row r="54387">
      <c r="E54387" s="96"/>
    </row>
    <row r="54388">
      <c r="E54388" s="96"/>
    </row>
    <row r="54389">
      <c r="E54389" s="96"/>
    </row>
    <row r="54390">
      <c r="E54390" s="96"/>
    </row>
    <row r="54391">
      <c r="E54391" s="96"/>
    </row>
    <row r="54392">
      <c r="E54392" s="96"/>
    </row>
    <row r="54393">
      <c r="E54393" s="96"/>
    </row>
    <row r="54394">
      <c r="E54394" s="96"/>
    </row>
    <row r="54395">
      <c r="E54395" s="96"/>
    </row>
    <row r="54396">
      <c r="E54396" s="96"/>
    </row>
    <row r="54397">
      <c r="E54397" s="96"/>
    </row>
    <row r="54398">
      <c r="E54398" s="96"/>
    </row>
    <row r="54399">
      <c r="E54399" s="96"/>
    </row>
    <row r="54400">
      <c r="E54400" s="96"/>
    </row>
    <row r="54401">
      <c r="E54401" s="96"/>
    </row>
    <row r="54402">
      <c r="E54402" s="96"/>
    </row>
    <row r="54403">
      <c r="E54403" s="96"/>
    </row>
    <row r="54404">
      <c r="E54404" s="96"/>
    </row>
    <row r="54405">
      <c r="E54405" s="96"/>
    </row>
    <row r="54406">
      <c r="E54406" s="96"/>
    </row>
    <row r="54407">
      <c r="E54407" s="96"/>
    </row>
    <row r="54408">
      <c r="E54408" s="96"/>
    </row>
    <row r="54409">
      <c r="E54409" s="96"/>
    </row>
    <row r="54410">
      <c r="E54410" s="96"/>
    </row>
    <row r="54411">
      <c r="E54411" s="96"/>
    </row>
    <row r="54412">
      <c r="E54412" s="96"/>
    </row>
    <row r="54413">
      <c r="E54413" s="96"/>
    </row>
    <row r="54414">
      <c r="E54414" s="96"/>
    </row>
    <row r="54415">
      <c r="E54415" s="96"/>
    </row>
    <row r="54416">
      <c r="E54416" s="96"/>
    </row>
    <row r="54417">
      <c r="E54417" s="96"/>
    </row>
    <row r="54418">
      <c r="E54418" s="96"/>
    </row>
    <row r="54419">
      <c r="E54419" s="96"/>
    </row>
    <row r="54420">
      <c r="E54420" s="96"/>
    </row>
    <row r="54421">
      <c r="E54421" s="96"/>
    </row>
    <row r="54422">
      <c r="E54422" s="96"/>
    </row>
    <row r="54423">
      <c r="E54423" s="96"/>
    </row>
    <row r="54424">
      <c r="E54424" s="96"/>
    </row>
    <row r="54425">
      <c r="E54425" s="96"/>
    </row>
    <row r="54426">
      <c r="E54426" s="96"/>
    </row>
    <row r="54427">
      <c r="E54427" s="96"/>
    </row>
    <row r="54428">
      <c r="E54428" s="96"/>
    </row>
    <row r="54429">
      <c r="E54429" s="96"/>
    </row>
    <row r="54430">
      <c r="E54430" s="96"/>
    </row>
    <row r="54431">
      <c r="E54431" s="96"/>
    </row>
    <row r="54432">
      <c r="E54432" s="96"/>
    </row>
    <row r="54433">
      <c r="E54433" s="96"/>
    </row>
    <row r="54434">
      <c r="E54434" s="96"/>
    </row>
    <row r="54435">
      <c r="E54435" s="96"/>
    </row>
    <row r="54436">
      <c r="E54436" s="96"/>
    </row>
    <row r="54437">
      <c r="E54437" s="96"/>
    </row>
    <row r="54438">
      <c r="E54438" s="96"/>
    </row>
    <row r="54439">
      <c r="E54439" s="96"/>
    </row>
    <row r="54440">
      <c r="E54440" s="96"/>
    </row>
    <row r="54441">
      <c r="E54441" s="96"/>
    </row>
    <row r="54442">
      <c r="E54442" s="96"/>
    </row>
    <row r="54443">
      <c r="E54443" s="96"/>
    </row>
    <row r="54444">
      <c r="E54444" s="96"/>
    </row>
    <row r="54445">
      <c r="E54445" s="96"/>
    </row>
    <row r="54446">
      <c r="E54446" s="96"/>
    </row>
    <row r="54447">
      <c r="E54447" s="96"/>
    </row>
    <row r="54448">
      <c r="E54448" s="96"/>
    </row>
    <row r="54449">
      <c r="E54449" s="96"/>
    </row>
    <row r="54450">
      <c r="E54450" s="96"/>
    </row>
    <row r="54451">
      <c r="E54451" s="96"/>
    </row>
    <row r="54452">
      <c r="E54452" s="96"/>
    </row>
    <row r="54453">
      <c r="E54453" s="96"/>
    </row>
    <row r="54454">
      <c r="E54454" s="96"/>
    </row>
    <row r="54455">
      <c r="E54455" s="96"/>
    </row>
    <row r="54456">
      <c r="E54456" s="96"/>
    </row>
    <row r="54457">
      <c r="E54457" s="96"/>
    </row>
    <row r="54458">
      <c r="E54458" s="96"/>
    </row>
    <row r="54459">
      <c r="E54459" s="96"/>
    </row>
    <row r="54460">
      <c r="E54460" s="96"/>
    </row>
    <row r="54461">
      <c r="E54461" s="96"/>
    </row>
    <row r="54462">
      <c r="E54462" s="96"/>
    </row>
    <row r="54463">
      <c r="E54463" s="96"/>
    </row>
    <row r="54464">
      <c r="E54464" s="96"/>
    </row>
    <row r="54465">
      <c r="E54465" s="96"/>
    </row>
    <row r="54466">
      <c r="E54466" s="96"/>
    </row>
    <row r="54467">
      <c r="E54467" s="96"/>
    </row>
    <row r="54468">
      <c r="E54468" s="96"/>
    </row>
    <row r="54469">
      <c r="E54469" s="96"/>
    </row>
    <row r="54470">
      <c r="E54470" s="96"/>
    </row>
    <row r="54471">
      <c r="E54471" s="96"/>
    </row>
    <row r="54472">
      <c r="E54472" s="96"/>
    </row>
    <row r="54473">
      <c r="E54473" s="96"/>
    </row>
    <row r="54474">
      <c r="E54474" s="96"/>
    </row>
    <row r="54475">
      <c r="E54475" s="96"/>
    </row>
    <row r="54476">
      <c r="E54476" s="96"/>
    </row>
    <row r="54477">
      <c r="E54477" s="96"/>
    </row>
    <row r="54478">
      <c r="E54478" s="96"/>
    </row>
    <row r="54479">
      <c r="E54479" s="96"/>
    </row>
    <row r="54480">
      <c r="E54480" s="96"/>
    </row>
    <row r="54481">
      <c r="E54481" s="96"/>
    </row>
    <row r="54482">
      <c r="E54482" s="96"/>
    </row>
    <row r="54483">
      <c r="E54483" s="96"/>
    </row>
    <row r="54484">
      <c r="E54484" s="96"/>
    </row>
    <row r="54485">
      <c r="E54485" s="96"/>
    </row>
    <row r="54486">
      <c r="E54486" s="96"/>
    </row>
    <row r="54487">
      <c r="E54487" s="96"/>
    </row>
    <row r="54488">
      <c r="E54488" s="96"/>
    </row>
    <row r="54489">
      <c r="E54489" s="96"/>
    </row>
    <row r="54490">
      <c r="E54490" s="96"/>
    </row>
    <row r="54491">
      <c r="E54491" s="96"/>
    </row>
    <row r="54492">
      <c r="E54492" s="96"/>
    </row>
    <row r="54493">
      <c r="E54493" s="96"/>
    </row>
    <row r="54494">
      <c r="E54494" s="96"/>
    </row>
    <row r="54495">
      <c r="E54495" s="96"/>
    </row>
    <row r="54496">
      <c r="E54496" s="96"/>
    </row>
    <row r="54497">
      <c r="E54497" s="96"/>
    </row>
    <row r="54498">
      <c r="E54498" s="96"/>
    </row>
    <row r="54499">
      <c r="E54499" s="96"/>
    </row>
    <row r="54500">
      <c r="E54500" s="96"/>
    </row>
    <row r="54501">
      <c r="E54501" s="96"/>
    </row>
    <row r="54502">
      <c r="E54502" s="96"/>
    </row>
    <row r="54503">
      <c r="E54503" s="96"/>
    </row>
    <row r="54504">
      <c r="E54504" s="96"/>
    </row>
    <row r="54505">
      <c r="E54505" s="96"/>
    </row>
    <row r="54506">
      <c r="E54506" s="96"/>
    </row>
    <row r="54507">
      <c r="E54507" s="96"/>
    </row>
    <row r="54508">
      <c r="E54508" s="96"/>
    </row>
    <row r="54509">
      <c r="E54509" s="96"/>
    </row>
    <row r="54510">
      <c r="E54510" s="96"/>
    </row>
    <row r="54511">
      <c r="E54511" s="96"/>
    </row>
    <row r="54512">
      <c r="E54512" s="96"/>
    </row>
    <row r="54513">
      <c r="E54513" s="96"/>
    </row>
    <row r="54514">
      <c r="E54514" s="96"/>
    </row>
    <row r="54515">
      <c r="E54515" s="96"/>
    </row>
    <row r="54516">
      <c r="E54516" s="96"/>
    </row>
    <row r="54517">
      <c r="E54517" s="96"/>
    </row>
    <row r="54518">
      <c r="E54518" s="96"/>
    </row>
    <row r="54519">
      <c r="E54519" s="96"/>
    </row>
    <row r="54520">
      <c r="E54520" s="96"/>
    </row>
    <row r="54521">
      <c r="E54521" s="96"/>
    </row>
    <row r="54522">
      <c r="E54522" s="96"/>
    </row>
    <row r="54523">
      <c r="E54523" s="96"/>
    </row>
    <row r="54524">
      <c r="E54524" s="96"/>
    </row>
    <row r="54525">
      <c r="E54525" s="96"/>
    </row>
    <row r="54526">
      <c r="E54526" s="96"/>
    </row>
    <row r="54527">
      <c r="E54527" s="96"/>
    </row>
    <row r="54528">
      <c r="E54528" s="96"/>
    </row>
    <row r="54529">
      <c r="E54529" s="96"/>
    </row>
    <row r="54530">
      <c r="E54530" s="96"/>
    </row>
    <row r="54531">
      <c r="E54531" s="96"/>
    </row>
    <row r="54532">
      <c r="E54532" s="96"/>
    </row>
    <row r="54533">
      <c r="E54533" s="96"/>
    </row>
    <row r="54534">
      <c r="E54534" s="96"/>
    </row>
    <row r="54535">
      <c r="E54535" s="96"/>
    </row>
    <row r="54536">
      <c r="E54536" s="96"/>
    </row>
    <row r="54537">
      <c r="E54537" s="96"/>
    </row>
    <row r="54538">
      <c r="E54538" s="96"/>
    </row>
    <row r="54539">
      <c r="E54539" s="96"/>
    </row>
    <row r="54540">
      <c r="E54540" s="96"/>
    </row>
    <row r="54541">
      <c r="E54541" s="96"/>
    </row>
    <row r="54542">
      <c r="E54542" s="96"/>
    </row>
    <row r="54543">
      <c r="E54543" s="96"/>
    </row>
    <row r="54544">
      <c r="E54544" s="96"/>
    </row>
    <row r="54545">
      <c r="E54545" s="96"/>
    </row>
    <row r="54546">
      <c r="E54546" s="96"/>
    </row>
    <row r="54547">
      <c r="E54547" s="96"/>
    </row>
    <row r="54548">
      <c r="E54548" s="96"/>
    </row>
    <row r="54549">
      <c r="E54549" s="96"/>
    </row>
    <row r="54550">
      <c r="E54550" s="96"/>
    </row>
    <row r="54551">
      <c r="E54551" s="96"/>
    </row>
    <row r="54552">
      <c r="E54552" s="96"/>
    </row>
    <row r="54553">
      <c r="E54553" s="96"/>
    </row>
    <row r="54554">
      <c r="E54554" s="96"/>
    </row>
    <row r="54555">
      <c r="E54555" s="96"/>
    </row>
    <row r="54556">
      <c r="E54556" s="96"/>
    </row>
    <row r="54557">
      <c r="E54557" s="96"/>
    </row>
    <row r="54558">
      <c r="E54558" s="96"/>
    </row>
    <row r="54559">
      <c r="E54559" s="96"/>
    </row>
    <row r="54560">
      <c r="E54560" s="96"/>
    </row>
    <row r="54561">
      <c r="E54561" s="96"/>
    </row>
    <row r="54562">
      <c r="E54562" s="96"/>
    </row>
    <row r="54563">
      <c r="E54563" s="96"/>
    </row>
    <row r="54564">
      <c r="E54564" s="96"/>
    </row>
    <row r="54565">
      <c r="E54565" s="96"/>
    </row>
    <row r="54566">
      <c r="E54566" s="96"/>
    </row>
    <row r="54567">
      <c r="E54567" s="96"/>
    </row>
    <row r="54568">
      <c r="E54568" s="96"/>
    </row>
    <row r="54569">
      <c r="E54569" s="96"/>
    </row>
    <row r="54570">
      <c r="E54570" s="96"/>
    </row>
    <row r="54571">
      <c r="E54571" s="96"/>
    </row>
    <row r="54572">
      <c r="E54572" s="96"/>
    </row>
    <row r="54573">
      <c r="E54573" s="96"/>
    </row>
    <row r="54574">
      <c r="E54574" s="96"/>
    </row>
    <row r="54575">
      <c r="E54575" s="96"/>
    </row>
    <row r="54576">
      <c r="E54576" s="96"/>
    </row>
    <row r="54577">
      <c r="E54577" s="96"/>
    </row>
    <row r="54578">
      <c r="E54578" s="96"/>
    </row>
    <row r="54579">
      <c r="E54579" s="96"/>
    </row>
    <row r="54580">
      <c r="E54580" s="96"/>
    </row>
    <row r="54581">
      <c r="E54581" s="96"/>
    </row>
    <row r="54582">
      <c r="E54582" s="96"/>
    </row>
    <row r="54583">
      <c r="E54583" s="96"/>
    </row>
    <row r="54584">
      <c r="E54584" s="96"/>
    </row>
    <row r="54585">
      <c r="E54585" s="96"/>
    </row>
    <row r="54586">
      <c r="E54586" s="96"/>
    </row>
    <row r="54587">
      <c r="E54587" s="96"/>
    </row>
    <row r="54588">
      <c r="E54588" s="96"/>
    </row>
    <row r="54589">
      <c r="E54589" s="96"/>
    </row>
    <row r="54590">
      <c r="E54590" s="96"/>
    </row>
    <row r="54591">
      <c r="E54591" s="96"/>
    </row>
    <row r="54592">
      <c r="E54592" s="96"/>
    </row>
    <row r="54593">
      <c r="E54593" s="96"/>
    </row>
    <row r="54594">
      <c r="E54594" s="96"/>
    </row>
    <row r="54595">
      <c r="E54595" s="96"/>
    </row>
    <row r="54596">
      <c r="E54596" s="96"/>
    </row>
    <row r="54597">
      <c r="E54597" s="96"/>
    </row>
    <row r="54598">
      <c r="E54598" s="96"/>
    </row>
    <row r="54599">
      <c r="E54599" s="96"/>
    </row>
    <row r="54600">
      <c r="E54600" s="96"/>
    </row>
    <row r="54601">
      <c r="E54601" s="96"/>
    </row>
    <row r="54602">
      <c r="E54602" s="96"/>
    </row>
    <row r="54603">
      <c r="E54603" s="96"/>
    </row>
    <row r="54604">
      <c r="E54604" s="96"/>
    </row>
    <row r="54605">
      <c r="E54605" s="96"/>
    </row>
    <row r="54606">
      <c r="E54606" s="96"/>
    </row>
    <row r="54607">
      <c r="E54607" s="96"/>
    </row>
    <row r="54608">
      <c r="E54608" s="96"/>
    </row>
    <row r="54609">
      <c r="E54609" s="96"/>
    </row>
    <row r="54610">
      <c r="E54610" s="96"/>
    </row>
    <row r="54611">
      <c r="E54611" s="96"/>
    </row>
    <row r="54612">
      <c r="E54612" s="96"/>
    </row>
    <row r="54613">
      <c r="E54613" s="96"/>
    </row>
    <row r="54614">
      <c r="E54614" s="96"/>
    </row>
    <row r="54615">
      <c r="E54615" s="96"/>
    </row>
    <row r="54616">
      <c r="E54616" s="96"/>
    </row>
    <row r="54617">
      <c r="E54617" s="96"/>
    </row>
    <row r="54618">
      <c r="E54618" s="96"/>
    </row>
    <row r="54619">
      <c r="E54619" s="96"/>
    </row>
    <row r="54620">
      <c r="E54620" s="96"/>
    </row>
    <row r="54621">
      <c r="E54621" s="96"/>
    </row>
    <row r="54622">
      <c r="E54622" s="96"/>
    </row>
    <row r="54623">
      <c r="E54623" s="96"/>
    </row>
    <row r="54624">
      <c r="E54624" s="96"/>
    </row>
    <row r="54625">
      <c r="E54625" s="96"/>
    </row>
    <row r="54626">
      <c r="E54626" s="96"/>
    </row>
    <row r="54627">
      <c r="E54627" s="96"/>
    </row>
    <row r="54628">
      <c r="E54628" s="96"/>
    </row>
    <row r="54629">
      <c r="E54629" s="96"/>
    </row>
    <row r="54630">
      <c r="E54630" s="96"/>
    </row>
    <row r="54631">
      <c r="E54631" s="96"/>
    </row>
    <row r="54632">
      <c r="E54632" s="96"/>
    </row>
    <row r="54633">
      <c r="E54633" s="96"/>
    </row>
    <row r="54634">
      <c r="E54634" s="96"/>
    </row>
    <row r="54635">
      <c r="E54635" s="96"/>
    </row>
    <row r="54636">
      <c r="E54636" s="96"/>
    </row>
    <row r="54637">
      <c r="E54637" s="96"/>
    </row>
    <row r="54638">
      <c r="E54638" s="96"/>
    </row>
    <row r="54639">
      <c r="E54639" s="96"/>
    </row>
    <row r="54640">
      <c r="E54640" s="96"/>
    </row>
    <row r="54641">
      <c r="E54641" s="96"/>
    </row>
    <row r="54642">
      <c r="E54642" s="96"/>
    </row>
    <row r="54643">
      <c r="E54643" s="96"/>
    </row>
    <row r="54644">
      <c r="E54644" s="96"/>
    </row>
    <row r="54645">
      <c r="E54645" s="96"/>
    </row>
    <row r="54646">
      <c r="E54646" s="96"/>
    </row>
    <row r="54647">
      <c r="E54647" s="96"/>
    </row>
    <row r="54648">
      <c r="E54648" s="96"/>
    </row>
    <row r="54649">
      <c r="E54649" s="96"/>
    </row>
    <row r="54650">
      <c r="E54650" s="96"/>
    </row>
    <row r="54651">
      <c r="E54651" s="96"/>
    </row>
    <row r="54652">
      <c r="E54652" s="96"/>
    </row>
    <row r="54653">
      <c r="E54653" s="96"/>
    </row>
    <row r="54654">
      <c r="E54654" s="96"/>
    </row>
    <row r="54655">
      <c r="E54655" s="96"/>
    </row>
    <row r="54656">
      <c r="E54656" s="96"/>
    </row>
    <row r="54657">
      <c r="E54657" s="96"/>
    </row>
    <row r="54658">
      <c r="E54658" s="96"/>
    </row>
    <row r="54659">
      <c r="E54659" s="96"/>
    </row>
    <row r="54660">
      <c r="E54660" s="96"/>
    </row>
    <row r="54661">
      <c r="E54661" s="96"/>
    </row>
    <row r="54662">
      <c r="E54662" s="96"/>
    </row>
    <row r="54663">
      <c r="E54663" s="96"/>
    </row>
    <row r="54664">
      <c r="E54664" s="96"/>
    </row>
    <row r="54665">
      <c r="E54665" s="96"/>
    </row>
    <row r="54666">
      <c r="E54666" s="96"/>
    </row>
    <row r="54667">
      <c r="E54667" s="96"/>
    </row>
    <row r="54668">
      <c r="E54668" s="96"/>
    </row>
    <row r="54669">
      <c r="E54669" s="96"/>
    </row>
    <row r="54670">
      <c r="E54670" s="96"/>
    </row>
    <row r="54671">
      <c r="E54671" s="96"/>
    </row>
    <row r="54672">
      <c r="E54672" s="96"/>
    </row>
    <row r="54673">
      <c r="E54673" s="96"/>
    </row>
    <row r="54674">
      <c r="E54674" s="96"/>
    </row>
    <row r="54675">
      <c r="E54675" s="96"/>
    </row>
    <row r="54676">
      <c r="E54676" s="96"/>
    </row>
    <row r="54677">
      <c r="E54677" s="96"/>
    </row>
    <row r="54678">
      <c r="E54678" s="96"/>
    </row>
    <row r="54679">
      <c r="E54679" s="96"/>
    </row>
    <row r="54680">
      <c r="E54680" s="96"/>
    </row>
    <row r="54681">
      <c r="E54681" s="96"/>
    </row>
    <row r="54682">
      <c r="E54682" s="96"/>
    </row>
    <row r="54683">
      <c r="E54683" s="96"/>
    </row>
    <row r="54684">
      <c r="E54684" s="96"/>
    </row>
    <row r="54685">
      <c r="E54685" s="96"/>
    </row>
    <row r="54686">
      <c r="E54686" s="96"/>
    </row>
    <row r="54687">
      <c r="E54687" s="96"/>
    </row>
    <row r="54688">
      <c r="E54688" s="96"/>
    </row>
    <row r="54689">
      <c r="E54689" s="96"/>
    </row>
    <row r="54690">
      <c r="E54690" s="96"/>
    </row>
    <row r="54691">
      <c r="E54691" s="96"/>
    </row>
    <row r="54692">
      <c r="E54692" s="96"/>
    </row>
    <row r="54693">
      <c r="E54693" s="96"/>
    </row>
    <row r="54694">
      <c r="E54694" s="96"/>
    </row>
    <row r="54695">
      <c r="E54695" s="96"/>
    </row>
    <row r="54696">
      <c r="E54696" s="96"/>
    </row>
    <row r="54697">
      <c r="E54697" s="96"/>
    </row>
    <row r="54698">
      <c r="E54698" s="96"/>
    </row>
    <row r="54699">
      <c r="E54699" s="96"/>
    </row>
    <row r="54700">
      <c r="E54700" s="96"/>
    </row>
    <row r="54701">
      <c r="E54701" s="96"/>
    </row>
    <row r="54702">
      <c r="E54702" s="96"/>
    </row>
    <row r="54703">
      <c r="E54703" s="96"/>
    </row>
    <row r="54704">
      <c r="E54704" s="96"/>
    </row>
    <row r="54705">
      <c r="E54705" s="96"/>
    </row>
    <row r="54706">
      <c r="E54706" s="96"/>
    </row>
    <row r="54707">
      <c r="E54707" s="96"/>
    </row>
    <row r="54708">
      <c r="E54708" s="96"/>
    </row>
    <row r="54709">
      <c r="E54709" s="96"/>
    </row>
    <row r="54710">
      <c r="E54710" s="96"/>
    </row>
    <row r="54711">
      <c r="E54711" s="96"/>
    </row>
    <row r="54712">
      <c r="E54712" s="96"/>
    </row>
    <row r="54713">
      <c r="E54713" s="96"/>
    </row>
    <row r="54714">
      <c r="E54714" s="96"/>
    </row>
    <row r="54715">
      <c r="E54715" s="96"/>
    </row>
    <row r="54716">
      <c r="E54716" s="96"/>
    </row>
    <row r="54717">
      <c r="E54717" s="96"/>
    </row>
    <row r="54718">
      <c r="E54718" s="96"/>
    </row>
    <row r="54719">
      <c r="E54719" s="96"/>
    </row>
    <row r="54720">
      <c r="E54720" s="96"/>
    </row>
    <row r="54721">
      <c r="E54721" s="96"/>
    </row>
    <row r="54722">
      <c r="E54722" s="96"/>
    </row>
    <row r="54723">
      <c r="E54723" s="96"/>
    </row>
    <row r="54724">
      <c r="E54724" s="96"/>
    </row>
    <row r="54725">
      <c r="E54725" s="96"/>
    </row>
    <row r="54726">
      <c r="E54726" s="96"/>
    </row>
    <row r="54727">
      <c r="E54727" s="96"/>
    </row>
    <row r="54728">
      <c r="E54728" s="96"/>
    </row>
    <row r="54729">
      <c r="E54729" s="96"/>
    </row>
    <row r="54730">
      <c r="E54730" s="96"/>
    </row>
    <row r="54731">
      <c r="E54731" s="96"/>
    </row>
    <row r="54732">
      <c r="E54732" s="96"/>
    </row>
    <row r="54733">
      <c r="E54733" s="96"/>
    </row>
    <row r="54734">
      <c r="E54734" s="96"/>
    </row>
    <row r="54735">
      <c r="E54735" s="96"/>
    </row>
    <row r="54736">
      <c r="E54736" s="96"/>
    </row>
    <row r="54737">
      <c r="E54737" s="96"/>
    </row>
    <row r="54738">
      <c r="E54738" s="96"/>
    </row>
    <row r="54739">
      <c r="E54739" s="96"/>
    </row>
    <row r="54740">
      <c r="E54740" s="96"/>
    </row>
    <row r="54741">
      <c r="E54741" s="96"/>
    </row>
    <row r="54742">
      <c r="E54742" s="96"/>
    </row>
    <row r="54743">
      <c r="E54743" s="96"/>
    </row>
    <row r="54744">
      <c r="E54744" s="96"/>
    </row>
    <row r="54745">
      <c r="E54745" s="96"/>
    </row>
    <row r="54746">
      <c r="E54746" s="96"/>
    </row>
    <row r="54747">
      <c r="E54747" s="96"/>
    </row>
    <row r="54748">
      <c r="E54748" s="96"/>
    </row>
    <row r="54749">
      <c r="E54749" s="96"/>
    </row>
    <row r="54750">
      <c r="E54750" s="96"/>
    </row>
    <row r="54751">
      <c r="E54751" s="96"/>
    </row>
    <row r="54752">
      <c r="E54752" s="96"/>
    </row>
    <row r="54753">
      <c r="E54753" s="96"/>
    </row>
    <row r="54754">
      <c r="E54754" s="96"/>
    </row>
    <row r="54755">
      <c r="E54755" s="96"/>
    </row>
    <row r="54756">
      <c r="E54756" s="96"/>
    </row>
    <row r="54757">
      <c r="E54757" s="96"/>
    </row>
    <row r="54758">
      <c r="E54758" s="96"/>
    </row>
    <row r="54759">
      <c r="E54759" s="96"/>
    </row>
    <row r="54760">
      <c r="E54760" s="96"/>
    </row>
    <row r="54761">
      <c r="E54761" s="96"/>
    </row>
    <row r="54762">
      <c r="E54762" s="96"/>
    </row>
    <row r="54763">
      <c r="E54763" s="96"/>
    </row>
    <row r="54764">
      <c r="E54764" s="96"/>
    </row>
    <row r="54765">
      <c r="E54765" s="96"/>
    </row>
    <row r="54766">
      <c r="E54766" s="96"/>
    </row>
    <row r="54767">
      <c r="E54767" s="96"/>
    </row>
    <row r="54768">
      <c r="E54768" s="96"/>
    </row>
    <row r="54769">
      <c r="E54769" s="96"/>
    </row>
    <row r="54770">
      <c r="E54770" s="96"/>
    </row>
    <row r="54771">
      <c r="E54771" s="96"/>
    </row>
    <row r="54772">
      <c r="E54772" s="96"/>
    </row>
    <row r="54773">
      <c r="E54773" s="96"/>
    </row>
    <row r="54774">
      <c r="E54774" s="96"/>
    </row>
    <row r="54775">
      <c r="E54775" s="96"/>
    </row>
    <row r="54776">
      <c r="E54776" s="96"/>
    </row>
    <row r="54777">
      <c r="E54777" s="96"/>
    </row>
    <row r="54778">
      <c r="E54778" s="96"/>
    </row>
    <row r="54779">
      <c r="E54779" s="96"/>
    </row>
    <row r="54780">
      <c r="E54780" s="96"/>
    </row>
    <row r="54781">
      <c r="E54781" s="96"/>
    </row>
    <row r="54782">
      <c r="E54782" s="96"/>
    </row>
    <row r="54783">
      <c r="E54783" s="96"/>
    </row>
    <row r="54784">
      <c r="E54784" s="96"/>
    </row>
    <row r="54785">
      <c r="E54785" s="96"/>
    </row>
    <row r="54786">
      <c r="E54786" s="96"/>
    </row>
    <row r="54787">
      <c r="E54787" s="96"/>
    </row>
    <row r="54788">
      <c r="E54788" s="96"/>
    </row>
    <row r="54789">
      <c r="E54789" s="96"/>
    </row>
    <row r="54790">
      <c r="E54790" s="96"/>
    </row>
    <row r="54791">
      <c r="E54791" s="96"/>
    </row>
    <row r="54792">
      <c r="E54792" s="96"/>
    </row>
    <row r="54793">
      <c r="E54793" s="96"/>
    </row>
    <row r="54794">
      <c r="E54794" s="96"/>
    </row>
    <row r="54795">
      <c r="E54795" s="96"/>
    </row>
    <row r="54796">
      <c r="E54796" s="96"/>
    </row>
    <row r="54797">
      <c r="E54797" s="96"/>
    </row>
    <row r="54798">
      <c r="E54798" s="96"/>
    </row>
    <row r="54799">
      <c r="E54799" s="96"/>
    </row>
    <row r="54800">
      <c r="E54800" s="96"/>
    </row>
    <row r="54801">
      <c r="E54801" s="96"/>
    </row>
    <row r="54802">
      <c r="E54802" s="96"/>
    </row>
    <row r="54803">
      <c r="E54803" s="96"/>
    </row>
    <row r="54804">
      <c r="E54804" s="96"/>
    </row>
    <row r="54805">
      <c r="E54805" s="96"/>
    </row>
    <row r="54806">
      <c r="E54806" s="96"/>
    </row>
    <row r="54807">
      <c r="E54807" s="96"/>
    </row>
    <row r="54808">
      <c r="E54808" s="96"/>
    </row>
    <row r="54809">
      <c r="E54809" s="96"/>
    </row>
    <row r="54810">
      <c r="E54810" s="96"/>
    </row>
    <row r="54811">
      <c r="E54811" s="96"/>
    </row>
    <row r="54812">
      <c r="E54812" s="96"/>
    </row>
    <row r="54813">
      <c r="E54813" s="96"/>
    </row>
    <row r="54814">
      <c r="E54814" s="96"/>
    </row>
    <row r="54815">
      <c r="E54815" s="96"/>
    </row>
    <row r="54816">
      <c r="E54816" s="96"/>
    </row>
    <row r="54817">
      <c r="E54817" s="96"/>
    </row>
    <row r="54818">
      <c r="E54818" s="96"/>
    </row>
    <row r="54819">
      <c r="E54819" s="96"/>
    </row>
    <row r="54820">
      <c r="E54820" s="96"/>
    </row>
    <row r="54821">
      <c r="E54821" s="96"/>
    </row>
    <row r="54822">
      <c r="E54822" s="96"/>
    </row>
    <row r="54823">
      <c r="E54823" s="96"/>
    </row>
    <row r="54824">
      <c r="E54824" s="96"/>
    </row>
    <row r="54825">
      <c r="E54825" s="96"/>
    </row>
    <row r="54826">
      <c r="E54826" s="96"/>
    </row>
    <row r="54827">
      <c r="E54827" s="96"/>
    </row>
    <row r="54828">
      <c r="E54828" s="96"/>
    </row>
    <row r="54829">
      <c r="E54829" s="96"/>
    </row>
    <row r="54830">
      <c r="E54830" s="96"/>
    </row>
    <row r="54831">
      <c r="E54831" s="96"/>
    </row>
    <row r="54832">
      <c r="E54832" s="96"/>
    </row>
    <row r="54833">
      <c r="E54833" s="96"/>
    </row>
    <row r="54834">
      <c r="E54834" s="96"/>
    </row>
    <row r="54835">
      <c r="E54835" s="96"/>
    </row>
    <row r="54836">
      <c r="E54836" s="96"/>
    </row>
    <row r="54837">
      <c r="E54837" s="96"/>
    </row>
    <row r="54838">
      <c r="E54838" s="96"/>
    </row>
    <row r="54839">
      <c r="E54839" s="96"/>
    </row>
    <row r="54840">
      <c r="E54840" s="96"/>
    </row>
    <row r="54841">
      <c r="E54841" s="96"/>
    </row>
    <row r="54842">
      <c r="E54842" s="96"/>
    </row>
    <row r="54843">
      <c r="E54843" s="96"/>
    </row>
    <row r="54844">
      <c r="E54844" s="96"/>
    </row>
    <row r="54845">
      <c r="E54845" s="96"/>
    </row>
    <row r="54846">
      <c r="E54846" s="96"/>
    </row>
    <row r="54847">
      <c r="E54847" s="96"/>
    </row>
    <row r="54848">
      <c r="E54848" s="96"/>
    </row>
    <row r="54849">
      <c r="E54849" s="96"/>
    </row>
    <row r="54850">
      <c r="E54850" s="96"/>
    </row>
    <row r="54851">
      <c r="E54851" s="96"/>
    </row>
    <row r="54852">
      <c r="E54852" s="96"/>
    </row>
    <row r="54853">
      <c r="E54853" s="96"/>
    </row>
    <row r="54854">
      <c r="E54854" s="96"/>
    </row>
    <row r="54855">
      <c r="E54855" s="96"/>
    </row>
    <row r="54856">
      <c r="E54856" s="96"/>
    </row>
    <row r="54857">
      <c r="E54857" s="96"/>
    </row>
    <row r="54858">
      <c r="E54858" s="96"/>
    </row>
    <row r="54859">
      <c r="E54859" s="96"/>
    </row>
    <row r="54860">
      <c r="E54860" s="96"/>
    </row>
    <row r="54861">
      <c r="E54861" s="96"/>
    </row>
    <row r="54862">
      <c r="E54862" s="96"/>
    </row>
    <row r="54863">
      <c r="E54863" s="96"/>
    </row>
    <row r="54864">
      <c r="E54864" s="96"/>
    </row>
    <row r="54865">
      <c r="E54865" s="96"/>
    </row>
    <row r="54866">
      <c r="E54866" s="96"/>
    </row>
    <row r="54867">
      <c r="E54867" s="96"/>
    </row>
    <row r="54868">
      <c r="E54868" s="96"/>
    </row>
    <row r="54869">
      <c r="E54869" s="96"/>
    </row>
    <row r="54870">
      <c r="E54870" s="96"/>
    </row>
    <row r="54871">
      <c r="E54871" s="96"/>
    </row>
    <row r="54872">
      <c r="E54872" s="96"/>
    </row>
    <row r="54873">
      <c r="E54873" s="96"/>
    </row>
    <row r="54874">
      <c r="E54874" s="96"/>
    </row>
    <row r="54875">
      <c r="E54875" s="96"/>
    </row>
    <row r="54876">
      <c r="E54876" s="96"/>
    </row>
    <row r="54877">
      <c r="E54877" s="96"/>
    </row>
    <row r="54878">
      <c r="E54878" s="96"/>
    </row>
    <row r="54879">
      <c r="E54879" s="96"/>
    </row>
    <row r="54880">
      <c r="E54880" s="96"/>
    </row>
    <row r="54881">
      <c r="E54881" s="96"/>
    </row>
    <row r="54882">
      <c r="E54882" s="96"/>
    </row>
    <row r="54883">
      <c r="E54883" s="96"/>
    </row>
    <row r="54884">
      <c r="E54884" s="96"/>
    </row>
    <row r="54885">
      <c r="E54885" s="96"/>
    </row>
    <row r="54886">
      <c r="E54886" s="96"/>
    </row>
    <row r="54887">
      <c r="E54887" s="96"/>
    </row>
    <row r="54888">
      <c r="E54888" s="96"/>
    </row>
    <row r="54889">
      <c r="E54889" s="96"/>
    </row>
    <row r="54890">
      <c r="E54890" s="96"/>
    </row>
    <row r="54891">
      <c r="E54891" s="96"/>
    </row>
    <row r="54892">
      <c r="E54892" s="96"/>
    </row>
    <row r="54893">
      <c r="E54893" s="96"/>
    </row>
    <row r="54894">
      <c r="E54894" s="96"/>
    </row>
    <row r="54895">
      <c r="E54895" s="96"/>
    </row>
    <row r="54896">
      <c r="E54896" s="96"/>
    </row>
    <row r="54897">
      <c r="E54897" s="96"/>
    </row>
    <row r="54898">
      <c r="E54898" s="96"/>
    </row>
    <row r="54899">
      <c r="E54899" s="96"/>
    </row>
    <row r="54900">
      <c r="E54900" s="96"/>
    </row>
    <row r="54901">
      <c r="E54901" s="96"/>
    </row>
    <row r="54902">
      <c r="E54902" s="96"/>
    </row>
    <row r="54903">
      <c r="E54903" s="96"/>
    </row>
    <row r="54904">
      <c r="E54904" s="96"/>
    </row>
    <row r="54905">
      <c r="E54905" s="96"/>
    </row>
    <row r="54906">
      <c r="E54906" s="96"/>
    </row>
    <row r="54907">
      <c r="E54907" s="96"/>
    </row>
    <row r="54908">
      <c r="E54908" s="96"/>
    </row>
    <row r="54909">
      <c r="E54909" s="96"/>
    </row>
    <row r="54910">
      <c r="E54910" s="96"/>
    </row>
    <row r="54911">
      <c r="E54911" s="96"/>
    </row>
    <row r="54912">
      <c r="E54912" s="96"/>
    </row>
    <row r="54913">
      <c r="E54913" s="96"/>
    </row>
    <row r="54914">
      <c r="E54914" s="96"/>
    </row>
    <row r="54915">
      <c r="E54915" s="96"/>
    </row>
    <row r="54916">
      <c r="E54916" s="96"/>
    </row>
    <row r="54917">
      <c r="E54917" s="96"/>
    </row>
    <row r="54918">
      <c r="E54918" s="96"/>
    </row>
    <row r="54919">
      <c r="E54919" s="96"/>
    </row>
    <row r="54920">
      <c r="E54920" s="96"/>
    </row>
    <row r="54921">
      <c r="E54921" s="96"/>
    </row>
    <row r="54922">
      <c r="E54922" s="96"/>
    </row>
    <row r="54923">
      <c r="E54923" s="96"/>
    </row>
    <row r="54924">
      <c r="E54924" s="96"/>
    </row>
    <row r="54925">
      <c r="E54925" s="96"/>
    </row>
    <row r="54926">
      <c r="E54926" s="96"/>
    </row>
    <row r="54927">
      <c r="E54927" s="96"/>
    </row>
    <row r="54928">
      <c r="E54928" s="96"/>
    </row>
    <row r="54929">
      <c r="E54929" s="96"/>
    </row>
    <row r="54930">
      <c r="E54930" s="96"/>
    </row>
    <row r="54931">
      <c r="E54931" s="96"/>
    </row>
    <row r="54932">
      <c r="E54932" s="96"/>
    </row>
    <row r="54933">
      <c r="E54933" s="96"/>
    </row>
    <row r="54934">
      <c r="E54934" s="96"/>
    </row>
    <row r="54935">
      <c r="E54935" s="96"/>
    </row>
    <row r="54936">
      <c r="E54936" s="96"/>
    </row>
    <row r="54937">
      <c r="E54937" s="96"/>
    </row>
    <row r="54938">
      <c r="E54938" s="96"/>
    </row>
    <row r="54939">
      <c r="E54939" s="96"/>
    </row>
    <row r="54940">
      <c r="E54940" s="96"/>
    </row>
    <row r="54941">
      <c r="E54941" s="96"/>
    </row>
    <row r="54942">
      <c r="E54942" s="96"/>
    </row>
    <row r="54943">
      <c r="E54943" s="96"/>
    </row>
    <row r="54944">
      <c r="E54944" s="96"/>
    </row>
    <row r="54945">
      <c r="E54945" s="96"/>
    </row>
    <row r="54946">
      <c r="E54946" s="96"/>
    </row>
    <row r="54947">
      <c r="E54947" s="96"/>
    </row>
    <row r="54948">
      <c r="E54948" s="96"/>
    </row>
    <row r="54949">
      <c r="E54949" s="96"/>
    </row>
    <row r="54950">
      <c r="E54950" s="96"/>
    </row>
    <row r="54951">
      <c r="E54951" s="96"/>
    </row>
    <row r="54952">
      <c r="E54952" s="96"/>
    </row>
    <row r="54953">
      <c r="E54953" s="96"/>
    </row>
    <row r="54954">
      <c r="E54954" s="96"/>
    </row>
    <row r="54955">
      <c r="E54955" s="96"/>
    </row>
    <row r="54956">
      <c r="E54956" s="96"/>
    </row>
    <row r="54957">
      <c r="E54957" s="96"/>
    </row>
    <row r="54958">
      <c r="E54958" s="96"/>
    </row>
    <row r="54959">
      <c r="E54959" s="96"/>
    </row>
    <row r="54960">
      <c r="E54960" s="96"/>
    </row>
    <row r="54961">
      <c r="E54961" s="96"/>
    </row>
    <row r="54962">
      <c r="E54962" s="96"/>
    </row>
    <row r="54963">
      <c r="E54963" s="96"/>
    </row>
    <row r="54964">
      <c r="E54964" s="96"/>
    </row>
    <row r="54965">
      <c r="E54965" s="96"/>
    </row>
    <row r="54966">
      <c r="E54966" s="96"/>
    </row>
    <row r="54967">
      <c r="E54967" s="96"/>
    </row>
    <row r="54968">
      <c r="E54968" s="96"/>
    </row>
    <row r="54969">
      <c r="E54969" s="96"/>
    </row>
    <row r="54970">
      <c r="E54970" s="96"/>
    </row>
    <row r="54971">
      <c r="E54971" s="96"/>
    </row>
    <row r="54972">
      <c r="E54972" s="96"/>
    </row>
    <row r="54973">
      <c r="E54973" s="96"/>
    </row>
    <row r="54974">
      <c r="E54974" s="96"/>
    </row>
    <row r="54975">
      <c r="E54975" s="96"/>
    </row>
    <row r="54976">
      <c r="E54976" s="96"/>
    </row>
    <row r="54977">
      <c r="E54977" s="96"/>
    </row>
    <row r="54978">
      <c r="E54978" s="96"/>
    </row>
    <row r="54979">
      <c r="E54979" s="96"/>
    </row>
    <row r="54980">
      <c r="E54980" s="96"/>
    </row>
    <row r="54981">
      <c r="E54981" s="96"/>
    </row>
    <row r="54982">
      <c r="E54982" s="96"/>
    </row>
    <row r="54983">
      <c r="E54983" s="96"/>
    </row>
    <row r="54984">
      <c r="E54984" s="96"/>
    </row>
    <row r="54985">
      <c r="E54985" s="96"/>
    </row>
    <row r="54986">
      <c r="E54986" s="96"/>
    </row>
    <row r="54987">
      <c r="E54987" s="96"/>
    </row>
    <row r="54988">
      <c r="E54988" s="96"/>
    </row>
    <row r="54989">
      <c r="E54989" s="96"/>
    </row>
    <row r="54990">
      <c r="E54990" s="96"/>
    </row>
    <row r="54991">
      <c r="E54991" s="96"/>
    </row>
    <row r="54992">
      <c r="E54992" s="96"/>
    </row>
    <row r="54993">
      <c r="E54993" s="96"/>
    </row>
    <row r="54994">
      <c r="E54994" s="96"/>
    </row>
    <row r="54995">
      <c r="E54995" s="96"/>
    </row>
    <row r="54996">
      <c r="E54996" s="96"/>
    </row>
    <row r="54997">
      <c r="E54997" s="96"/>
    </row>
    <row r="54998">
      <c r="E54998" s="96"/>
    </row>
    <row r="54999">
      <c r="E54999" s="96"/>
    </row>
    <row r="55000">
      <c r="E55000" s="96"/>
    </row>
    <row r="55001">
      <c r="E55001" s="96"/>
    </row>
    <row r="55002">
      <c r="E55002" s="96"/>
    </row>
    <row r="55003">
      <c r="E55003" s="96"/>
    </row>
    <row r="55004">
      <c r="E55004" s="96"/>
    </row>
    <row r="55005">
      <c r="E55005" s="96"/>
    </row>
    <row r="55006">
      <c r="E55006" s="96"/>
    </row>
    <row r="55007">
      <c r="E55007" s="96"/>
    </row>
    <row r="55008">
      <c r="E55008" s="96"/>
    </row>
    <row r="55009">
      <c r="E55009" s="96"/>
    </row>
    <row r="55010">
      <c r="E55010" s="96"/>
    </row>
    <row r="55011">
      <c r="E55011" s="96"/>
    </row>
    <row r="55012">
      <c r="E55012" s="96"/>
    </row>
    <row r="55013">
      <c r="E55013" s="96"/>
    </row>
    <row r="55014">
      <c r="E55014" s="96"/>
    </row>
    <row r="55015">
      <c r="E55015" s="96"/>
    </row>
    <row r="55016">
      <c r="E55016" s="96"/>
    </row>
    <row r="55017">
      <c r="E55017" s="96"/>
    </row>
    <row r="55018">
      <c r="E55018" s="96"/>
    </row>
    <row r="55019">
      <c r="E55019" s="96"/>
    </row>
    <row r="55020">
      <c r="E55020" s="96"/>
    </row>
    <row r="55021">
      <c r="E55021" s="96"/>
    </row>
    <row r="55022">
      <c r="E55022" s="96"/>
    </row>
    <row r="55023">
      <c r="E55023" s="96"/>
    </row>
    <row r="55024">
      <c r="E55024" s="96"/>
    </row>
    <row r="55025">
      <c r="E55025" s="96"/>
    </row>
    <row r="55026">
      <c r="E55026" s="96"/>
    </row>
    <row r="55027">
      <c r="E55027" s="96"/>
    </row>
    <row r="55028">
      <c r="E55028" s="96"/>
    </row>
    <row r="55029">
      <c r="E55029" s="96"/>
    </row>
    <row r="55030">
      <c r="E55030" s="96"/>
    </row>
    <row r="55031">
      <c r="E55031" s="96"/>
    </row>
    <row r="55032">
      <c r="E55032" s="96"/>
    </row>
    <row r="55033">
      <c r="E55033" s="96"/>
    </row>
    <row r="55034">
      <c r="E55034" s="96"/>
    </row>
    <row r="55035">
      <c r="E55035" s="96"/>
    </row>
    <row r="55036">
      <c r="E55036" s="96"/>
    </row>
    <row r="55037">
      <c r="E55037" s="96"/>
    </row>
    <row r="55038">
      <c r="E55038" s="96"/>
    </row>
    <row r="55039">
      <c r="E55039" s="96"/>
    </row>
    <row r="55040">
      <c r="E55040" s="96"/>
    </row>
    <row r="55041">
      <c r="E55041" s="96"/>
    </row>
    <row r="55042">
      <c r="E55042" s="96"/>
    </row>
    <row r="55043">
      <c r="E55043" s="96"/>
    </row>
    <row r="55044">
      <c r="E55044" s="96"/>
    </row>
    <row r="55045">
      <c r="E55045" s="96"/>
    </row>
    <row r="55046">
      <c r="E55046" s="96"/>
    </row>
    <row r="55047">
      <c r="E55047" s="96"/>
    </row>
    <row r="55048">
      <c r="E55048" s="96"/>
    </row>
    <row r="55049">
      <c r="E55049" s="96"/>
    </row>
    <row r="55050">
      <c r="E55050" s="96"/>
    </row>
    <row r="55051">
      <c r="E55051" s="96"/>
    </row>
    <row r="55052">
      <c r="E55052" s="96"/>
    </row>
    <row r="55053">
      <c r="E55053" s="96"/>
    </row>
    <row r="55054">
      <c r="E55054" s="96"/>
    </row>
    <row r="55055">
      <c r="E55055" s="96"/>
    </row>
    <row r="55056">
      <c r="E55056" s="96"/>
    </row>
    <row r="55057">
      <c r="E55057" s="96"/>
    </row>
    <row r="55058">
      <c r="E55058" s="96"/>
    </row>
    <row r="55059">
      <c r="E55059" s="96"/>
    </row>
    <row r="55060">
      <c r="E55060" s="96"/>
    </row>
    <row r="55061">
      <c r="E55061" s="96"/>
    </row>
    <row r="55062">
      <c r="E55062" s="96"/>
    </row>
    <row r="55063">
      <c r="E55063" s="96"/>
    </row>
    <row r="55064">
      <c r="E55064" s="96"/>
    </row>
    <row r="55065">
      <c r="E55065" s="96"/>
    </row>
    <row r="55066">
      <c r="E55066" s="96"/>
    </row>
    <row r="55067">
      <c r="E55067" s="96"/>
    </row>
    <row r="55068">
      <c r="E55068" s="96"/>
    </row>
    <row r="55069">
      <c r="E55069" s="96"/>
    </row>
    <row r="55070">
      <c r="E55070" s="96"/>
    </row>
    <row r="55071">
      <c r="E55071" s="96"/>
    </row>
    <row r="55072">
      <c r="E55072" s="96"/>
    </row>
    <row r="55073">
      <c r="E55073" s="96"/>
    </row>
    <row r="55074">
      <c r="E55074" s="96"/>
    </row>
    <row r="55075">
      <c r="E55075" s="96"/>
    </row>
    <row r="55076">
      <c r="E55076" s="96"/>
    </row>
    <row r="55077">
      <c r="E55077" s="96"/>
    </row>
    <row r="55078">
      <c r="E55078" s="96"/>
    </row>
    <row r="55079">
      <c r="E55079" s="96"/>
    </row>
    <row r="55080">
      <c r="E55080" s="96"/>
    </row>
    <row r="55081">
      <c r="E55081" s="96"/>
    </row>
    <row r="55082">
      <c r="E55082" s="96"/>
    </row>
    <row r="55083">
      <c r="E55083" s="96"/>
    </row>
    <row r="55084">
      <c r="E55084" s="96"/>
    </row>
    <row r="55085">
      <c r="E55085" s="96"/>
    </row>
    <row r="55086">
      <c r="E55086" s="96"/>
    </row>
    <row r="55087">
      <c r="E55087" s="96"/>
    </row>
    <row r="55088">
      <c r="E55088" s="96"/>
    </row>
    <row r="55089">
      <c r="E55089" s="96"/>
    </row>
    <row r="55090">
      <c r="E55090" s="96"/>
    </row>
    <row r="55091">
      <c r="E55091" s="96"/>
    </row>
    <row r="55092">
      <c r="E55092" s="96"/>
    </row>
    <row r="55093">
      <c r="E55093" s="96"/>
    </row>
    <row r="55094">
      <c r="E55094" s="96"/>
    </row>
    <row r="55095">
      <c r="E55095" s="96"/>
    </row>
    <row r="55096">
      <c r="E55096" s="96"/>
    </row>
    <row r="55097">
      <c r="E55097" s="96"/>
    </row>
    <row r="55098">
      <c r="E55098" s="96"/>
    </row>
    <row r="55099">
      <c r="E55099" s="96"/>
    </row>
    <row r="55100">
      <c r="E55100" s="96"/>
    </row>
    <row r="55101">
      <c r="E55101" s="96"/>
    </row>
    <row r="55102">
      <c r="E55102" s="96"/>
    </row>
    <row r="55103">
      <c r="E55103" s="96"/>
    </row>
    <row r="55104">
      <c r="E55104" s="96"/>
    </row>
    <row r="55105">
      <c r="E55105" s="96"/>
    </row>
    <row r="55106">
      <c r="E55106" s="96"/>
    </row>
    <row r="55107">
      <c r="E55107" s="96"/>
    </row>
    <row r="55108">
      <c r="E55108" s="96"/>
    </row>
    <row r="55109">
      <c r="E55109" s="96"/>
    </row>
    <row r="55110">
      <c r="E55110" s="96"/>
    </row>
    <row r="55111">
      <c r="E55111" s="96"/>
    </row>
    <row r="55112">
      <c r="E55112" s="96"/>
    </row>
    <row r="55113">
      <c r="E55113" s="96"/>
    </row>
    <row r="55114">
      <c r="E55114" s="96"/>
    </row>
    <row r="55115">
      <c r="E55115" s="96"/>
    </row>
    <row r="55116">
      <c r="E55116" s="96"/>
    </row>
    <row r="55117">
      <c r="E55117" s="96"/>
    </row>
    <row r="55118">
      <c r="E55118" s="96"/>
    </row>
    <row r="55119">
      <c r="E55119" s="96"/>
    </row>
    <row r="55120">
      <c r="E55120" s="96"/>
    </row>
    <row r="55121">
      <c r="E55121" s="96"/>
    </row>
    <row r="55122">
      <c r="E55122" s="96"/>
    </row>
    <row r="55123">
      <c r="E55123" s="96"/>
    </row>
    <row r="55124">
      <c r="E55124" s="96"/>
    </row>
    <row r="55125">
      <c r="E55125" s="96"/>
    </row>
    <row r="55126">
      <c r="E55126" s="96"/>
    </row>
    <row r="55127">
      <c r="E55127" s="96"/>
    </row>
    <row r="55128">
      <c r="E55128" s="96"/>
    </row>
    <row r="55129">
      <c r="E55129" s="96"/>
    </row>
    <row r="55130">
      <c r="E55130" s="96"/>
    </row>
    <row r="55131">
      <c r="E55131" s="96"/>
    </row>
    <row r="55132">
      <c r="E55132" s="96"/>
    </row>
    <row r="55133">
      <c r="E55133" s="96"/>
    </row>
    <row r="55134">
      <c r="E55134" s="96"/>
    </row>
    <row r="55135">
      <c r="E55135" s="96"/>
    </row>
    <row r="55136">
      <c r="E55136" s="96"/>
    </row>
    <row r="55137">
      <c r="E55137" s="96"/>
    </row>
    <row r="55138">
      <c r="E55138" s="96"/>
    </row>
    <row r="55139">
      <c r="E55139" s="96"/>
    </row>
    <row r="55140">
      <c r="E55140" s="96"/>
    </row>
    <row r="55141">
      <c r="E55141" s="96"/>
    </row>
    <row r="55142">
      <c r="E55142" s="96"/>
    </row>
    <row r="55143">
      <c r="E55143" s="96"/>
    </row>
    <row r="55144">
      <c r="E55144" s="96"/>
    </row>
    <row r="55145">
      <c r="E55145" s="96"/>
    </row>
    <row r="55146">
      <c r="E55146" s="96"/>
    </row>
    <row r="55147">
      <c r="E55147" s="96"/>
    </row>
    <row r="55148">
      <c r="E55148" s="96"/>
    </row>
    <row r="55149">
      <c r="E55149" s="96"/>
    </row>
    <row r="55150">
      <c r="E55150" s="96"/>
    </row>
    <row r="55151">
      <c r="E55151" s="96"/>
    </row>
    <row r="55152">
      <c r="E55152" s="96"/>
    </row>
    <row r="55153">
      <c r="E55153" s="96"/>
    </row>
    <row r="55154">
      <c r="E55154" s="96"/>
    </row>
    <row r="55155">
      <c r="E55155" s="96"/>
    </row>
    <row r="55156">
      <c r="E55156" s="96"/>
    </row>
    <row r="55157">
      <c r="E55157" s="96"/>
    </row>
    <row r="55158">
      <c r="E55158" s="96"/>
    </row>
    <row r="55159">
      <c r="E55159" s="96"/>
    </row>
    <row r="55160">
      <c r="E55160" s="96"/>
    </row>
    <row r="55161">
      <c r="E55161" s="96"/>
    </row>
    <row r="55162">
      <c r="E55162" s="96"/>
    </row>
    <row r="55163">
      <c r="E55163" s="96"/>
    </row>
    <row r="55164">
      <c r="E55164" s="96"/>
    </row>
    <row r="55165">
      <c r="E55165" s="96"/>
    </row>
    <row r="55166">
      <c r="E55166" s="96"/>
    </row>
    <row r="55167">
      <c r="E55167" s="96"/>
    </row>
    <row r="55168">
      <c r="E55168" s="96"/>
    </row>
    <row r="55169">
      <c r="E55169" s="96"/>
    </row>
    <row r="55170">
      <c r="E55170" s="96"/>
    </row>
    <row r="55171">
      <c r="E55171" s="96"/>
    </row>
    <row r="55172">
      <c r="E55172" s="96"/>
    </row>
    <row r="55173">
      <c r="E55173" s="96"/>
    </row>
    <row r="55174">
      <c r="E55174" s="96"/>
    </row>
    <row r="55175">
      <c r="E55175" s="96"/>
    </row>
    <row r="55176">
      <c r="E55176" s="96"/>
    </row>
    <row r="55177">
      <c r="E55177" s="96"/>
    </row>
    <row r="55178">
      <c r="E55178" s="96"/>
    </row>
    <row r="55179">
      <c r="E55179" s="96"/>
    </row>
    <row r="55180">
      <c r="E55180" s="96"/>
    </row>
    <row r="55181">
      <c r="E55181" s="96"/>
    </row>
    <row r="55182">
      <c r="E55182" s="96"/>
    </row>
    <row r="55183">
      <c r="E55183" s="96"/>
    </row>
    <row r="55184">
      <c r="E55184" s="96"/>
    </row>
    <row r="55185">
      <c r="E55185" s="96"/>
    </row>
    <row r="55186">
      <c r="E55186" s="96"/>
    </row>
    <row r="55187">
      <c r="E55187" s="96"/>
    </row>
    <row r="55188">
      <c r="E55188" s="96"/>
    </row>
    <row r="55189">
      <c r="E55189" s="96"/>
    </row>
    <row r="55190">
      <c r="E55190" s="96"/>
    </row>
    <row r="55191">
      <c r="E55191" s="96"/>
    </row>
    <row r="55192">
      <c r="E55192" s="96"/>
    </row>
    <row r="55193">
      <c r="E55193" s="96"/>
    </row>
    <row r="55194">
      <c r="E55194" s="96"/>
    </row>
    <row r="55195">
      <c r="E55195" s="96"/>
    </row>
    <row r="55196">
      <c r="E55196" s="96"/>
    </row>
    <row r="55197">
      <c r="E55197" s="96"/>
    </row>
    <row r="55198">
      <c r="E55198" s="96"/>
    </row>
    <row r="55199">
      <c r="E55199" s="96"/>
    </row>
    <row r="55200">
      <c r="E55200" s="96"/>
    </row>
    <row r="55201">
      <c r="E55201" s="96"/>
    </row>
    <row r="55202">
      <c r="E55202" s="96"/>
    </row>
    <row r="55203">
      <c r="E55203" s="96"/>
    </row>
    <row r="55204">
      <c r="E55204" s="96"/>
    </row>
    <row r="55205">
      <c r="E55205" s="96"/>
    </row>
    <row r="55206">
      <c r="E55206" s="96"/>
    </row>
    <row r="55207">
      <c r="E55207" s="96"/>
    </row>
    <row r="55208">
      <c r="E55208" s="96"/>
    </row>
    <row r="55209">
      <c r="E55209" s="96"/>
    </row>
    <row r="55210">
      <c r="E55210" s="96"/>
    </row>
    <row r="55211">
      <c r="E55211" s="96"/>
    </row>
    <row r="55212">
      <c r="E55212" s="96"/>
    </row>
    <row r="55213">
      <c r="E55213" s="96"/>
    </row>
    <row r="55214">
      <c r="E55214" s="96"/>
    </row>
    <row r="55215">
      <c r="E55215" s="96"/>
    </row>
    <row r="55216">
      <c r="E55216" s="96"/>
    </row>
    <row r="55217">
      <c r="E55217" s="96"/>
    </row>
    <row r="55218">
      <c r="E55218" s="96"/>
    </row>
    <row r="55219">
      <c r="E55219" s="96"/>
    </row>
    <row r="55220">
      <c r="E55220" s="96"/>
    </row>
    <row r="55221">
      <c r="E55221" s="96"/>
    </row>
    <row r="55222">
      <c r="E55222" s="96"/>
    </row>
    <row r="55223">
      <c r="E55223" s="96"/>
    </row>
    <row r="55224">
      <c r="E55224" s="96"/>
    </row>
    <row r="55225">
      <c r="E55225" s="96"/>
    </row>
    <row r="55226">
      <c r="E55226" s="96"/>
    </row>
    <row r="55227">
      <c r="E55227" s="96"/>
    </row>
    <row r="55228">
      <c r="E55228" s="96"/>
    </row>
    <row r="55229">
      <c r="E55229" s="96"/>
    </row>
    <row r="55230">
      <c r="E55230" s="96"/>
    </row>
    <row r="55231">
      <c r="E55231" s="96"/>
    </row>
    <row r="55232">
      <c r="E55232" s="96"/>
    </row>
    <row r="55233">
      <c r="E55233" s="96"/>
    </row>
    <row r="55234">
      <c r="E55234" s="96"/>
    </row>
    <row r="55235">
      <c r="E55235" s="96"/>
    </row>
    <row r="55236">
      <c r="E55236" s="96"/>
    </row>
    <row r="55237">
      <c r="E55237" s="96"/>
    </row>
    <row r="55238">
      <c r="E55238" s="96"/>
    </row>
    <row r="55239">
      <c r="E55239" s="96"/>
    </row>
    <row r="55240">
      <c r="E55240" s="96"/>
    </row>
    <row r="55241">
      <c r="E55241" s="96"/>
    </row>
    <row r="55242">
      <c r="E55242" s="96"/>
    </row>
    <row r="55243">
      <c r="E55243" s="96"/>
    </row>
    <row r="55244">
      <c r="E55244" s="96"/>
    </row>
    <row r="55245">
      <c r="E55245" s="96"/>
    </row>
    <row r="55246">
      <c r="E55246" s="96"/>
    </row>
    <row r="55247">
      <c r="E55247" s="96"/>
    </row>
    <row r="55248">
      <c r="E55248" s="96"/>
    </row>
    <row r="55249">
      <c r="E55249" s="96"/>
    </row>
    <row r="55250">
      <c r="E55250" s="96"/>
    </row>
    <row r="55251">
      <c r="E55251" s="96"/>
    </row>
    <row r="55252">
      <c r="E55252" s="96"/>
    </row>
    <row r="55253">
      <c r="E55253" s="96"/>
    </row>
    <row r="55254">
      <c r="E55254" s="96"/>
    </row>
    <row r="55255">
      <c r="E55255" s="96"/>
    </row>
    <row r="55256">
      <c r="E55256" s="96"/>
    </row>
    <row r="55257">
      <c r="E55257" s="96"/>
    </row>
    <row r="55258">
      <c r="E55258" s="96"/>
    </row>
    <row r="55259">
      <c r="E55259" s="96"/>
    </row>
    <row r="55260">
      <c r="E55260" s="96"/>
    </row>
    <row r="55261">
      <c r="E55261" s="96"/>
    </row>
    <row r="55262">
      <c r="E55262" s="96"/>
    </row>
    <row r="55263">
      <c r="E55263" s="96"/>
    </row>
    <row r="55264">
      <c r="E55264" s="96"/>
    </row>
    <row r="55265">
      <c r="E55265" s="96"/>
    </row>
    <row r="55266">
      <c r="E55266" s="96"/>
    </row>
    <row r="55267">
      <c r="E55267" s="96"/>
    </row>
    <row r="55268">
      <c r="E55268" s="96"/>
    </row>
    <row r="55269">
      <c r="E55269" s="96"/>
    </row>
    <row r="55270">
      <c r="E55270" s="96"/>
    </row>
    <row r="55271">
      <c r="E55271" s="96"/>
    </row>
    <row r="55272">
      <c r="E55272" s="96"/>
    </row>
    <row r="55273">
      <c r="E55273" s="96"/>
    </row>
    <row r="55274">
      <c r="E55274" s="96"/>
    </row>
    <row r="55275">
      <c r="E55275" s="96"/>
    </row>
    <row r="55276">
      <c r="E55276" s="96"/>
    </row>
    <row r="55277">
      <c r="E55277" s="96"/>
    </row>
    <row r="55278">
      <c r="E55278" s="96"/>
    </row>
    <row r="55279">
      <c r="E55279" s="96"/>
    </row>
    <row r="55280">
      <c r="E55280" s="96"/>
    </row>
    <row r="55281">
      <c r="E55281" s="96"/>
    </row>
    <row r="55282">
      <c r="E55282" s="96"/>
    </row>
    <row r="55283">
      <c r="E55283" s="96"/>
    </row>
    <row r="55284">
      <c r="E55284" s="96"/>
    </row>
    <row r="55285">
      <c r="E55285" s="96"/>
    </row>
    <row r="55286">
      <c r="E55286" s="96"/>
    </row>
    <row r="55287">
      <c r="E55287" s="96"/>
    </row>
    <row r="55288">
      <c r="E55288" s="96"/>
    </row>
    <row r="55289">
      <c r="E55289" s="96"/>
    </row>
    <row r="55290">
      <c r="E55290" s="96"/>
    </row>
    <row r="55291">
      <c r="E55291" s="96"/>
    </row>
    <row r="55292">
      <c r="E55292" s="96"/>
    </row>
    <row r="55293">
      <c r="E55293" s="96"/>
    </row>
    <row r="55294">
      <c r="E55294" s="96"/>
    </row>
    <row r="55295">
      <c r="E55295" s="96"/>
    </row>
    <row r="55296">
      <c r="E55296" s="96"/>
    </row>
    <row r="55297">
      <c r="E55297" s="96"/>
    </row>
    <row r="55298">
      <c r="E55298" s="96"/>
    </row>
    <row r="55299">
      <c r="E55299" s="96"/>
    </row>
    <row r="55300">
      <c r="E55300" s="96"/>
    </row>
    <row r="55301">
      <c r="E55301" s="96"/>
    </row>
    <row r="55302">
      <c r="E55302" s="96"/>
    </row>
    <row r="55303">
      <c r="E55303" s="96"/>
    </row>
    <row r="55304">
      <c r="E55304" s="96"/>
    </row>
    <row r="55305">
      <c r="E55305" s="96"/>
    </row>
    <row r="55306">
      <c r="E55306" s="96"/>
    </row>
    <row r="55307">
      <c r="E55307" s="96"/>
    </row>
    <row r="55308">
      <c r="E55308" s="96"/>
    </row>
    <row r="55309">
      <c r="E55309" s="96"/>
    </row>
    <row r="55310">
      <c r="E55310" s="96"/>
    </row>
    <row r="55311">
      <c r="E55311" s="96"/>
    </row>
    <row r="55312">
      <c r="E55312" s="96"/>
    </row>
    <row r="55313">
      <c r="E55313" s="96"/>
    </row>
    <row r="55314">
      <c r="E55314" s="96"/>
    </row>
    <row r="55315">
      <c r="E55315" s="96"/>
    </row>
    <row r="55316">
      <c r="E55316" s="96"/>
    </row>
    <row r="55317">
      <c r="E55317" s="96"/>
    </row>
    <row r="55318">
      <c r="E55318" s="96"/>
    </row>
    <row r="55319">
      <c r="E55319" s="96"/>
    </row>
    <row r="55320">
      <c r="E55320" s="96"/>
    </row>
    <row r="55321">
      <c r="E55321" s="96"/>
    </row>
    <row r="55322">
      <c r="E55322" s="96"/>
    </row>
    <row r="55323">
      <c r="E55323" s="96"/>
    </row>
    <row r="55324">
      <c r="E55324" s="96"/>
    </row>
    <row r="55325">
      <c r="E55325" s="96"/>
    </row>
    <row r="55326">
      <c r="E55326" s="96"/>
    </row>
    <row r="55327">
      <c r="E55327" s="96"/>
    </row>
    <row r="55328">
      <c r="E55328" s="96"/>
    </row>
    <row r="55329">
      <c r="E55329" s="96"/>
    </row>
    <row r="55330">
      <c r="E55330" s="96"/>
    </row>
    <row r="55331">
      <c r="E55331" s="96"/>
    </row>
    <row r="55332">
      <c r="E55332" s="96"/>
    </row>
    <row r="55333">
      <c r="E55333" s="96"/>
    </row>
    <row r="55334">
      <c r="E55334" s="96"/>
    </row>
    <row r="55335">
      <c r="E55335" s="96"/>
    </row>
    <row r="55336">
      <c r="E55336" s="96"/>
    </row>
    <row r="55337">
      <c r="E55337" s="96"/>
    </row>
    <row r="55338">
      <c r="E55338" s="96"/>
    </row>
    <row r="55339">
      <c r="E55339" s="96"/>
    </row>
    <row r="55340">
      <c r="E55340" s="96"/>
    </row>
    <row r="55341">
      <c r="E55341" s="96"/>
    </row>
    <row r="55342">
      <c r="E55342" s="96"/>
    </row>
    <row r="55343">
      <c r="E55343" s="96"/>
    </row>
    <row r="55344">
      <c r="E55344" s="96"/>
    </row>
    <row r="55345">
      <c r="E55345" s="96"/>
    </row>
    <row r="55346">
      <c r="E55346" s="96"/>
    </row>
    <row r="55347">
      <c r="E55347" s="96"/>
    </row>
    <row r="55348">
      <c r="E55348" s="96"/>
    </row>
    <row r="55349">
      <c r="E55349" s="96"/>
    </row>
    <row r="55350">
      <c r="E55350" s="96"/>
    </row>
    <row r="55351">
      <c r="E55351" s="96"/>
    </row>
    <row r="55352">
      <c r="E55352" s="96"/>
    </row>
    <row r="55353">
      <c r="E55353" s="96"/>
    </row>
    <row r="55354">
      <c r="E55354" s="96"/>
    </row>
    <row r="55355">
      <c r="E55355" s="96"/>
    </row>
    <row r="55356">
      <c r="E55356" s="96"/>
    </row>
    <row r="55357">
      <c r="E55357" s="96"/>
    </row>
    <row r="55358">
      <c r="E55358" s="96"/>
    </row>
    <row r="55359">
      <c r="E55359" s="96"/>
    </row>
    <row r="55360">
      <c r="E55360" s="96"/>
    </row>
    <row r="55361">
      <c r="E55361" s="96"/>
    </row>
    <row r="55362">
      <c r="E55362" s="96"/>
    </row>
    <row r="55363">
      <c r="E55363" s="96"/>
    </row>
    <row r="55364">
      <c r="E55364" s="96"/>
    </row>
    <row r="55365">
      <c r="E55365" s="96"/>
    </row>
    <row r="55366">
      <c r="E55366" s="96"/>
    </row>
    <row r="55367">
      <c r="E55367" s="96"/>
    </row>
    <row r="55368">
      <c r="E55368" s="96"/>
    </row>
    <row r="55369">
      <c r="E55369" s="96"/>
    </row>
    <row r="55370">
      <c r="E55370" s="96"/>
    </row>
    <row r="55371">
      <c r="E55371" s="96"/>
    </row>
    <row r="55372">
      <c r="E55372" s="96"/>
    </row>
    <row r="55373">
      <c r="E55373" s="96"/>
    </row>
    <row r="55374">
      <c r="E55374" s="96"/>
    </row>
    <row r="55375">
      <c r="E55375" s="96"/>
    </row>
    <row r="55376">
      <c r="E55376" s="96"/>
    </row>
    <row r="55377">
      <c r="E55377" s="96"/>
    </row>
    <row r="55378">
      <c r="E55378" s="96"/>
    </row>
    <row r="55379">
      <c r="E55379" s="96"/>
    </row>
    <row r="55380">
      <c r="E55380" s="96"/>
    </row>
    <row r="55381">
      <c r="E55381" s="96"/>
    </row>
    <row r="55382">
      <c r="E55382" s="96"/>
    </row>
    <row r="55383">
      <c r="E55383" s="96"/>
    </row>
    <row r="55384">
      <c r="E55384" s="96"/>
    </row>
    <row r="55385">
      <c r="E55385" s="96"/>
    </row>
    <row r="55386">
      <c r="E55386" s="96"/>
    </row>
    <row r="55387">
      <c r="E55387" s="96"/>
    </row>
    <row r="55388">
      <c r="E55388" s="96"/>
    </row>
    <row r="55389">
      <c r="E55389" s="96"/>
    </row>
    <row r="55390">
      <c r="E55390" s="96"/>
    </row>
    <row r="55391">
      <c r="E55391" s="96"/>
    </row>
    <row r="55392">
      <c r="E55392" s="96"/>
    </row>
    <row r="55393">
      <c r="E55393" s="96"/>
    </row>
    <row r="55394">
      <c r="E55394" s="96"/>
    </row>
    <row r="55395">
      <c r="E55395" s="96"/>
    </row>
    <row r="55396">
      <c r="E55396" s="96"/>
    </row>
    <row r="55397">
      <c r="E55397" s="96"/>
    </row>
    <row r="55398">
      <c r="E55398" s="96"/>
    </row>
    <row r="55399">
      <c r="E55399" s="96"/>
    </row>
    <row r="55400">
      <c r="E55400" s="96"/>
    </row>
    <row r="55401">
      <c r="E55401" s="96"/>
    </row>
    <row r="55402">
      <c r="E55402" s="96"/>
    </row>
    <row r="55403">
      <c r="E55403" s="96"/>
    </row>
    <row r="55404">
      <c r="E55404" s="96"/>
    </row>
    <row r="55405">
      <c r="E55405" s="96"/>
    </row>
    <row r="55406">
      <c r="E55406" s="96"/>
    </row>
    <row r="55407">
      <c r="E55407" s="96"/>
    </row>
    <row r="55408">
      <c r="E55408" s="96"/>
    </row>
    <row r="55409">
      <c r="E55409" s="96"/>
    </row>
    <row r="55410">
      <c r="E55410" s="96"/>
    </row>
    <row r="55411">
      <c r="E55411" s="96"/>
    </row>
    <row r="55412">
      <c r="E55412" s="96"/>
    </row>
    <row r="55413">
      <c r="E55413" s="96"/>
    </row>
    <row r="55414">
      <c r="E55414" s="96"/>
    </row>
    <row r="55415">
      <c r="E55415" s="96"/>
    </row>
    <row r="55416">
      <c r="E55416" s="9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idden="1">
      <c r="A1" s="22" t="s">
        <v>86</v>
      </c>
      <c r="B1" s="24" t="s">
        <v>2</v>
      </c>
      <c r="C1" s="3"/>
      <c r="D1" s="3"/>
      <c r="E1" s="3"/>
      <c r="F1" s="3"/>
      <c r="G1" s="3"/>
      <c r="H1" s="3"/>
      <c r="I1" s="3"/>
      <c r="J1" s="3"/>
      <c r="K1" s="3"/>
      <c r="L1" s="3"/>
      <c r="M1" s="3"/>
      <c r="N1" s="3"/>
      <c r="O1" s="3"/>
      <c r="P1" s="3"/>
      <c r="Q1" s="3"/>
      <c r="R1" s="3"/>
      <c r="S1" s="3"/>
      <c r="T1" s="3"/>
      <c r="U1" s="3"/>
      <c r="V1" s="3"/>
      <c r="W1" s="3"/>
      <c r="X1" s="3"/>
      <c r="Y1" s="3"/>
      <c r="Z1" s="3"/>
    </row>
    <row r="2" hidden="1">
      <c r="A2" s="27" t="s">
        <v>100</v>
      </c>
      <c r="B2" s="29" t="s">
        <v>5</v>
      </c>
      <c r="C2" s="3"/>
      <c r="D2" s="3"/>
      <c r="E2" s="3"/>
      <c r="F2" s="3"/>
      <c r="G2" s="3"/>
      <c r="H2" s="3"/>
      <c r="I2" s="3"/>
      <c r="J2" s="3"/>
      <c r="K2" s="3"/>
      <c r="L2" s="3"/>
      <c r="M2" s="3"/>
      <c r="N2" s="3"/>
      <c r="O2" s="3"/>
      <c r="P2" s="3"/>
      <c r="Q2" s="3"/>
      <c r="R2" s="3"/>
      <c r="S2" s="3"/>
      <c r="T2" s="3"/>
      <c r="U2" s="3"/>
      <c r="V2" s="3"/>
      <c r="W2" s="3"/>
      <c r="X2" s="3"/>
      <c r="Y2" s="3"/>
      <c r="Z2" s="3"/>
    </row>
    <row r="3" hidden="1">
      <c r="A3" s="27" t="s">
        <v>109</v>
      </c>
      <c r="B3" s="29" t="s">
        <v>8</v>
      </c>
      <c r="C3" s="3"/>
      <c r="D3" s="3"/>
      <c r="E3" s="3"/>
      <c r="F3" s="3"/>
      <c r="G3" s="3"/>
      <c r="H3" s="3"/>
      <c r="I3" s="3"/>
      <c r="J3" s="3"/>
      <c r="K3" s="3"/>
      <c r="L3" s="3"/>
      <c r="M3" s="3"/>
      <c r="N3" s="3"/>
      <c r="O3" s="3"/>
      <c r="P3" s="3"/>
      <c r="Q3" s="3"/>
      <c r="R3" s="3"/>
      <c r="S3" s="3"/>
      <c r="T3" s="3"/>
      <c r="U3" s="3"/>
      <c r="V3" s="3"/>
      <c r="W3" s="3"/>
      <c r="X3" s="3"/>
      <c r="Y3" s="3"/>
      <c r="Z3" s="3"/>
    </row>
    <row r="4" hidden="1">
      <c r="A4" s="27" t="s">
        <v>116</v>
      </c>
      <c r="B4" s="29" t="s">
        <v>11</v>
      </c>
      <c r="C4" s="3"/>
      <c r="D4" s="3"/>
      <c r="E4" s="3"/>
      <c r="F4" s="3"/>
      <c r="G4" s="3"/>
      <c r="H4" s="3"/>
      <c r="I4" s="3"/>
      <c r="J4" s="3"/>
      <c r="K4" s="3"/>
      <c r="L4" s="3"/>
      <c r="M4" s="3"/>
      <c r="N4" s="3"/>
      <c r="O4" s="3"/>
      <c r="P4" s="3"/>
      <c r="Q4" s="3"/>
      <c r="R4" s="3"/>
      <c r="S4" s="3"/>
      <c r="T4" s="3"/>
      <c r="U4" s="3"/>
      <c r="V4" s="3"/>
      <c r="W4" s="3"/>
      <c r="X4" s="3"/>
      <c r="Y4" s="3"/>
      <c r="Z4" s="3"/>
    </row>
    <row r="5" hidden="1">
      <c r="A5" s="27" t="s">
        <v>124</v>
      </c>
      <c r="B5" s="29" t="s">
        <v>14</v>
      </c>
      <c r="C5" s="3"/>
      <c r="D5" s="3"/>
      <c r="E5" s="3"/>
      <c r="F5" s="3"/>
      <c r="G5" s="3"/>
      <c r="H5" s="3"/>
      <c r="I5" s="3"/>
      <c r="J5" s="3"/>
      <c r="K5" s="3"/>
      <c r="L5" s="3"/>
      <c r="M5" s="3"/>
      <c r="N5" s="3"/>
      <c r="O5" s="3"/>
      <c r="P5" s="3"/>
      <c r="Q5" s="3"/>
      <c r="R5" s="3"/>
      <c r="S5" s="3"/>
      <c r="T5" s="3"/>
      <c r="U5" s="3"/>
      <c r="V5" s="3"/>
      <c r="W5" s="3"/>
      <c r="X5" s="3"/>
      <c r="Y5" s="3"/>
      <c r="Z5" s="3"/>
    </row>
    <row r="6" hidden="1">
      <c r="A6" s="27" t="s">
        <v>131</v>
      </c>
      <c r="B6" s="29" t="s">
        <v>17</v>
      </c>
      <c r="C6" s="3"/>
      <c r="D6" s="3"/>
      <c r="E6" s="3"/>
      <c r="F6" s="3"/>
      <c r="G6" s="3"/>
      <c r="H6" s="3"/>
      <c r="I6" s="3"/>
      <c r="J6" s="3"/>
      <c r="K6" s="3"/>
      <c r="L6" s="3"/>
      <c r="M6" s="3"/>
      <c r="N6" s="3"/>
      <c r="O6" s="3"/>
      <c r="P6" s="3"/>
      <c r="Q6" s="3"/>
      <c r="R6" s="3"/>
      <c r="S6" s="3"/>
      <c r="T6" s="3"/>
      <c r="U6" s="3"/>
      <c r="V6" s="3"/>
      <c r="W6" s="3"/>
      <c r="X6" s="3"/>
      <c r="Y6" s="3"/>
      <c r="Z6" s="3"/>
    </row>
    <row r="7" hidden="1">
      <c r="A7" s="27" t="s">
        <v>137</v>
      </c>
      <c r="B7" s="29" t="s">
        <v>19</v>
      </c>
      <c r="C7" s="3"/>
      <c r="D7" s="3"/>
      <c r="E7" s="3"/>
      <c r="F7" s="3"/>
      <c r="G7" s="3"/>
      <c r="H7" s="3"/>
      <c r="I7" s="3"/>
      <c r="J7" s="3"/>
      <c r="K7" s="3"/>
      <c r="L7" s="3"/>
      <c r="M7" s="3"/>
      <c r="N7" s="3"/>
      <c r="O7" s="3"/>
      <c r="P7" s="3"/>
      <c r="Q7" s="3"/>
      <c r="R7" s="3"/>
      <c r="S7" s="3"/>
      <c r="T7" s="3"/>
      <c r="U7" s="3"/>
      <c r="V7" s="3"/>
      <c r="W7" s="3"/>
      <c r="X7" s="3"/>
      <c r="Y7" s="3"/>
      <c r="Z7" s="3"/>
    </row>
    <row r="8" hidden="1">
      <c r="A8" s="27" t="s">
        <v>143</v>
      </c>
      <c r="B8" s="29" t="s">
        <v>20</v>
      </c>
      <c r="C8" s="3"/>
      <c r="D8" s="3"/>
      <c r="E8" s="3"/>
      <c r="F8" s="3"/>
      <c r="G8" s="3"/>
      <c r="H8" s="3"/>
      <c r="I8" s="3"/>
      <c r="J8" s="3"/>
      <c r="K8" s="3"/>
      <c r="L8" s="3"/>
      <c r="M8" s="3"/>
      <c r="N8" s="3"/>
      <c r="O8" s="3"/>
      <c r="P8" s="3"/>
      <c r="Q8" s="3"/>
      <c r="R8" s="3"/>
      <c r="S8" s="3"/>
      <c r="T8" s="3"/>
      <c r="U8" s="3"/>
      <c r="V8" s="3"/>
      <c r="W8" s="3"/>
      <c r="X8" s="3"/>
      <c r="Y8" s="3"/>
      <c r="Z8" s="3"/>
    </row>
    <row r="9" hidden="1">
      <c r="A9" s="27" t="s">
        <v>148</v>
      </c>
      <c r="B9" s="29" t="s">
        <v>21</v>
      </c>
      <c r="C9" s="3"/>
      <c r="D9" s="3"/>
      <c r="E9" s="3"/>
      <c r="F9" s="3"/>
      <c r="G9" s="3"/>
      <c r="H9" s="3"/>
      <c r="I9" s="3"/>
      <c r="J9" s="3"/>
      <c r="K9" s="3"/>
      <c r="L9" s="3"/>
      <c r="M9" s="3"/>
      <c r="N9" s="3"/>
      <c r="O9" s="3"/>
      <c r="P9" s="3"/>
      <c r="Q9" s="3"/>
      <c r="R9" s="3"/>
      <c r="S9" s="3"/>
      <c r="T9" s="3"/>
      <c r="U9" s="3"/>
      <c r="V9" s="3"/>
      <c r="W9" s="3"/>
      <c r="X9" s="3"/>
      <c r="Y9" s="3"/>
      <c r="Z9" s="3"/>
    </row>
    <row r="10" hidden="1">
      <c r="A10" s="27" t="s">
        <v>154</v>
      </c>
      <c r="B10" s="29" t="s">
        <v>23</v>
      </c>
      <c r="C10" s="3"/>
      <c r="D10" s="3"/>
      <c r="E10" s="3"/>
      <c r="F10" s="3"/>
      <c r="G10" s="3"/>
      <c r="H10" s="3"/>
      <c r="I10" s="3"/>
      <c r="J10" s="3"/>
      <c r="K10" s="3"/>
      <c r="L10" s="3"/>
      <c r="M10" s="3"/>
      <c r="N10" s="3"/>
      <c r="O10" s="3"/>
      <c r="P10" s="3"/>
      <c r="Q10" s="3"/>
      <c r="R10" s="3"/>
      <c r="S10" s="3"/>
      <c r="T10" s="3"/>
      <c r="U10" s="3"/>
      <c r="V10" s="3"/>
      <c r="W10" s="3"/>
      <c r="X10" s="3"/>
      <c r="Y10" s="3"/>
      <c r="Z10" s="3"/>
    </row>
    <row r="11" hidden="1">
      <c r="A11" s="27" t="s">
        <v>159</v>
      </c>
      <c r="B11" s="29" t="s">
        <v>24</v>
      </c>
      <c r="C11" s="3"/>
      <c r="D11" s="3"/>
      <c r="E11" s="3"/>
      <c r="F11" s="3"/>
      <c r="G11" s="3"/>
      <c r="H11" s="3"/>
      <c r="I11" s="3"/>
      <c r="J11" s="3"/>
      <c r="K11" s="3"/>
      <c r="L11" s="3"/>
      <c r="M11" s="3"/>
      <c r="N11" s="3"/>
      <c r="O11" s="3"/>
      <c r="P11" s="3"/>
      <c r="Q11" s="3"/>
      <c r="R11" s="3"/>
      <c r="S11" s="3"/>
      <c r="T11" s="3"/>
      <c r="U11" s="3"/>
      <c r="V11" s="3"/>
      <c r="W11" s="3"/>
      <c r="X11" s="3"/>
      <c r="Y11" s="3"/>
      <c r="Z11" s="3"/>
    </row>
    <row r="12" hidden="1">
      <c r="A12" s="27" t="s">
        <v>164</v>
      </c>
      <c r="B12" s="29" t="s">
        <v>25</v>
      </c>
      <c r="C12" s="3"/>
      <c r="D12" s="3"/>
      <c r="E12" s="3"/>
      <c r="F12" s="3"/>
      <c r="G12" s="3"/>
      <c r="H12" s="3"/>
      <c r="I12" s="3"/>
      <c r="J12" s="3"/>
      <c r="K12" s="3"/>
      <c r="L12" s="3"/>
      <c r="M12" s="3"/>
      <c r="N12" s="3"/>
      <c r="O12" s="3"/>
      <c r="P12" s="3"/>
      <c r="Q12" s="3"/>
      <c r="R12" s="3"/>
      <c r="S12" s="3"/>
      <c r="T12" s="3"/>
      <c r="U12" s="3"/>
      <c r="V12" s="3"/>
      <c r="W12" s="3"/>
      <c r="X12" s="3"/>
      <c r="Y12" s="3"/>
      <c r="Z12" s="3"/>
    </row>
    <row r="13" hidden="1">
      <c r="A13" s="27" t="s">
        <v>170</v>
      </c>
      <c r="B13" s="29" t="s">
        <v>26</v>
      </c>
      <c r="C13" s="3"/>
      <c r="D13" s="3"/>
      <c r="E13" s="3"/>
      <c r="F13" s="3"/>
      <c r="G13" s="3"/>
      <c r="H13" s="3"/>
      <c r="I13" s="3"/>
      <c r="J13" s="3"/>
      <c r="K13" s="3"/>
      <c r="L13" s="3"/>
      <c r="M13" s="3"/>
      <c r="N13" s="3"/>
      <c r="O13" s="3"/>
      <c r="P13" s="3"/>
      <c r="Q13" s="3"/>
      <c r="R13" s="3"/>
      <c r="S13" s="3"/>
      <c r="T13" s="3"/>
      <c r="U13" s="3"/>
      <c r="V13" s="3"/>
      <c r="W13" s="3"/>
      <c r="X13" s="3"/>
      <c r="Y13" s="3"/>
      <c r="Z13" s="3"/>
    </row>
    <row r="14" hidden="1">
      <c r="A14" s="27" t="s">
        <v>176</v>
      </c>
      <c r="B14" s="29" t="s">
        <v>27</v>
      </c>
      <c r="C14" s="3"/>
      <c r="D14" s="3"/>
      <c r="E14" s="3"/>
      <c r="F14" s="3"/>
      <c r="G14" s="3"/>
      <c r="H14" s="3"/>
      <c r="I14" s="3"/>
      <c r="J14" s="3"/>
      <c r="K14" s="3"/>
      <c r="L14" s="3"/>
      <c r="M14" s="3"/>
      <c r="N14" s="3"/>
      <c r="O14" s="3"/>
      <c r="P14" s="3"/>
      <c r="Q14" s="3"/>
      <c r="R14" s="3"/>
      <c r="S14" s="3"/>
      <c r="T14" s="3"/>
      <c r="U14" s="3"/>
      <c r="V14" s="3"/>
      <c r="W14" s="3"/>
      <c r="X14" s="3"/>
      <c r="Y14" s="3"/>
      <c r="Z14" s="3"/>
    </row>
    <row r="15" hidden="1">
      <c r="A15" s="27" t="s">
        <v>182</v>
      </c>
      <c r="B15" s="29" t="s">
        <v>29</v>
      </c>
      <c r="C15" s="3"/>
      <c r="D15" s="3"/>
      <c r="E15" s="3"/>
      <c r="F15" s="3"/>
      <c r="G15" s="3"/>
      <c r="H15" s="3"/>
      <c r="I15" s="3"/>
      <c r="J15" s="3"/>
      <c r="K15" s="3"/>
      <c r="L15" s="3"/>
      <c r="M15" s="3"/>
      <c r="N15" s="3"/>
      <c r="O15" s="3"/>
      <c r="P15" s="3"/>
      <c r="Q15" s="3"/>
      <c r="R15" s="3"/>
      <c r="S15" s="3"/>
      <c r="T15" s="3"/>
      <c r="U15" s="3"/>
      <c r="V15" s="3"/>
      <c r="W15" s="3"/>
      <c r="X15" s="3"/>
      <c r="Y15" s="3"/>
      <c r="Z15" s="3"/>
    </row>
    <row r="16" hidden="1">
      <c r="A16" s="27" t="s">
        <v>188</v>
      </c>
      <c r="B16" s="29" t="s">
        <v>30</v>
      </c>
      <c r="C16" s="3"/>
      <c r="D16" s="3"/>
      <c r="E16" s="3"/>
      <c r="F16" s="3"/>
      <c r="G16" s="3"/>
      <c r="H16" s="3"/>
      <c r="I16" s="3"/>
      <c r="J16" s="3"/>
      <c r="K16" s="3"/>
      <c r="L16" s="3"/>
      <c r="M16" s="3"/>
      <c r="N16" s="3"/>
      <c r="O16" s="3"/>
      <c r="P16" s="3"/>
      <c r="Q16" s="3"/>
      <c r="R16" s="3"/>
      <c r="S16" s="3"/>
      <c r="T16" s="3"/>
      <c r="U16" s="3"/>
      <c r="V16" s="3"/>
      <c r="W16" s="3"/>
      <c r="X16" s="3"/>
      <c r="Y16" s="3"/>
      <c r="Z16" s="3"/>
    </row>
    <row r="17" hidden="1">
      <c r="A17" s="27" t="s">
        <v>193</v>
      </c>
      <c r="B17" s="29" t="s">
        <v>31</v>
      </c>
      <c r="C17" s="3"/>
      <c r="D17" s="3"/>
      <c r="E17" s="3"/>
      <c r="F17" s="3"/>
      <c r="G17" s="3"/>
      <c r="H17" s="3"/>
      <c r="I17" s="3"/>
      <c r="J17" s="3"/>
      <c r="K17" s="3"/>
      <c r="L17" s="3"/>
      <c r="M17" s="3"/>
      <c r="N17" s="3"/>
      <c r="O17" s="3"/>
      <c r="P17" s="3"/>
      <c r="Q17" s="3"/>
      <c r="R17" s="3"/>
      <c r="S17" s="3"/>
      <c r="T17" s="3"/>
      <c r="U17" s="3"/>
      <c r="V17" s="3"/>
      <c r="W17" s="3"/>
      <c r="X17" s="3"/>
      <c r="Y17" s="3"/>
      <c r="Z17" s="3"/>
    </row>
    <row r="18" hidden="1">
      <c r="A18" s="27" t="s">
        <v>198</v>
      </c>
      <c r="B18" s="29" t="s">
        <v>32</v>
      </c>
      <c r="C18" s="3"/>
      <c r="D18" s="3"/>
      <c r="E18" s="3"/>
      <c r="F18" s="3"/>
      <c r="G18" s="3"/>
      <c r="H18" s="3"/>
      <c r="I18" s="3"/>
      <c r="J18" s="3"/>
      <c r="K18" s="3"/>
      <c r="L18" s="3"/>
      <c r="M18" s="3"/>
      <c r="N18" s="3"/>
      <c r="O18" s="3"/>
      <c r="P18" s="3"/>
      <c r="Q18" s="3"/>
      <c r="R18" s="3"/>
      <c r="S18" s="3"/>
      <c r="T18" s="3"/>
      <c r="U18" s="3"/>
      <c r="V18" s="3"/>
      <c r="W18" s="3"/>
      <c r="X18" s="3"/>
      <c r="Y18" s="3"/>
      <c r="Z18" s="3"/>
    </row>
    <row r="19" hidden="1">
      <c r="A19" s="27" t="s">
        <v>204</v>
      </c>
      <c r="B19" s="29" t="s">
        <v>33</v>
      </c>
      <c r="C19" s="3"/>
      <c r="D19" s="3"/>
      <c r="E19" s="3"/>
      <c r="F19" s="3"/>
      <c r="G19" s="3"/>
      <c r="H19" s="3"/>
      <c r="I19" s="3"/>
      <c r="J19" s="3"/>
      <c r="K19" s="3"/>
      <c r="L19" s="3"/>
      <c r="M19" s="3"/>
      <c r="N19" s="3"/>
      <c r="O19" s="3"/>
      <c r="P19" s="3"/>
      <c r="Q19" s="3"/>
      <c r="R19" s="3"/>
      <c r="S19" s="3"/>
      <c r="T19" s="3"/>
      <c r="U19" s="3"/>
      <c r="V19" s="3"/>
      <c r="W19" s="3"/>
      <c r="X19" s="3"/>
      <c r="Y19" s="3"/>
      <c r="Z19" s="3"/>
    </row>
    <row r="20" hidden="1">
      <c r="A20" s="27" t="s">
        <v>209</v>
      </c>
      <c r="B20" s="29" t="s">
        <v>34</v>
      </c>
      <c r="C20" s="3"/>
      <c r="D20" s="3"/>
      <c r="E20" s="3"/>
      <c r="F20" s="3"/>
      <c r="G20" s="3"/>
      <c r="H20" s="3"/>
      <c r="I20" s="3"/>
      <c r="J20" s="3"/>
      <c r="K20" s="3"/>
      <c r="L20" s="3"/>
      <c r="M20" s="3"/>
      <c r="N20" s="3"/>
      <c r="O20" s="3"/>
      <c r="P20" s="3"/>
      <c r="Q20" s="3"/>
      <c r="R20" s="3"/>
      <c r="S20" s="3"/>
      <c r="T20" s="3"/>
      <c r="U20" s="3"/>
      <c r="V20" s="3"/>
      <c r="W20" s="3"/>
      <c r="X20" s="3"/>
      <c r="Y20" s="3"/>
      <c r="Z20" s="3"/>
    </row>
    <row r="21" hidden="1">
      <c r="A21" s="27" t="s">
        <v>215</v>
      </c>
      <c r="B21" s="29" t="s">
        <v>35</v>
      </c>
      <c r="C21" s="3"/>
      <c r="D21" s="3"/>
      <c r="E21" s="3"/>
      <c r="F21" s="3"/>
      <c r="G21" s="3"/>
      <c r="H21" s="3"/>
      <c r="I21" s="3"/>
      <c r="J21" s="3"/>
      <c r="K21" s="3"/>
      <c r="L21" s="3"/>
      <c r="M21" s="3"/>
      <c r="N21" s="3"/>
      <c r="O21" s="3"/>
      <c r="P21" s="3"/>
      <c r="Q21" s="3"/>
      <c r="R21" s="3"/>
      <c r="S21" s="3"/>
      <c r="T21" s="3"/>
      <c r="U21" s="3"/>
      <c r="V21" s="3"/>
      <c r="W21" s="3"/>
      <c r="X21" s="3"/>
      <c r="Y21" s="3"/>
      <c r="Z21" s="3"/>
    </row>
    <row r="22" hidden="1">
      <c r="A22" s="27" t="s">
        <v>222</v>
      </c>
      <c r="B22" s="29" t="s">
        <v>36</v>
      </c>
      <c r="C22" s="3"/>
      <c r="D22" s="3"/>
      <c r="E22" s="3"/>
      <c r="F22" s="3"/>
      <c r="G22" s="3"/>
      <c r="H22" s="3"/>
      <c r="I22" s="3"/>
      <c r="J22" s="3"/>
      <c r="K22" s="3"/>
      <c r="L22" s="3"/>
      <c r="M22" s="3"/>
      <c r="N22" s="3"/>
      <c r="O22" s="3"/>
      <c r="P22" s="3"/>
      <c r="Q22" s="3"/>
      <c r="R22" s="3"/>
      <c r="S22" s="3"/>
      <c r="T22" s="3"/>
      <c r="U22" s="3"/>
      <c r="V22" s="3"/>
      <c r="W22" s="3"/>
      <c r="X22" s="3"/>
      <c r="Y22" s="3"/>
      <c r="Z22" s="3"/>
    </row>
    <row r="23" hidden="1">
      <c r="A23" s="27" t="s">
        <v>227</v>
      </c>
      <c r="B23" s="29" t="s">
        <v>37</v>
      </c>
      <c r="C23" s="3"/>
      <c r="D23" s="3"/>
      <c r="E23" s="3"/>
      <c r="F23" s="3"/>
      <c r="G23" s="3"/>
      <c r="H23" s="3"/>
      <c r="I23" s="3"/>
      <c r="J23" s="3"/>
      <c r="K23" s="3"/>
      <c r="L23" s="3"/>
      <c r="M23" s="3"/>
      <c r="N23" s="3"/>
      <c r="O23" s="3"/>
      <c r="P23" s="3"/>
      <c r="Q23" s="3"/>
      <c r="R23" s="3"/>
      <c r="S23" s="3"/>
      <c r="T23" s="3"/>
      <c r="U23" s="3"/>
      <c r="V23" s="3"/>
      <c r="W23" s="3"/>
      <c r="X23" s="3"/>
      <c r="Y23" s="3"/>
      <c r="Z23" s="3"/>
    </row>
    <row r="24" hidden="1">
      <c r="A24" s="27" t="s">
        <v>233</v>
      </c>
      <c r="B24" s="29" t="s">
        <v>39</v>
      </c>
      <c r="C24" s="3"/>
      <c r="D24" s="3"/>
      <c r="E24" s="3"/>
      <c r="F24" s="3"/>
      <c r="G24" s="3"/>
      <c r="H24" s="3"/>
      <c r="I24" s="3"/>
      <c r="J24" s="3"/>
      <c r="K24" s="3"/>
      <c r="L24" s="3"/>
      <c r="M24" s="3"/>
      <c r="N24" s="3"/>
      <c r="O24" s="3"/>
      <c r="P24" s="3"/>
      <c r="Q24" s="3"/>
      <c r="R24" s="3"/>
      <c r="S24" s="3"/>
      <c r="T24" s="3"/>
      <c r="U24" s="3"/>
      <c r="V24" s="3"/>
      <c r="W24" s="3"/>
      <c r="X24" s="3"/>
      <c r="Y24" s="3"/>
      <c r="Z24" s="3"/>
    </row>
    <row r="25" hidden="1">
      <c r="A25" s="27" t="s">
        <v>239</v>
      </c>
      <c r="B25" s="29" t="s">
        <v>40</v>
      </c>
      <c r="C25" s="3"/>
      <c r="D25" s="3"/>
      <c r="E25" s="3"/>
      <c r="F25" s="3"/>
      <c r="G25" s="3"/>
      <c r="H25" s="3"/>
      <c r="I25" s="3"/>
      <c r="J25" s="3"/>
      <c r="K25" s="3"/>
      <c r="L25" s="3"/>
      <c r="M25" s="3"/>
      <c r="N25" s="3"/>
      <c r="O25" s="3"/>
      <c r="P25" s="3"/>
      <c r="Q25" s="3"/>
      <c r="R25" s="3"/>
      <c r="S25" s="3"/>
      <c r="T25" s="3"/>
      <c r="U25" s="3"/>
      <c r="V25" s="3"/>
      <c r="W25" s="3"/>
      <c r="X25" s="3"/>
      <c r="Y25" s="3"/>
      <c r="Z25" s="3"/>
    </row>
    <row r="26" hidden="1">
      <c r="A26" s="27" t="s">
        <v>247</v>
      </c>
      <c r="B26" s="29" t="s">
        <v>41</v>
      </c>
      <c r="C26" s="3"/>
      <c r="D26" s="3"/>
      <c r="E26" s="3"/>
      <c r="F26" s="3"/>
      <c r="G26" s="3"/>
      <c r="H26" s="3"/>
      <c r="I26" s="3"/>
      <c r="J26" s="3"/>
      <c r="K26" s="3"/>
      <c r="L26" s="3"/>
      <c r="M26" s="3"/>
      <c r="N26" s="3"/>
      <c r="O26" s="3"/>
      <c r="P26" s="3"/>
      <c r="Q26" s="3"/>
      <c r="R26" s="3"/>
      <c r="S26" s="3"/>
      <c r="T26" s="3"/>
      <c r="U26" s="3"/>
      <c r="V26" s="3"/>
      <c r="W26" s="3"/>
      <c r="X26" s="3"/>
      <c r="Y26" s="3"/>
      <c r="Z26" s="3"/>
    </row>
    <row r="27" hidden="1">
      <c r="A27" s="27" t="s">
        <v>256</v>
      </c>
      <c r="B27" s="29" t="s">
        <v>42</v>
      </c>
      <c r="C27" s="3"/>
      <c r="D27" s="3"/>
      <c r="E27" s="3"/>
      <c r="F27" s="3"/>
      <c r="G27" s="3"/>
      <c r="H27" s="3"/>
      <c r="I27" s="3"/>
      <c r="J27" s="3"/>
      <c r="K27" s="3"/>
      <c r="L27" s="3"/>
      <c r="M27" s="3"/>
      <c r="N27" s="3"/>
      <c r="O27" s="3"/>
      <c r="P27" s="3"/>
      <c r="Q27" s="3"/>
      <c r="R27" s="3"/>
      <c r="S27" s="3"/>
      <c r="T27" s="3"/>
      <c r="U27" s="3"/>
      <c r="V27" s="3"/>
      <c r="W27" s="3"/>
      <c r="X27" s="3"/>
      <c r="Y27" s="3"/>
      <c r="Z27" s="3"/>
    </row>
    <row r="28" hidden="1">
      <c r="A28" s="27" t="s">
        <v>263</v>
      </c>
      <c r="B28" s="29" t="s">
        <v>43</v>
      </c>
      <c r="C28" s="3"/>
      <c r="D28" s="3"/>
      <c r="E28" s="3"/>
      <c r="F28" s="3"/>
      <c r="G28" s="3"/>
      <c r="H28" s="3"/>
      <c r="I28" s="3"/>
      <c r="J28" s="3"/>
      <c r="K28" s="3"/>
      <c r="L28" s="3"/>
      <c r="M28" s="3"/>
      <c r="N28" s="3"/>
      <c r="O28" s="3"/>
      <c r="P28" s="3"/>
      <c r="Q28" s="3"/>
      <c r="R28" s="3"/>
      <c r="S28" s="3"/>
      <c r="T28" s="3"/>
      <c r="U28" s="3"/>
      <c r="V28" s="3"/>
      <c r="W28" s="3"/>
      <c r="X28" s="3"/>
      <c r="Y28" s="3"/>
      <c r="Z28" s="3"/>
    </row>
    <row r="29" hidden="1">
      <c r="A29" s="27" t="s">
        <v>271</v>
      </c>
      <c r="B29" s="29" t="s">
        <v>44</v>
      </c>
      <c r="C29" s="3"/>
      <c r="D29" s="3"/>
      <c r="E29" s="3"/>
      <c r="F29" s="3"/>
      <c r="G29" s="3"/>
      <c r="H29" s="3"/>
      <c r="I29" s="3"/>
      <c r="J29" s="3"/>
      <c r="K29" s="3"/>
      <c r="L29" s="3"/>
      <c r="M29" s="3"/>
      <c r="N29" s="3"/>
      <c r="O29" s="3"/>
      <c r="P29" s="3"/>
      <c r="Q29" s="3"/>
      <c r="R29" s="3"/>
      <c r="S29" s="3"/>
      <c r="T29" s="3"/>
      <c r="U29" s="3"/>
      <c r="V29" s="3"/>
      <c r="W29" s="3"/>
      <c r="X29" s="3"/>
      <c r="Y29" s="3"/>
      <c r="Z29" s="3"/>
    </row>
    <row r="30" hidden="1">
      <c r="A30" s="27" t="s">
        <v>275</v>
      </c>
      <c r="B30" s="29" t="s">
        <v>45</v>
      </c>
      <c r="C30" s="3"/>
      <c r="D30" s="3"/>
      <c r="E30" s="3"/>
      <c r="F30" s="3"/>
      <c r="G30" s="3"/>
      <c r="H30" s="3"/>
      <c r="I30" s="3"/>
      <c r="J30" s="3"/>
      <c r="K30" s="3"/>
      <c r="L30" s="3"/>
      <c r="M30" s="3"/>
      <c r="N30" s="3"/>
      <c r="O30" s="3"/>
      <c r="P30" s="3"/>
      <c r="Q30" s="3"/>
      <c r="R30" s="3"/>
      <c r="S30" s="3"/>
      <c r="T30" s="3"/>
      <c r="U30" s="3"/>
      <c r="V30" s="3"/>
      <c r="W30" s="3"/>
      <c r="X30" s="3"/>
      <c r="Y30" s="3"/>
      <c r="Z30" s="3"/>
    </row>
    <row r="31" hidden="1">
      <c r="A31" s="27" t="s">
        <v>277</v>
      </c>
      <c r="B31" s="29" t="s">
        <v>46</v>
      </c>
      <c r="C31" s="3"/>
      <c r="D31" s="3"/>
      <c r="E31" s="3"/>
      <c r="F31" s="3"/>
      <c r="G31" s="3"/>
      <c r="H31" s="3"/>
      <c r="I31" s="3"/>
      <c r="J31" s="3"/>
      <c r="K31" s="3"/>
      <c r="L31" s="3"/>
      <c r="M31" s="3"/>
      <c r="N31" s="3"/>
      <c r="O31" s="3"/>
      <c r="P31" s="3"/>
      <c r="Q31" s="3"/>
      <c r="R31" s="3"/>
      <c r="S31" s="3"/>
      <c r="T31" s="3"/>
      <c r="U31" s="3"/>
      <c r="V31" s="3"/>
      <c r="W31" s="3"/>
      <c r="X31" s="3"/>
      <c r="Y31" s="3"/>
      <c r="Z31" s="3"/>
    </row>
    <row r="32" hidden="1">
      <c r="A32" s="27" t="s">
        <v>282</v>
      </c>
      <c r="B32" s="29" t="s">
        <v>47</v>
      </c>
      <c r="C32" s="3"/>
      <c r="D32" s="3"/>
      <c r="E32" s="3"/>
      <c r="F32" s="3"/>
      <c r="G32" s="3"/>
      <c r="H32" s="3"/>
      <c r="I32" s="3"/>
      <c r="J32" s="3"/>
      <c r="K32" s="3"/>
      <c r="L32" s="3"/>
      <c r="M32" s="3"/>
      <c r="N32" s="3"/>
      <c r="O32" s="3"/>
      <c r="P32" s="3"/>
      <c r="Q32" s="3"/>
      <c r="R32" s="3"/>
      <c r="S32" s="3"/>
      <c r="T32" s="3"/>
      <c r="U32" s="3"/>
      <c r="V32" s="3"/>
      <c r="W32" s="3"/>
      <c r="X32" s="3"/>
      <c r="Y32" s="3"/>
      <c r="Z32" s="3"/>
    </row>
    <row r="33" hidden="1">
      <c r="A33" s="27" t="s">
        <v>287</v>
      </c>
      <c r="B33" s="29" t="s">
        <v>48</v>
      </c>
      <c r="C33" s="3"/>
      <c r="D33" s="3"/>
      <c r="E33" s="3"/>
      <c r="F33" s="3"/>
      <c r="G33" s="3"/>
      <c r="H33" s="3"/>
      <c r="I33" s="3"/>
      <c r="J33" s="3"/>
      <c r="K33" s="3"/>
      <c r="L33" s="3"/>
      <c r="M33" s="3"/>
      <c r="N33" s="3"/>
      <c r="O33" s="3"/>
      <c r="P33" s="3"/>
      <c r="Q33" s="3"/>
      <c r="R33" s="3"/>
      <c r="S33" s="3"/>
      <c r="T33" s="3"/>
      <c r="U33" s="3"/>
      <c r="V33" s="3"/>
      <c r="W33" s="3"/>
      <c r="X33" s="3"/>
      <c r="Y33" s="3"/>
      <c r="Z33" s="3"/>
    </row>
    <row r="34" hidden="1">
      <c r="A34" s="27" t="s">
        <v>292</v>
      </c>
      <c r="B34" s="29" t="s">
        <v>49</v>
      </c>
      <c r="C34" s="3"/>
      <c r="D34" s="3"/>
      <c r="E34" s="3"/>
      <c r="F34" s="3"/>
      <c r="G34" s="3"/>
      <c r="H34" s="3"/>
      <c r="I34" s="3"/>
      <c r="J34" s="3"/>
      <c r="K34" s="3"/>
      <c r="L34" s="3"/>
      <c r="M34" s="3"/>
      <c r="N34" s="3"/>
      <c r="O34" s="3"/>
      <c r="P34" s="3"/>
      <c r="Q34" s="3"/>
      <c r="R34" s="3"/>
      <c r="S34" s="3"/>
      <c r="T34" s="3"/>
      <c r="U34" s="3"/>
      <c r="V34" s="3"/>
      <c r="W34" s="3"/>
      <c r="X34" s="3"/>
      <c r="Y34" s="3"/>
      <c r="Z34" s="3"/>
    </row>
    <row r="35" hidden="1">
      <c r="A35" s="27" t="s">
        <v>295</v>
      </c>
      <c r="B35" s="29" t="s">
        <v>51</v>
      </c>
      <c r="C35" s="3"/>
      <c r="D35" s="3"/>
      <c r="E35" s="3"/>
      <c r="F35" s="3"/>
      <c r="G35" s="3"/>
      <c r="H35" s="3"/>
      <c r="I35" s="3"/>
      <c r="J35" s="3"/>
      <c r="K35" s="3"/>
      <c r="L35" s="3"/>
      <c r="M35" s="3"/>
      <c r="N35" s="3"/>
      <c r="O35" s="3"/>
      <c r="P35" s="3"/>
      <c r="Q35" s="3"/>
      <c r="R35" s="3"/>
      <c r="S35" s="3"/>
      <c r="T35" s="3"/>
      <c r="U35" s="3"/>
      <c r="V35" s="3"/>
      <c r="W35" s="3"/>
      <c r="X35" s="3"/>
      <c r="Y35" s="3"/>
      <c r="Z35" s="3"/>
    </row>
    <row r="36" hidden="1">
      <c r="A36" s="27" t="s">
        <v>299</v>
      </c>
      <c r="B36" s="29" t="s">
        <v>52</v>
      </c>
      <c r="C36" s="3"/>
      <c r="D36" s="3"/>
      <c r="E36" s="3"/>
      <c r="F36" s="3"/>
      <c r="G36" s="3"/>
      <c r="H36" s="3"/>
      <c r="I36" s="3"/>
      <c r="J36" s="3"/>
      <c r="K36" s="3"/>
      <c r="L36" s="3"/>
      <c r="M36" s="3"/>
      <c r="N36" s="3"/>
      <c r="O36" s="3"/>
      <c r="P36" s="3"/>
      <c r="Q36" s="3"/>
      <c r="R36" s="3"/>
      <c r="S36" s="3"/>
      <c r="T36" s="3"/>
      <c r="U36" s="3"/>
      <c r="V36" s="3"/>
      <c r="W36" s="3"/>
      <c r="X36" s="3"/>
      <c r="Y36" s="3"/>
      <c r="Z36" s="3"/>
    </row>
    <row r="37" hidden="1">
      <c r="A37" s="27" t="s">
        <v>304</v>
      </c>
      <c r="B37" s="29" t="s">
        <v>53</v>
      </c>
      <c r="C37" s="3"/>
      <c r="D37" s="3"/>
      <c r="E37" s="3"/>
      <c r="F37" s="3"/>
      <c r="G37" s="3"/>
      <c r="H37" s="3"/>
      <c r="I37" s="3"/>
      <c r="J37" s="3"/>
      <c r="K37" s="3"/>
      <c r="L37" s="3"/>
      <c r="M37" s="3"/>
      <c r="N37" s="3"/>
      <c r="O37" s="3"/>
      <c r="P37" s="3"/>
      <c r="Q37" s="3"/>
      <c r="R37" s="3"/>
      <c r="S37" s="3"/>
      <c r="T37" s="3"/>
      <c r="U37" s="3"/>
      <c r="V37" s="3"/>
      <c r="W37" s="3"/>
      <c r="X37" s="3"/>
      <c r="Y37" s="3"/>
      <c r="Z37" s="3"/>
    </row>
    <row r="38" hidden="1">
      <c r="A38" s="27" t="s">
        <v>309</v>
      </c>
      <c r="B38" s="29" t="s">
        <v>54</v>
      </c>
      <c r="C38" s="3"/>
      <c r="D38" s="3"/>
      <c r="E38" s="3"/>
      <c r="F38" s="3"/>
      <c r="G38" s="3"/>
      <c r="H38" s="3"/>
      <c r="I38" s="3"/>
      <c r="J38" s="3"/>
      <c r="K38" s="3"/>
      <c r="L38" s="3"/>
      <c r="M38" s="3"/>
      <c r="N38" s="3"/>
      <c r="O38" s="3"/>
      <c r="P38" s="3"/>
      <c r="Q38" s="3"/>
      <c r="R38" s="3"/>
      <c r="S38" s="3"/>
      <c r="T38" s="3"/>
      <c r="U38" s="3"/>
      <c r="V38" s="3"/>
      <c r="W38" s="3"/>
      <c r="X38" s="3"/>
      <c r="Y38" s="3"/>
      <c r="Z38" s="3"/>
    </row>
    <row r="39" hidden="1">
      <c r="A39" s="27" t="s">
        <v>314</v>
      </c>
      <c r="B39" s="29" t="s">
        <v>55</v>
      </c>
      <c r="C39" s="3"/>
      <c r="D39" s="3"/>
      <c r="E39" s="3"/>
      <c r="F39" s="3"/>
      <c r="G39" s="3"/>
      <c r="H39" s="3"/>
      <c r="I39" s="3"/>
      <c r="J39" s="3"/>
      <c r="K39" s="3"/>
      <c r="L39" s="3"/>
      <c r="M39" s="3"/>
      <c r="N39" s="3"/>
      <c r="O39" s="3"/>
      <c r="P39" s="3"/>
      <c r="Q39" s="3"/>
      <c r="R39" s="3"/>
      <c r="S39" s="3"/>
      <c r="T39" s="3"/>
      <c r="U39" s="3"/>
      <c r="V39" s="3"/>
      <c r="W39" s="3"/>
      <c r="X39" s="3"/>
      <c r="Y39" s="3"/>
      <c r="Z39" s="3"/>
    </row>
    <row r="40" hidden="1">
      <c r="A40" s="27" t="s">
        <v>319</v>
      </c>
      <c r="B40" s="29" t="s">
        <v>56</v>
      </c>
      <c r="C40" s="3"/>
      <c r="D40" s="3"/>
      <c r="E40" s="3"/>
      <c r="F40" s="3"/>
      <c r="G40" s="3"/>
      <c r="H40" s="3"/>
      <c r="I40" s="3"/>
      <c r="J40" s="3"/>
      <c r="K40" s="3"/>
      <c r="L40" s="3"/>
      <c r="M40" s="3"/>
      <c r="N40" s="3"/>
      <c r="O40" s="3"/>
      <c r="P40" s="3"/>
      <c r="Q40" s="3"/>
      <c r="R40" s="3"/>
      <c r="S40" s="3"/>
      <c r="T40" s="3"/>
      <c r="U40" s="3"/>
      <c r="V40" s="3"/>
      <c r="W40" s="3"/>
      <c r="X40" s="3"/>
      <c r="Y40" s="3"/>
      <c r="Z40" s="3"/>
    </row>
    <row r="41" hidden="1">
      <c r="A41" s="27" t="s">
        <v>324</v>
      </c>
      <c r="B41" s="29" t="s">
        <v>57</v>
      </c>
      <c r="C41" s="3"/>
      <c r="D41" s="3"/>
      <c r="E41" s="3"/>
      <c r="F41" s="3"/>
      <c r="G41" s="3"/>
      <c r="H41" s="3"/>
      <c r="I41" s="3"/>
      <c r="J41" s="3"/>
      <c r="K41" s="3"/>
      <c r="L41" s="3"/>
      <c r="M41" s="3"/>
      <c r="N41" s="3"/>
      <c r="O41" s="3"/>
      <c r="P41" s="3"/>
      <c r="Q41" s="3"/>
      <c r="R41" s="3"/>
      <c r="S41" s="3"/>
      <c r="T41" s="3"/>
      <c r="U41" s="3"/>
      <c r="V41" s="3"/>
      <c r="W41" s="3"/>
      <c r="X41" s="3"/>
      <c r="Y41" s="3"/>
      <c r="Z41" s="3"/>
    </row>
    <row r="42" hidden="1">
      <c r="A42" s="27" t="s">
        <v>329</v>
      </c>
      <c r="B42" s="29" t="s">
        <v>58</v>
      </c>
      <c r="C42" s="3"/>
      <c r="D42" s="3"/>
      <c r="E42" s="3"/>
      <c r="F42" s="3"/>
      <c r="G42" s="3"/>
      <c r="H42" s="3"/>
      <c r="I42" s="3"/>
      <c r="J42" s="3"/>
      <c r="K42" s="3"/>
      <c r="L42" s="3"/>
      <c r="M42" s="3"/>
      <c r="N42" s="3"/>
      <c r="O42" s="3"/>
      <c r="P42" s="3"/>
      <c r="Q42" s="3"/>
      <c r="R42" s="3"/>
      <c r="S42" s="3"/>
      <c r="T42" s="3"/>
      <c r="U42" s="3"/>
      <c r="V42" s="3"/>
      <c r="W42" s="3"/>
      <c r="X42" s="3"/>
      <c r="Y42" s="3"/>
      <c r="Z42" s="3"/>
    </row>
    <row r="43" hidden="1">
      <c r="A43" s="27" t="s">
        <v>334</v>
      </c>
      <c r="B43" s="29" t="s">
        <v>59</v>
      </c>
      <c r="C43" s="3"/>
      <c r="D43" s="3"/>
      <c r="E43" s="3"/>
      <c r="F43" s="3"/>
      <c r="G43" s="3"/>
      <c r="H43" s="3"/>
      <c r="I43" s="3"/>
      <c r="J43" s="3"/>
      <c r="K43" s="3"/>
      <c r="L43" s="3"/>
      <c r="M43" s="3"/>
      <c r="N43" s="3"/>
      <c r="O43" s="3"/>
      <c r="P43" s="3"/>
      <c r="Q43" s="3"/>
      <c r="R43" s="3"/>
      <c r="S43" s="3"/>
      <c r="T43" s="3"/>
      <c r="U43" s="3"/>
      <c r="V43" s="3"/>
      <c r="W43" s="3"/>
      <c r="X43" s="3"/>
      <c r="Y43" s="3"/>
      <c r="Z43" s="3"/>
    </row>
    <row r="44" hidden="1">
      <c r="A44" s="27" t="s">
        <v>338</v>
      </c>
      <c r="B44" s="29" t="s">
        <v>60</v>
      </c>
      <c r="C44" s="3"/>
      <c r="D44" s="3"/>
      <c r="E44" s="3"/>
      <c r="F44" s="3"/>
      <c r="G44" s="3"/>
      <c r="H44" s="3"/>
      <c r="I44" s="3"/>
      <c r="J44" s="3"/>
      <c r="K44" s="3"/>
      <c r="L44" s="3"/>
      <c r="M44" s="3"/>
      <c r="N44" s="3"/>
      <c r="O44" s="3"/>
      <c r="P44" s="3"/>
      <c r="Q44" s="3"/>
      <c r="R44" s="3"/>
      <c r="S44" s="3"/>
      <c r="T44" s="3"/>
      <c r="U44" s="3"/>
      <c r="V44" s="3"/>
      <c r="W44" s="3"/>
      <c r="X44" s="3"/>
      <c r="Y44" s="3"/>
      <c r="Z44" s="3"/>
    </row>
    <row r="45" hidden="1">
      <c r="A45" s="27" t="s">
        <v>342</v>
      </c>
      <c r="B45" s="29" t="s">
        <v>61</v>
      </c>
      <c r="C45" s="3"/>
      <c r="D45" s="3"/>
      <c r="E45" s="3"/>
      <c r="F45" s="3"/>
      <c r="G45" s="3"/>
      <c r="H45" s="3"/>
      <c r="I45" s="3"/>
      <c r="J45" s="3"/>
      <c r="K45" s="3"/>
      <c r="L45" s="3"/>
      <c r="M45" s="3"/>
      <c r="N45" s="3"/>
      <c r="O45" s="3"/>
      <c r="P45" s="3"/>
      <c r="Q45" s="3"/>
      <c r="R45" s="3"/>
      <c r="S45" s="3"/>
      <c r="T45" s="3"/>
      <c r="U45" s="3"/>
      <c r="V45" s="3"/>
      <c r="W45" s="3"/>
      <c r="X45" s="3"/>
      <c r="Y45" s="3"/>
      <c r="Z45" s="3"/>
    </row>
    <row r="46" hidden="1">
      <c r="A46" s="27" t="s">
        <v>346</v>
      </c>
      <c r="B46" s="29" t="s">
        <v>62</v>
      </c>
      <c r="C46" s="3"/>
      <c r="D46" s="3"/>
      <c r="E46" s="3"/>
      <c r="F46" s="3"/>
      <c r="G46" s="3"/>
      <c r="H46" s="3"/>
      <c r="I46" s="3"/>
      <c r="J46" s="3"/>
      <c r="K46" s="3"/>
      <c r="L46" s="3"/>
      <c r="M46" s="3"/>
      <c r="N46" s="3"/>
      <c r="O46" s="3"/>
      <c r="P46" s="3"/>
      <c r="Q46" s="3"/>
      <c r="R46" s="3"/>
      <c r="S46" s="3"/>
      <c r="T46" s="3"/>
      <c r="U46" s="3"/>
      <c r="V46" s="3"/>
      <c r="W46" s="3"/>
      <c r="X46" s="3"/>
      <c r="Y46" s="3"/>
      <c r="Z46" s="3"/>
    </row>
    <row r="47" hidden="1">
      <c r="A47" s="27" t="s">
        <v>349</v>
      </c>
      <c r="B47" s="29" t="s">
        <v>64</v>
      </c>
      <c r="C47" s="3"/>
      <c r="D47" s="3"/>
      <c r="E47" s="3"/>
      <c r="F47" s="3"/>
      <c r="G47" s="3"/>
      <c r="H47" s="3"/>
      <c r="I47" s="3"/>
      <c r="J47" s="3"/>
      <c r="K47" s="3"/>
      <c r="L47" s="3"/>
      <c r="M47" s="3"/>
      <c r="N47" s="3"/>
      <c r="O47" s="3"/>
      <c r="P47" s="3"/>
      <c r="Q47" s="3"/>
      <c r="R47" s="3"/>
      <c r="S47" s="3"/>
      <c r="T47" s="3"/>
      <c r="U47" s="3"/>
      <c r="V47" s="3"/>
      <c r="W47" s="3"/>
      <c r="X47" s="3"/>
      <c r="Y47" s="3"/>
      <c r="Z47" s="3"/>
    </row>
    <row r="48" hidden="1">
      <c r="A48" s="27" t="s">
        <v>353</v>
      </c>
      <c r="B48" s="29" t="s">
        <v>65</v>
      </c>
      <c r="C48" s="3"/>
      <c r="D48" s="3"/>
      <c r="E48" s="3"/>
      <c r="F48" s="3"/>
      <c r="G48" s="3"/>
      <c r="H48" s="3"/>
      <c r="I48" s="3"/>
      <c r="J48" s="3"/>
      <c r="K48" s="3"/>
      <c r="L48" s="3"/>
      <c r="M48" s="3"/>
      <c r="N48" s="3"/>
      <c r="O48" s="3"/>
      <c r="P48" s="3"/>
      <c r="Q48" s="3"/>
      <c r="R48" s="3"/>
      <c r="S48" s="3"/>
      <c r="T48" s="3"/>
      <c r="U48" s="3"/>
      <c r="V48" s="3"/>
      <c r="W48" s="3"/>
      <c r="X48" s="3"/>
      <c r="Y48" s="3"/>
      <c r="Z48" s="3"/>
    </row>
    <row r="49" hidden="1">
      <c r="A49" s="27" t="s">
        <v>356</v>
      </c>
      <c r="B49" s="29" t="s">
        <v>66</v>
      </c>
      <c r="C49" s="3"/>
      <c r="D49" s="3"/>
      <c r="E49" s="3"/>
      <c r="F49" s="3"/>
      <c r="G49" s="3"/>
      <c r="H49" s="3"/>
      <c r="I49" s="3"/>
      <c r="J49" s="3"/>
      <c r="K49" s="3"/>
      <c r="L49" s="3"/>
      <c r="M49" s="3"/>
      <c r="N49" s="3"/>
      <c r="O49" s="3"/>
      <c r="P49" s="3"/>
      <c r="Q49" s="3"/>
      <c r="R49" s="3"/>
      <c r="S49" s="3"/>
      <c r="T49" s="3"/>
      <c r="U49" s="3"/>
      <c r="V49" s="3"/>
      <c r="W49" s="3"/>
      <c r="X49" s="3"/>
      <c r="Y49" s="3"/>
      <c r="Z49" s="3"/>
    </row>
    <row r="50" hidden="1">
      <c r="A50" s="27" t="s">
        <v>361</v>
      </c>
      <c r="B50" s="29" t="s">
        <v>68</v>
      </c>
      <c r="C50" s="3"/>
      <c r="D50" s="3"/>
      <c r="E50" s="3"/>
      <c r="F50" s="3"/>
      <c r="G50" s="3"/>
      <c r="H50" s="3"/>
      <c r="I50" s="3"/>
      <c r="J50" s="3"/>
      <c r="K50" s="3"/>
      <c r="L50" s="3"/>
      <c r="M50" s="3"/>
      <c r="N50" s="3"/>
      <c r="O50" s="3"/>
      <c r="P50" s="3"/>
      <c r="Q50" s="3"/>
      <c r="R50" s="3"/>
      <c r="S50" s="3"/>
      <c r="T50" s="3"/>
      <c r="U50" s="3"/>
      <c r="V50" s="3"/>
      <c r="W50" s="3"/>
      <c r="X50" s="3"/>
      <c r="Y50" s="3"/>
      <c r="Z50" s="3"/>
    </row>
    <row r="51" hidden="1">
      <c r="A51" s="27" t="s">
        <v>365</v>
      </c>
      <c r="B51" s="29" t="s">
        <v>69</v>
      </c>
      <c r="C51" s="3"/>
      <c r="D51" s="3"/>
      <c r="E51" s="3"/>
      <c r="F51" s="3"/>
      <c r="G51" s="3"/>
      <c r="H51" s="3"/>
      <c r="I51" s="3"/>
      <c r="J51" s="3"/>
      <c r="K51" s="3"/>
      <c r="L51" s="3"/>
      <c r="M51" s="3"/>
      <c r="N51" s="3"/>
      <c r="O51" s="3"/>
      <c r="P51" s="3"/>
      <c r="Q51" s="3"/>
      <c r="R51" s="3"/>
      <c r="S51" s="3"/>
      <c r="T51" s="3"/>
      <c r="U51" s="3"/>
      <c r="V51" s="3"/>
      <c r="W51" s="3"/>
      <c r="X51" s="3"/>
      <c r="Y51" s="3"/>
      <c r="Z51" s="3"/>
    </row>
    <row r="52" hidden="1">
      <c r="A52" s="27" t="s">
        <v>369</v>
      </c>
      <c r="B52" s="29" t="s">
        <v>70</v>
      </c>
      <c r="C52" s="3"/>
      <c r="D52" s="3"/>
      <c r="E52" s="3"/>
      <c r="F52" s="3"/>
      <c r="G52" s="3"/>
      <c r="H52" s="3"/>
      <c r="I52" s="3"/>
      <c r="J52" s="3"/>
      <c r="K52" s="3"/>
      <c r="L52" s="3"/>
      <c r="M52" s="3"/>
      <c r="N52" s="3"/>
      <c r="O52" s="3"/>
      <c r="P52" s="3"/>
      <c r="Q52" s="3"/>
      <c r="R52" s="3"/>
      <c r="S52" s="3"/>
      <c r="T52" s="3"/>
      <c r="U52" s="3"/>
      <c r="V52" s="3"/>
      <c r="W52" s="3"/>
      <c r="X52" s="3"/>
      <c r="Y52" s="3"/>
      <c r="Z52" s="3"/>
    </row>
    <row r="53" hidden="1">
      <c r="A53" s="27" t="s">
        <v>373</v>
      </c>
      <c r="B53" s="29" t="s">
        <v>72</v>
      </c>
      <c r="C53" s="3"/>
      <c r="D53" s="3"/>
      <c r="E53" s="3"/>
      <c r="F53" s="3"/>
      <c r="G53" s="3"/>
      <c r="H53" s="3"/>
      <c r="I53" s="3"/>
      <c r="J53" s="3"/>
      <c r="K53" s="3"/>
      <c r="L53" s="3"/>
      <c r="M53" s="3"/>
      <c r="N53" s="3"/>
      <c r="O53" s="3"/>
      <c r="P53" s="3"/>
      <c r="Q53" s="3"/>
      <c r="R53" s="3"/>
      <c r="S53" s="3"/>
      <c r="T53" s="3"/>
      <c r="U53" s="3"/>
      <c r="V53" s="3"/>
      <c r="W53" s="3"/>
      <c r="X53" s="3"/>
      <c r="Y53" s="3"/>
      <c r="Z53" s="3"/>
    </row>
    <row r="54" hidden="1">
      <c r="A54" s="27" t="s">
        <v>377</v>
      </c>
      <c r="B54" s="29" t="s">
        <v>73</v>
      </c>
      <c r="C54" s="3"/>
      <c r="D54" s="3"/>
      <c r="E54" s="3"/>
      <c r="F54" s="3"/>
      <c r="G54" s="3"/>
      <c r="H54" s="3"/>
      <c r="I54" s="3"/>
      <c r="J54" s="3"/>
      <c r="K54" s="3"/>
      <c r="L54" s="3"/>
      <c r="M54" s="3"/>
      <c r="N54" s="3"/>
      <c r="O54" s="3"/>
      <c r="P54" s="3"/>
      <c r="Q54" s="3"/>
      <c r="R54" s="3"/>
      <c r="S54" s="3"/>
      <c r="T54" s="3"/>
      <c r="U54" s="3"/>
      <c r="V54" s="3"/>
      <c r="W54" s="3"/>
      <c r="X54" s="3"/>
      <c r="Y54" s="3"/>
      <c r="Z54" s="3"/>
    </row>
    <row r="55" hidden="1">
      <c r="A55" s="27" t="s">
        <v>381</v>
      </c>
      <c r="B55" s="29" t="s">
        <v>74</v>
      </c>
      <c r="C55" s="3"/>
      <c r="D55" s="3"/>
      <c r="E55" s="3"/>
      <c r="F55" s="3"/>
      <c r="G55" s="3"/>
      <c r="H55" s="3"/>
      <c r="I55" s="3"/>
      <c r="J55" s="3"/>
      <c r="K55" s="3"/>
      <c r="L55" s="3"/>
      <c r="M55" s="3"/>
      <c r="N55" s="3"/>
      <c r="O55" s="3"/>
      <c r="P55" s="3"/>
      <c r="Q55" s="3"/>
      <c r="R55" s="3"/>
      <c r="S55" s="3"/>
      <c r="T55" s="3"/>
      <c r="U55" s="3"/>
      <c r="V55" s="3"/>
      <c r="W55" s="3"/>
      <c r="X55" s="3"/>
      <c r="Y55" s="3"/>
      <c r="Z55" s="3"/>
    </row>
    <row r="56" hidden="1">
      <c r="A56" s="27" t="s">
        <v>384</v>
      </c>
      <c r="B56" s="29" t="s">
        <v>75</v>
      </c>
      <c r="C56" s="3"/>
      <c r="D56" s="3"/>
      <c r="E56" s="3"/>
      <c r="F56" s="3"/>
      <c r="G56" s="3"/>
      <c r="H56" s="3"/>
      <c r="I56" s="3"/>
      <c r="J56" s="3"/>
      <c r="K56" s="3"/>
      <c r="L56" s="3"/>
      <c r="M56" s="3"/>
      <c r="N56" s="3"/>
      <c r="O56" s="3"/>
      <c r="P56" s="3"/>
      <c r="Q56" s="3"/>
      <c r="R56" s="3"/>
      <c r="S56" s="3"/>
      <c r="T56" s="3"/>
      <c r="U56" s="3"/>
      <c r="V56" s="3"/>
      <c r="W56" s="3"/>
      <c r="X56" s="3"/>
      <c r="Y56" s="3"/>
      <c r="Z56" s="3"/>
    </row>
    <row r="57" hidden="1">
      <c r="A57" s="27" t="s">
        <v>388</v>
      </c>
      <c r="B57" s="29" t="s">
        <v>76</v>
      </c>
      <c r="C57" s="3"/>
      <c r="D57" s="3"/>
      <c r="E57" s="3"/>
      <c r="F57" s="3"/>
      <c r="G57" s="3"/>
      <c r="H57" s="3"/>
      <c r="I57" s="3"/>
      <c r="J57" s="3"/>
      <c r="K57" s="3"/>
      <c r="L57" s="3"/>
      <c r="M57" s="3"/>
      <c r="N57" s="3"/>
      <c r="O57" s="3"/>
      <c r="P57" s="3"/>
      <c r="Q57" s="3"/>
      <c r="R57" s="3"/>
      <c r="S57" s="3"/>
      <c r="T57" s="3"/>
      <c r="U57" s="3"/>
      <c r="V57" s="3"/>
      <c r="W57" s="3"/>
      <c r="X57" s="3"/>
      <c r="Y57" s="3"/>
      <c r="Z57" s="3"/>
    </row>
    <row r="58" hidden="1">
      <c r="A58" s="27" t="s">
        <v>393</v>
      </c>
      <c r="B58" s="29" t="s">
        <v>77</v>
      </c>
      <c r="C58" s="3"/>
      <c r="D58" s="3"/>
      <c r="E58" s="3"/>
      <c r="F58" s="3"/>
      <c r="G58" s="3"/>
      <c r="H58" s="3"/>
      <c r="I58" s="3"/>
      <c r="J58" s="3"/>
      <c r="K58" s="3"/>
      <c r="L58" s="3"/>
      <c r="M58" s="3"/>
      <c r="N58" s="3"/>
      <c r="O58" s="3"/>
      <c r="P58" s="3"/>
      <c r="Q58" s="3"/>
      <c r="R58" s="3"/>
      <c r="S58" s="3"/>
      <c r="T58" s="3"/>
      <c r="U58" s="3"/>
      <c r="V58" s="3"/>
      <c r="W58" s="3"/>
      <c r="X58" s="3"/>
      <c r="Y58" s="3"/>
      <c r="Z58" s="3"/>
    </row>
    <row r="59" hidden="1">
      <c r="A59" s="27" t="s">
        <v>398</v>
      </c>
      <c r="B59" s="29" t="s">
        <v>78</v>
      </c>
      <c r="C59" s="3"/>
      <c r="D59" s="3"/>
      <c r="E59" s="3"/>
      <c r="F59" s="3"/>
      <c r="G59" s="3"/>
      <c r="H59" s="3"/>
      <c r="I59" s="3"/>
      <c r="J59" s="3"/>
      <c r="K59" s="3"/>
      <c r="L59" s="3"/>
      <c r="M59" s="3"/>
      <c r="N59" s="3"/>
      <c r="O59" s="3"/>
      <c r="P59" s="3"/>
      <c r="Q59" s="3"/>
      <c r="R59" s="3"/>
      <c r="S59" s="3"/>
      <c r="T59" s="3"/>
      <c r="U59" s="3"/>
      <c r="V59" s="3"/>
      <c r="W59" s="3"/>
      <c r="X59" s="3"/>
      <c r="Y59" s="3"/>
      <c r="Z59" s="3"/>
    </row>
    <row r="60" hidden="1">
      <c r="A60" s="27" t="s">
        <v>403</v>
      </c>
      <c r="B60" s="29" t="s">
        <v>79</v>
      </c>
      <c r="C60" s="3"/>
      <c r="D60" s="3"/>
      <c r="E60" s="3"/>
      <c r="F60" s="3"/>
      <c r="G60" s="3"/>
      <c r="H60" s="3"/>
      <c r="I60" s="3"/>
      <c r="J60" s="3"/>
      <c r="K60" s="3"/>
      <c r="L60" s="3"/>
      <c r="M60" s="3"/>
      <c r="N60" s="3"/>
      <c r="O60" s="3"/>
      <c r="P60" s="3"/>
      <c r="Q60" s="3"/>
      <c r="R60" s="3"/>
      <c r="S60" s="3"/>
      <c r="T60" s="3"/>
      <c r="U60" s="3"/>
      <c r="V60" s="3"/>
      <c r="W60" s="3"/>
      <c r="X60" s="3"/>
      <c r="Y60" s="3"/>
      <c r="Z60" s="3"/>
    </row>
    <row r="61" hidden="1">
      <c r="A61" s="27" t="s">
        <v>411</v>
      </c>
      <c r="B61" s="29" t="s">
        <v>80</v>
      </c>
      <c r="C61" s="3"/>
      <c r="D61" s="3"/>
      <c r="E61" s="3"/>
      <c r="F61" s="3"/>
      <c r="G61" s="3"/>
      <c r="H61" s="3"/>
      <c r="I61" s="3"/>
      <c r="J61" s="3"/>
      <c r="K61" s="3"/>
      <c r="L61" s="3"/>
      <c r="M61" s="3"/>
      <c r="N61" s="3"/>
      <c r="O61" s="3"/>
      <c r="P61" s="3"/>
      <c r="Q61" s="3"/>
      <c r="R61" s="3"/>
      <c r="S61" s="3"/>
      <c r="T61" s="3"/>
      <c r="U61" s="3"/>
      <c r="V61" s="3"/>
      <c r="W61" s="3"/>
      <c r="X61" s="3"/>
      <c r="Y61" s="3"/>
      <c r="Z61" s="3"/>
    </row>
    <row r="62" hidden="1">
      <c r="A62" s="27" t="s">
        <v>418</v>
      </c>
      <c r="B62" s="29" t="s">
        <v>81</v>
      </c>
      <c r="C62" s="3"/>
      <c r="D62" s="3"/>
      <c r="E62" s="3"/>
      <c r="F62" s="3"/>
      <c r="G62" s="3"/>
      <c r="H62" s="3"/>
      <c r="I62" s="3"/>
      <c r="J62" s="3"/>
      <c r="K62" s="3"/>
      <c r="L62" s="3"/>
      <c r="M62" s="3"/>
      <c r="N62" s="3"/>
      <c r="O62" s="3"/>
      <c r="P62" s="3"/>
      <c r="Q62" s="3"/>
      <c r="R62" s="3"/>
      <c r="S62" s="3"/>
      <c r="T62" s="3"/>
      <c r="U62" s="3"/>
      <c r="V62" s="3"/>
      <c r="W62" s="3"/>
      <c r="X62" s="3"/>
      <c r="Y62" s="3"/>
      <c r="Z62" s="3"/>
    </row>
    <row r="63" hidden="1">
      <c r="A63" s="27" t="s">
        <v>424</v>
      </c>
      <c r="B63" s="29" t="s">
        <v>82</v>
      </c>
      <c r="C63" s="3"/>
      <c r="D63" s="3"/>
      <c r="E63" s="3"/>
      <c r="F63" s="3"/>
      <c r="G63" s="3"/>
      <c r="H63" s="3"/>
      <c r="I63" s="3"/>
      <c r="J63" s="3"/>
      <c r="K63" s="3"/>
      <c r="L63" s="3"/>
      <c r="M63" s="3"/>
      <c r="N63" s="3"/>
      <c r="O63" s="3"/>
      <c r="P63" s="3"/>
      <c r="Q63" s="3"/>
      <c r="R63" s="3"/>
      <c r="S63" s="3"/>
      <c r="T63" s="3"/>
      <c r="U63" s="3"/>
      <c r="V63" s="3"/>
      <c r="W63" s="3"/>
      <c r="X63" s="3"/>
      <c r="Y63" s="3"/>
      <c r="Z63" s="3"/>
    </row>
    <row r="64" hidden="1">
      <c r="A64" s="27" t="s">
        <v>432</v>
      </c>
      <c r="B64" s="29" t="s">
        <v>83</v>
      </c>
      <c r="C64" s="3"/>
      <c r="D64" s="3"/>
      <c r="E64" s="3"/>
      <c r="F64" s="3"/>
      <c r="G64" s="3"/>
      <c r="H64" s="3"/>
      <c r="I64" s="3"/>
      <c r="J64" s="3"/>
      <c r="K64" s="3"/>
      <c r="L64" s="3"/>
      <c r="M64" s="3"/>
      <c r="N64" s="3"/>
      <c r="O64" s="3"/>
      <c r="P64" s="3"/>
      <c r="Q64" s="3"/>
      <c r="R64" s="3"/>
      <c r="S64" s="3"/>
      <c r="T64" s="3"/>
      <c r="U64" s="3"/>
      <c r="V64" s="3"/>
      <c r="W64" s="3"/>
      <c r="X64" s="3"/>
      <c r="Y64" s="3"/>
      <c r="Z64" s="3"/>
    </row>
    <row r="65" hidden="1">
      <c r="A65" s="27" t="s">
        <v>439</v>
      </c>
      <c r="B65" s="29" t="s">
        <v>84</v>
      </c>
      <c r="C65" s="3"/>
      <c r="D65" s="3"/>
      <c r="E65" s="3"/>
      <c r="F65" s="3"/>
      <c r="G65" s="3"/>
      <c r="H65" s="3"/>
      <c r="I65" s="3"/>
      <c r="J65" s="3"/>
      <c r="K65" s="3"/>
      <c r="L65" s="3"/>
      <c r="M65" s="3"/>
      <c r="N65" s="3"/>
      <c r="O65" s="3"/>
      <c r="P65" s="3"/>
      <c r="Q65" s="3"/>
      <c r="R65" s="3"/>
      <c r="S65" s="3"/>
      <c r="T65" s="3"/>
      <c r="U65" s="3"/>
      <c r="V65" s="3"/>
      <c r="W65" s="3"/>
      <c r="X65" s="3"/>
      <c r="Y65" s="3"/>
      <c r="Z65" s="3"/>
    </row>
    <row r="66" hidden="1">
      <c r="A66" s="27" t="s">
        <v>446</v>
      </c>
      <c r="B66" s="29" t="s">
        <v>85</v>
      </c>
      <c r="C66" s="3"/>
      <c r="D66" s="3"/>
      <c r="E66" s="3"/>
      <c r="F66" s="3"/>
      <c r="G66" s="3"/>
      <c r="H66" s="3"/>
      <c r="I66" s="3"/>
      <c r="J66" s="3"/>
      <c r="K66" s="3"/>
      <c r="L66" s="3"/>
      <c r="M66" s="3"/>
      <c r="N66" s="3"/>
      <c r="O66" s="3"/>
      <c r="P66" s="3"/>
      <c r="Q66" s="3"/>
      <c r="R66" s="3"/>
      <c r="S66" s="3"/>
      <c r="T66" s="3"/>
      <c r="U66" s="3"/>
      <c r="V66" s="3"/>
      <c r="W66" s="3"/>
      <c r="X66" s="3"/>
      <c r="Y66" s="3"/>
      <c r="Z66" s="3"/>
    </row>
    <row r="67" hidden="1">
      <c r="A67" s="27" t="s">
        <v>455</v>
      </c>
      <c r="B67" s="29" t="s">
        <v>87</v>
      </c>
      <c r="C67" s="3"/>
      <c r="D67" s="3"/>
      <c r="E67" s="3"/>
      <c r="F67" s="3"/>
      <c r="G67" s="3"/>
      <c r="H67" s="3"/>
      <c r="I67" s="3"/>
      <c r="J67" s="3"/>
      <c r="K67" s="3"/>
      <c r="L67" s="3"/>
      <c r="M67" s="3"/>
      <c r="N67" s="3"/>
      <c r="O67" s="3"/>
      <c r="P67" s="3"/>
      <c r="Q67" s="3"/>
      <c r="R67" s="3"/>
      <c r="S67" s="3"/>
      <c r="T67" s="3"/>
      <c r="U67" s="3"/>
      <c r="V67" s="3"/>
      <c r="W67" s="3"/>
      <c r="X67" s="3"/>
      <c r="Y67" s="3"/>
      <c r="Z67" s="3"/>
    </row>
    <row r="68" hidden="1">
      <c r="A68" s="27" t="s">
        <v>464</v>
      </c>
      <c r="B68" s="29" t="s">
        <v>88</v>
      </c>
      <c r="C68" s="3"/>
      <c r="D68" s="3"/>
      <c r="E68" s="3"/>
      <c r="F68" s="3"/>
      <c r="G68" s="3"/>
      <c r="H68" s="3"/>
      <c r="I68" s="3"/>
      <c r="J68" s="3"/>
      <c r="K68" s="3"/>
      <c r="L68" s="3"/>
      <c r="M68" s="3"/>
      <c r="N68" s="3"/>
      <c r="O68" s="3"/>
      <c r="P68" s="3"/>
      <c r="Q68" s="3"/>
      <c r="R68" s="3"/>
      <c r="S68" s="3"/>
      <c r="T68" s="3"/>
      <c r="U68" s="3"/>
      <c r="V68" s="3"/>
      <c r="W68" s="3"/>
      <c r="X68" s="3"/>
      <c r="Y68" s="3"/>
      <c r="Z68" s="3"/>
    </row>
    <row r="69" hidden="1">
      <c r="A69" s="27" t="s">
        <v>471</v>
      </c>
      <c r="B69" s="29" t="s">
        <v>89</v>
      </c>
      <c r="C69" s="3"/>
      <c r="D69" s="3"/>
      <c r="E69" s="3"/>
      <c r="F69" s="3"/>
      <c r="G69" s="3"/>
      <c r="H69" s="3"/>
      <c r="I69" s="3"/>
      <c r="J69" s="3"/>
      <c r="K69" s="3"/>
      <c r="L69" s="3"/>
      <c r="M69" s="3"/>
      <c r="N69" s="3"/>
      <c r="O69" s="3"/>
      <c r="P69" s="3"/>
      <c r="Q69" s="3"/>
      <c r="R69" s="3"/>
      <c r="S69" s="3"/>
      <c r="T69" s="3"/>
      <c r="U69" s="3"/>
      <c r="V69" s="3"/>
      <c r="W69" s="3"/>
      <c r="X69" s="3"/>
      <c r="Y69" s="3"/>
      <c r="Z69" s="3"/>
    </row>
    <row r="70" hidden="1">
      <c r="A70" s="27" t="s">
        <v>477</v>
      </c>
      <c r="B70" s="29" t="s">
        <v>91</v>
      </c>
      <c r="C70" s="3"/>
      <c r="D70" s="3"/>
      <c r="E70" s="3"/>
      <c r="F70" s="3"/>
      <c r="G70" s="3"/>
      <c r="H70" s="3"/>
      <c r="I70" s="3"/>
      <c r="J70" s="3"/>
      <c r="K70" s="3"/>
      <c r="L70" s="3"/>
      <c r="M70" s="3"/>
      <c r="N70" s="3"/>
      <c r="O70" s="3"/>
      <c r="P70" s="3"/>
      <c r="Q70" s="3"/>
      <c r="R70" s="3"/>
      <c r="S70" s="3"/>
      <c r="T70" s="3"/>
      <c r="U70" s="3"/>
      <c r="V70" s="3"/>
      <c r="W70" s="3"/>
      <c r="X70" s="3"/>
      <c r="Y70" s="3"/>
      <c r="Z70" s="3"/>
    </row>
    <row r="71" hidden="1">
      <c r="A71" s="27" t="s">
        <v>484</v>
      </c>
      <c r="B71" s="29" t="s">
        <v>92</v>
      </c>
      <c r="C71" s="3"/>
      <c r="D71" s="3"/>
      <c r="E71" s="3"/>
      <c r="F71" s="3"/>
      <c r="G71" s="3"/>
      <c r="H71" s="3"/>
      <c r="I71" s="3"/>
      <c r="J71" s="3"/>
      <c r="K71" s="3"/>
      <c r="L71" s="3"/>
      <c r="M71" s="3"/>
      <c r="N71" s="3"/>
      <c r="O71" s="3"/>
      <c r="P71" s="3"/>
      <c r="Q71" s="3"/>
      <c r="R71" s="3"/>
      <c r="S71" s="3"/>
      <c r="T71" s="3"/>
      <c r="U71" s="3"/>
      <c r="V71" s="3"/>
      <c r="W71" s="3"/>
      <c r="X71" s="3"/>
      <c r="Y71" s="3"/>
      <c r="Z71" s="3"/>
    </row>
    <row r="72" hidden="1">
      <c r="A72" s="27" t="s">
        <v>491</v>
      </c>
      <c r="B72" s="29" t="s">
        <v>93</v>
      </c>
      <c r="C72" s="3"/>
      <c r="D72" s="3"/>
      <c r="E72" s="3"/>
      <c r="F72" s="3"/>
      <c r="G72" s="3"/>
      <c r="H72" s="3"/>
      <c r="I72" s="3"/>
      <c r="J72" s="3"/>
      <c r="K72" s="3"/>
      <c r="L72" s="3"/>
      <c r="M72" s="3"/>
      <c r="N72" s="3"/>
      <c r="O72" s="3"/>
      <c r="P72" s="3"/>
      <c r="Q72" s="3"/>
      <c r="R72" s="3"/>
      <c r="S72" s="3"/>
      <c r="T72" s="3"/>
      <c r="U72" s="3"/>
      <c r="V72" s="3"/>
      <c r="W72" s="3"/>
      <c r="X72" s="3"/>
      <c r="Y72" s="3"/>
      <c r="Z72" s="3"/>
    </row>
    <row r="73" hidden="1">
      <c r="A73" s="27" t="s">
        <v>497</v>
      </c>
      <c r="B73" s="29" t="s">
        <v>94</v>
      </c>
      <c r="C73" s="3"/>
      <c r="D73" s="3"/>
      <c r="E73" s="3"/>
      <c r="F73" s="3"/>
      <c r="G73" s="3"/>
      <c r="H73" s="3"/>
      <c r="I73" s="3"/>
      <c r="J73" s="3"/>
      <c r="K73" s="3"/>
      <c r="L73" s="3"/>
      <c r="M73" s="3"/>
      <c r="N73" s="3"/>
      <c r="O73" s="3"/>
      <c r="P73" s="3"/>
      <c r="Q73" s="3"/>
      <c r="R73" s="3"/>
      <c r="S73" s="3"/>
      <c r="T73" s="3"/>
      <c r="U73" s="3"/>
      <c r="V73" s="3"/>
      <c r="W73" s="3"/>
      <c r="X73" s="3"/>
      <c r="Y73" s="3"/>
      <c r="Z73" s="3"/>
    </row>
    <row r="74" hidden="1">
      <c r="A74" s="27" t="s">
        <v>503</v>
      </c>
      <c r="B74" s="29" t="s">
        <v>95</v>
      </c>
      <c r="C74" s="3"/>
      <c r="D74" s="3"/>
      <c r="E74" s="3"/>
      <c r="F74" s="3"/>
      <c r="G74" s="3"/>
      <c r="H74" s="3"/>
      <c r="I74" s="3"/>
      <c r="J74" s="3"/>
      <c r="K74" s="3"/>
      <c r="L74" s="3"/>
      <c r="M74" s="3"/>
      <c r="N74" s="3"/>
      <c r="O74" s="3"/>
      <c r="P74" s="3"/>
      <c r="Q74" s="3"/>
      <c r="R74" s="3"/>
      <c r="S74" s="3"/>
      <c r="T74" s="3"/>
      <c r="U74" s="3"/>
      <c r="V74" s="3"/>
      <c r="W74" s="3"/>
      <c r="X74" s="3"/>
      <c r="Y74" s="3"/>
      <c r="Z74" s="3"/>
    </row>
    <row r="75" hidden="1">
      <c r="A75" s="27" t="s">
        <v>510</v>
      </c>
      <c r="B75" s="29" t="s">
        <v>96</v>
      </c>
      <c r="C75" s="3"/>
      <c r="D75" s="3"/>
      <c r="E75" s="3"/>
      <c r="F75" s="3"/>
      <c r="G75" s="3"/>
      <c r="H75" s="3"/>
      <c r="I75" s="3"/>
      <c r="J75" s="3"/>
      <c r="K75" s="3"/>
      <c r="L75" s="3"/>
      <c r="M75" s="3"/>
      <c r="N75" s="3"/>
      <c r="O75" s="3"/>
      <c r="P75" s="3"/>
      <c r="Q75" s="3"/>
      <c r="R75" s="3"/>
      <c r="S75" s="3"/>
      <c r="T75" s="3"/>
      <c r="U75" s="3"/>
      <c r="V75" s="3"/>
      <c r="W75" s="3"/>
      <c r="X75" s="3"/>
      <c r="Y75" s="3"/>
      <c r="Z75" s="3"/>
    </row>
    <row r="76" hidden="1">
      <c r="A76" s="27" t="s">
        <v>516</v>
      </c>
      <c r="B76" s="29" t="s">
        <v>97</v>
      </c>
      <c r="C76" s="3"/>
      <c r="D76" s="3"/>
      <c r="E76" s="3"/>
      <c r="F76" s="3"/>
      <c r="G76" s="3"/>
      <c r="H76" s="3"/>
      <c r="I76" s="3"/>
      <c r="J76" s="3"/>
      <c r="K76" s="3"/>
      <c r="L76" s="3"/>
      <c r="M76" s="3"/>
      <c r="N76" s="3"/>
      <c r="O76" s="3"/>
      <c r="P76" s="3"/>
      <c r="Q76" s="3"/>
      <c r="R76" s="3"/>
      <c r="S76" s="3"/>
      <c r="T76" s="3"/>
      <c r="U76" s="3"/>
      <c r="V76" s="3"/>
      <c r="W76" s="3"/>
      <c r="X76" s="3"/>
      <c r="Y76" s="3"/>
      <c r="Z76" s="3"/>
    </row>
    <row r="77" hidden="1">
      <c r="A77" s="27" t="s">
        <v>523</v>
      </c>
      <c r="B77" s="29" t="s">
        <v>98</v>
      </c>
      <c r="C77" s="3"/>
      <c r="D77" s="3"/>
      <c r="E77" s="3"/>
      <c r="F77" s="3"/>
      <c r="G77" s="3"/>
      <c r="H77" s="3"/>
      <c r="I77" s="3"/>
      <c r="J77" s="3"/>
      <c r="K77" s="3"/>
      <c r="L77" s="3"/>
      <c r="M77" s="3"/>
      <c r="N77" s="3"/>
      <c r="O77" s="3"/>
      <c r="P77" s="3"/>
      <c r="Q77" s="3"/>
      <c r="R77" s="3"/>
      <c r="S77" s="3"/>
      <c r="T77" s="3"/>
      <c r="U77" s="3"/>
      <c r="V77" s="3"/>
      <c r="W77" s="3"/>
      <c r="X77" s="3"/>
      <c r="Y77" s="3"/>
      <c r="Z77" s="3"/>
    </row>
    <row r="78" hidden="1">
      <c r="A78" s="27" t="s">
        <v>531</v>
      </c>
      <c r="B78" s="29" t="s">
        <v>99</v>
      </c>
      <c r="C78" s="3"/>
      <c r="D78" s="3"/>
      <c r="E78" s="3"/>
      <c r="F78" s="3"/>
      <c r="G78" s="3"/>
      <c r="H78" s="3"/>
      <c r="I78" s="3"/>
      <c r="J78" s="3"/>
      <c r="K78" s="3"/>
      <c r="L78" s="3"/>
      <c r="M78" s="3"/>
      <c r="N78" s="3"/>
      <c r="O78" s="3"/>
      <c r="P78" s="3"/>
      <c r="Q78" s="3"/>
      <c r="R78" s="3"/>
      <c r="S78" s="3"/>
      <c r="T78" s="3"/>
      <c r="U78" s="3"/>
      <c r="V78" s="3"/>
      <c r="W78" s="3"/>
      <c r="X78" s="3"/>
      <c r="Y78" s="3"/>
      <c r="Z78" s="3"/>
    </row>
    <row r="79" hidden="1">
      <c r="A79" s="27" t="s">
        <v>538</v>
      </c>
      <c r="B79" s="29" t="s">
        <v>101</v>
      </c>
      <c r="C79" s="3"/>
      <c r="D79" s="3"/>
      <c r="E79" s="3"/>
      <c r="F79" s="3"/>
      <c r="G79" s="3"/>
      <c r="H79" s="3"/>
      <c r="I79" s="3"/>
      <c r="J79" s="3"/>
      <c r="K79" s="3"/>
      <c r="L79" s="3"/>
      <c r="M79" s="3"/>
      <c r="N79" s="3"/>
      <c r="O79" s="3"/>
      <c r="P79" s="3"/>
      <c r="Q79" s="3"/>
      <c r="R79" s="3"/>
      <c r="S79" s="3"/>
      <c r="T79" s="3"/>
      <c r="U79" s="3"/>
      <c r="V79" s="3"/>
      <c r="W79" s="3"/>
      <c r="X79" s="3"/>
      <c r="Y79" s="3"/>
      <c r="Z79" s="3"/>
    </row>
    <row r="80" hidden="1">
      <c r="A80" s="27" t="s">
        <v>545</v>
      </c>
      <c r="B80" s="29" t="s">
        <v>102</v>
      </c>
      <c r="C80" s="3"/>
      <c r="D80" s="3"/>
      <c r="E80" s="3"/>
      <c r="F80" s="3"/>
      <c r="G80" s="3"/>
      <c r="H80" s="3"/>
      <c r="I80" s="3"/>
      <c r="J80" s="3"/>
      <c r="K80" s="3"/>
      <c r="L80" s="3"/>
      <c r="M80" s="3"/>
      <c r="N80" s="3"/>
      <c r="O80" s="3"/>
      <c r="P80" s="3"/>
      <c r="Q80" s="3"/>
      <c r="R80" s="3"/>
      <c r="S80" s="3"/>
      <c r="T80" s="3"/>
      <c r="U80" s="3"/>
      <c r="V80" s="3"/>
      <c r="W80" s="3"/>
      <c r="X80" s="3"/>
      <c r="Y80" s="3"/>
      <c r="Z80" s="3"/>
    </row>
    <row r="81" hidden="1">
      <c r="A81" s="27" t="s">
        <v>554</v>
      </c>
      <c r="B81" s="29" t="s">
        <v>103</v>
      </c>
      <c r="C81" s="3"/>
      <c r="D81" s="3"/>
      <c r="E81" s="3"/>
      <c r="F81" s="3"/>
      <c r="G81" s="3"/>
      <c r="H81" s="3"/>
      <c r="I81" s="3"/>
      <c r="J81" s="3"/>
      <c r="K81" s="3"/>
      <c r="L81" s="3"/>
      <c r="M81" s="3"/>
      <c r="N81" s="3"/>
      <c r="O81" s="3"/>
      <c r="P81" s="3"/>
      <c r="Q81" s="3"/>
      <c r="R81" s="3"/>
      <c r="S81" s="3"/>
      <c r="T81" s="3"/>
      <c r="U81" s="3"/>
      <c r="V81" s="3"/>
      <c r="W81" s="3"/>
      <c r="X81" s="3"/>
      <c r="Y81" s="3"/>
      <c r="Z81" s="3"/>
    </row>
    <row r="82" hidden="1">
      <c r="A82" s="27" t="s">
        <v>562</v>
      </c>
      <c r="B82" s="29" t="s">
        <v>104</v>
      </c>
      <c r="C82" s="3"/>
      <c r="D82" s="3"/>
      <c r="E82" s="3"/>
      <c r="F82" s="3"/>
      <c r="G82" s="3"/>
      <c r="H82" s="3"/>
      <c r="I82" s="3"/>
      <c r="J82" s="3"/>
      <c r="K82" s="3"/>
      <c r="L82" s="3"/>
      <c r="M82" s="3"/>
      <c r="N82" s="3"/>
      <c r="O82" s="3"/>
      <c r="P82" s="3"/>
      <c r="Q82" s="3"/>
      <c r="R82" s="3"/>
      <c r="S82" s="3"/>
      <c r="T82" s="3"/>
      <c r="U82" s="3"/>
      <c r="V82" s="3"/>
      <c r="W82" s="3"/>
      <c r="X82" s="3"/>
      <c r="Y82" s="3"/>
      <c r="Z82" s="3"/>
    </row>
    <row r="83" hidden="1">
      <c r="A83" s="27" t="s">
        <v>570</v>
      </c>
      <c r="B83" s="29" t="s">
        <v>105</v>
      </c>
      <c r="C83" s="3"/>
      <c r="D83" s="3"/>
      <c r="E83" s="3"/>
      <c r="F83" s="3"/>
      <c r="G83" s="3"/>
      <c r="H83" s="3"/>
      <c r="I83" s="3"/>
      <c r="J83" s="3"/>
      <c r="K83" s="3"/>
      <c r="L83" s="3"/>
      <c r="M83" s="3"/>
      <c r="N83" s="3"/>
      <c r="O83" s="3"/>
      <c r="P83" s="3"/>
      <c r="Q83" s="3"/>
      <c r="R83" s="3"/>
      <c r="S83" s="3"/>
      <c r="T83" s="3"/>
      <c r="U83" s="3"/>
      <c r="V83" s="3"/>
      <c r="W83" s="3"/>
      <c r="X83" s="3"/>
      <c r="Y83" s="3"/>
      <c r="Z83" s="3"/>
    </row>
    <row r="84" hidden="1">
      <c r="A84" s="27" t="s">
        <v>577</v>
      </c>
      <c r="B84" s="29" t="s">
        <v>106</v>
      </c>
      <c r="C84" s="3"/>
      <c r="D84" s="3"/>
      <c r="E84" s="3"/>
      <c r="F84" s="3"/>
      <c r="G84" s="3"/>
      <c r="H84" s="3"/>
      <c r="I84" s="3"/>
      <c r="J84" s="3"/>
      <c r="K84" s="3"/>
      <c r="L84" s="3"/>
      <c r="M84" s="3"/>
      <c r="N84" s="3"/>
      <c r="O84" s="3"/>
      <c r="P84" s="3"/>
      <c r="Q84" s="3"/>
      <c r="R84" s="3"/>
      <c r="S84" s="3"/>
      <c r="T84" s="3"/>
      <c r="U84" s="3"/>
      <c r="V84" s="3"/>
      <c r="W84" s="3"/>
      <c r="X84" s="3"/>
      <c r="Y84" s="3"/>
      <c r="Z84" s="3"/>
    </row>
    <row r="85" hidden="1">
      <c r="A85" s="27" t="s">
        <v>584</v>
      </c>
      <c r="B85" s="29" t="s">
        <v>107</v>
      </c>
      <c r="C85" s="3"/>
      <c r="D85" s="3"/>
      <c r="E85" s="3"/>
      <c r="F85" s="3"/>
      <c r="G85" s="3"/>
      <c r="H85" s="3"/>
      <c r="I85" s="3"/>
      <c r="J85" s="3"/>
      <c r="K85" s="3"/>
      <c r="L85" s="3"/>
      <c r="M85" s="3"/>
      <c r="N85" s="3"/>
      <c r="O85" s="3"/>
      <c r="P85" s="3"/>
      <c r="Q85" s="3"/>
      <c r="R85" s="3"/>
      <c r="S85" s="3"/>
      <c r="T85" s="3"/>
      <c r="U85" s="3"/>
      <c r="V85" s="3"/>
      <c r="W85" s="3"/>
      <c r="X85" s="3"/>
      <c r="Y85" s="3"/>
      <c r="Z85" s="3"/>
    </row>
    <row r="86" hidden="1">
      <c r="A86" s="27" t="s">
        <v>591</v>
      </c>
      <c r="B86" s="29" t="s">
        <v>108</v>
      </c>
      <c r="C86" s="3"/>
      <c r="D86" s="3"/>
      <c r="E86" s="3"/>
      <c r="F86" s="3"/>
      <c r="G86" s="3"/>
      <c r="H86" s="3"/>
      <c r="I86" s="3"/>
      <c r="J86" s="3"/>
      <c r="K86" s="3"/>
      <c r="L86" s="3"/>
      <c r="M86" s="3"/>
      <c r="N86" s="3"/>
      <c r="O86" s="3"/>
      <c r="P86" s="3"/>
      <c r="Q86" s="3"/>
      <c r="R86" s="3"/>
      <c r="S86" s="3"/>
      <c r="T86" s="3"/>
      <c r="U86" s="3"/>
      <c r="V86" s="3"/>
      <c r="W86" s="3"/>
      <c r="X86" s="3"/>
      <c r="Y86" s="3"/>
      <c r="Z86" s="3"/>
    </row>
    <row r="87" hidden="1">
      <c r="A87" s="27" t="s">
        <v>598</v>
      </c>
      <c r="B87" s="29" t="s">
        <v>110</v>
      </c>
      <c r="C87" s="3"/>
      <c r="D87" s="3"/>
      <c r="E87" s="3"/>
      <c r="F87" s="3"/>
      <c r="G87" s="3"/>
      <c r="H87" s="3"/>
      <c r="I87" s="3"/>
      <c r="J87" s="3"/>
      <c r="K87" s="3"/>
      <c r="L87" s="3"/>
      <c r="M87" s="3"/>
      <c r="N87" s="3"/>
      <c r="O87" s="3"/>
      <c r="P87" s="3"/>
      <c r="Q87" s="3"/>
      <c r="R87" s="3"/>
      <c r="S87" s="3"/>
      <c r="T87" s="3"/>
      <c r="U87" s="3"/>
      <c r="V87" s="3"/>
      <c r="W87" s="3"/>
      <c r="X87" s="3"/>
      <c r="Y87" s="3"/>
      <c r="Z87" s="3"/>
    </row>
    <row r="88" hidden="1">
      <c r="A88" s="27" t="s">
        <v>605</v>
      </c>
      <c r="B88" s="29" t="s">
        <v>111</v>
      </c>
      <c r="C88" s="3"/>
      <c r="D88" s="3"/>
      <c r="E88" s="3"/>
      <c r="F88" s="3"/>
      <c r="G88" s="3"/>
      <c r="H88" s="3"/>
      <c r="I88" s="3"/>
      <c r="J88" s="3"/>
      <c r="K88" s="3"/>
      <c r="L88" s="3"/>
      <c r="M88" s="3"/>
      <c r="N88" s="3"/>
      <c r="O88" s="3"/>
      <c r="P88" s="3"/>
      <c r="Q88" s="3"/>
      <c r="R88" s="3"/>
      <c r="S88" s="3"/>
      <c r="T88" s="3"/>
      <c r="U88" s="3"/>
      <c r="V88" s="3"/>
      <c r="W88" s="3"/>
      <c r="X88" s="3"/>
      <c r="Y88" s="3"/>
      <c r="Z88" s="3"/>
    </row>
    <row r="89" hidden="1">
      <c r="A89" s="27" t="s">
        <v>612</v>
      </c>
      <c r="B89" s="29" t="s">
        <v>112</v>
      </c>
      <c r="C89" s="3"/>
      <c r="D89" s="3"/>
      <c r="E89" s="3"/>
      <c r="F89" s="3"/>
      <c r="G89" s="3"/>
      <c r="H89" s="3"/>
      <c r="I89" s="3"/>
      <c r="J89" s="3"/>
      <c r="K89" s="3"/>
      <c r="L89" s="3"/>
      <c r="M89" s="3"/>
      <c r="N89" s="3"/>
      <c r="O89" s="3"/>
      <c r="P89" s="3"/>
      <c r="Q89" s="3"/>
      <c r="R89" s="3"/>
      <c r="S89" s="3"/>
      <c r="T89" s="3"/>
      <c r="U89" s="3"/>
      <c r="V89" s="3"/>
      <c r="W89" s="3"/>
      <c r="X89" s="3"/>
      <c r="Y89" s="3"/>
      <c r="Z89" s="3"/>
    </row>
    <row r="90" hidden="1">
      <c r="A90" s="27" t="s">
        <v>619</v>
      </c>
      <c r="B90" s="29" t="s">
        <v>113</v>
      </c>
      <c r="C90" s="3"/>
      <c r="D90" s="3"/>
      <c r="E90" s="3"/>
      <c r="F90" s="3"/>
      <c r="G90" s="3"/>
      <c r="H90" s="3"/>
      <c r="I90" s="3"/>
      <c r="J90" s="3"/>
      <c r="K90" s="3"/>
      <c r="L90" s="3"/>
      <c r="M90" s="3"/>
      <c r="N90" s="3"/>
      <c r="O90" s="3"/>
      <c r="P90" s="3"/>
      <c r="Q90" s="3"/>
      <c r="R90" s="3"/>
      <c r="S90" s="3"/>
      <c r="T90" s="3"/>
      <c r="U90" s="3"/>
      <c r="V90" s="3"/>
      <c r="W90" s="3"/>
      <c r="X90" s="3"/>
      <c r="Y90" s="3"/>
      <c r="Z90" s="3"/>
    </row>
    <row r="91" hidden="1">
      <c r="A91" s="27" t="s">
        <v>625</v>
      </c>
      <c r="B91" s="29" t="s">
        <v>114</v>
      </c>
      <c r="C91" s="3"/>
      <c r="D91" s="3"/>
      <c r="E91" s="3"/>
      <c r="F91" s="3"/>
      <c r="G91" s="3"/>
      <c r="H91" s="3"/>
      <c r="I91" s="3"/>
      <c r="J91" s="3"/>
      <c r="K91" s="3"/>
      <c r="L91" s="3"/>
      <c r="M91" s="3"/>
      <c r="N91" s="3"/>
      <c r="O91" s="3"/>
      <c r="P91" s="3"/>
      <c r="Q91" s="3"/>
      <c r="R91" s="3"/>
      <c r="S91" s="3"/>
      <c r="T91" s="3"/>
      <c r="U91" s="3"/>
      <c r="V91" s="3"/>
      <c r="W91" s="3"/>
      <c r="X91" s="3"/>
      <c r="Y91" s="3"/>
      <c r="Z91" s="3"/>
    </row>
    <row r="92" hidden="1">
      <c r="A92" s="27" t="s">
        <v>633</v>
      </c>
      <c r="B92" s="29" t="s">
        <v>117</v>
      </c>
      <c r="C92" s="3"/>
      <c r="D92" s="3"/>
      <c r="E92" s="3"/>
      <c r="F92" s="3"/>
      <c r="G92" s="3"/>
      <c r="H92" s="3"/>
      <c r="I92" s="3"/>
      <c r="J92" s="3"/>
      <c r="K92" s="3"/>
      <c r="L92" s="3"/>
      <c r="M92" s="3"/>
      <c r="N92" s="3"/>
      <c r="O92" s="3"/>
      <c r="P92" s="3"/>
      <c r="Q92" s="3"/>
      <c r="R92" s="3"/>
      <c r="S92" s="3"/>
      <c r="T92" s="3"/>
      <c r="U92" s="3"/>
      <c r="V92" s="3"/>
      <c r="W92" s="3"/>
      <c r="X92" s="3"/>
      <c r="Y92" s="3"/>
      <c r="Z92" s="3"/>
    </row>
    <row r="93" hidden="1">
      <c r="A93" s="27" t="s">
        <v>640</v>
      </c>
      <c r="B93" s="29" t="s">
        <v>120</v>
      </c>
      <c r="C93" s="3"/>
      <c r="D93" s="3"/>
      <c r="E93" s="3"/>
      <c r="F93" s="3"/>
      <c r="G93" s="3"/>
      <c r="H93" s="3"/>
      <c r="I93" s="3"/>
      <c r="J93" s="3"/>
      <c r="K93" s="3"/>
      <c r="L93" s="3"/>
      <c r="M93" s="3"/>
      <c r="N93" s="3"/>
      <c r="O93" s="3"/>
      <c r="P93" s="3"/>
      <c r="Q93" s="3"/>
      <c r="R93" s="3"/>
      <c r="S93" s="3"/>
      <c r="T93" s="3"/>
      <c r="U93" s="3"/>
      <c r="V93" s="3"/>
      <c r="W93" s="3"/>
      <c r="X93" s="3"/>
      <c r="Y93" s="3"/>
      <c r="Z93" s="3"/>
    </row>
    <row r="94" hidden="1">
      <c r="A94" s="27" t="s">
        <v>648</v>
      </c>
      <c r="B94" s="29" t="s">
        <v>121</v>
      </c>
      <c r="C94" s="3"/>
      <c r="D94" s="3"/>
      <c r="E94" s="3"/>
      <c r="F94" s="3"/>
      <c r="G94" s="3"/>
      <c r="H94" s="3"/>
      <c r="I94" s="3"/>
      <c r="J94" s="3"/>
      <c r="K94" s="3"/>
      <c r="L94" s="3"/>
      <c r="M94" s="3"/>
      <c r="N94" s="3"/>
      <c r="O94" s="3"/>
      <c r="P94" s="3"/>
      <c r="Q94" s="3"/>
      <c r="R94" s="3"/>
      <c r="S94" s="3"/>
      <c r="T94" s="3"/>
      <c r="U94" s="3"/>
      <c r="V94" s="3"/>
      <c r="W94" s="3"/>
      <c r="X94" s="3"/>
      <c r="Y94" s="3"/>
      <c r="Z94" s="3"/>
    </row>
    <row r="95" hidden="1">
      <c r="A95" s="27" t="s">
        <v>655</v>
      </c>
      <c r="B95" s="29" t="s">
        <v>122</v>
      </c>
      <c r="C95" s="3"/>
      <c r="D95" s="3"/>
      <c r="E95" s="3"/>
      <c r="F95" s="3"/>
      <c r="G95" s="3"/>
      <c r="H95" s="3"/>
      <c r="I95" s="3"/>
      <c r="J95" s="3"/>
      <c r="K95" s="3"/>
      <c r="L95" s="3"/>
      <c r="M95" s="3"/>
      <c r="N95" s="3"/>
      <c r="O95" s="3"/>
      <c r="P95" s="3"/>
      <c r="Q95" s="3"/>
      <c r="R95" s="3"/>
      <c r="S95" s="3"/>
      <c r="T95" s="3"/>
      <c r="U95" s="3"/>
      <c r="V95" s="3"/>
      <c r="W95" s="3"/>
      <c r="X95" s="3"/>
      <c r="Y95" s="3"/>
      <c r="Z95" s="3"/>
    </row>
    <row r="96" hidden="1">
      <c r="A96" s="27" t="s">
        <v>663</v>
      </c>
      <c r="B96" s="29" t="s">
        <v>123</v>
      </c>
      <c r="C96" s="3"/>
      <c r="D96" s="3"/>
      <c r="E96" s="3"/>
      <c r="F96" s="3"/>
      <c r="G96" s="3"/>
      <c r="H96" s="3"/>
      <c r="I96" s="3"/>
      <c r="J96" s="3"/>
      <c r="K96" s="3"/>
      <c r="L96" s="3"/>
      <c r="M96" s="3"/>
      <c r="N96" s="3"/>
      <c r="O96" s="3"/>
      <c r="P96" s="3"/>
      <c r="Q96" s="3"/>
      <c r="R96" s="3"/>
      <c r="S96" s="3"/>
      <c r="T96" s="3"/>
      <c r="U96" s="3"/>
      <c r="V96" s="3"/>
      <c r="W96" s="3"/>
      <c r="X96" s="3"/>
      <c r="Y96" s="3"/>
      <c r="Z96" s="3"/>
    </row>
    <row r="97" hidden="1">
      <c r="A97" s="27" t="s">
        <v>671</v>
      </c>
      <c r="B97" s="29" t="s">
        <v>126</v>
      </c>
      <c r="C97" s="3"/>
      <c r="D97" s="3"/>
      <c r="E97" s="3"/>
      <c r="F97" s="3"/>
      <c r="G97" s="3"/>
      <c r="H97" s="3"/>
      <c r="I97" s="3"/>
      <c r="J97" s="3"/>
      <c r="K97" s="3"/>
      <c r="L97" s="3"/>
      <c r="M97" s="3"/>
      <c r="N97" s="3"/>
      <c r="O97" s="3"/>
      <c r="P97" s="3"/>
      <c r="Q97" s="3"/>
      <c r="R97" s="3"/>
      <c r="S97" s="3"/>
      <c r="T97" s="3"/>
      <c r="U97" s="3"/>
      <c r="V97" s="3"/>
      <c r="W97" s="3"/>
      <c r="X97" s="3"/>
      <c r="Y97" s="3"/>
      <c r="Z97" s="3"/>
    </row>
    <row r="98" hidden="1">
      <c r="A98" s="27" t="s">
        <v>679</v>
      </c>
      <c r="B98" s="29" t="s">
        <v>127</v>
      </c>
      <c r="C98" s="3"/>
      <c r="D98" s="3"/>
      <c r="E98" s="3"/>
      <c r="F98" s="3"/>
      <c r="G98" s="3"/>
      <c r="H98" s="3"/>
      <c r="I98" s="3"/>
      <c r="J98" s="3"/>
      <c r="K98" s="3"/>
      <c r="L98" s="3"/>
      <c r="M98" s="3"/>
      <c r="N98" s="3"/>
      <c r="O98" s="3"/>
      <c r="P98" s="3"/>
      <c r="Q98" s="3"/>
      <c r="R98" s="3"/>
      <c r="S98" s="3"/>
      <c r="T98" s="3"/>
      <c r="U98" s="3"/>
      <c r="V98" s="3"/>
      <c r="W98" s="3"/>
      <c r="X98" s="3"/>
      <c r="Y98" s="3"/>
      <c r="Z98" s="3"/>
    </row>
    <row r="99" hidden="1">
      <c r="A99" s="27" t="s">
        <v>686</v>
      </c>
      <c r="B99" s="29" t="s">
        <v>128</v>
      </c>
      <c r="C99" s="3"/>
      <c r="D99" s="3"/>
      <c r="E99" s="3"/>
      <c r="F99" s="3"/>
      <c r="G99" s="3"/>
      <c r="H99" s="3"/>
      <c r="I99" s="3"/>
      <c r="J99" s="3"/>
      <c r="K99" s="3"/>
      <c r="L99" s="3"/>
      <c r="M99" s="3"/>
      <c r="N99" s="3"/>
      <c r="O99" s="3"/>
      <c r="P99" s="3"/>
      <c r="Q99" s="3"/>
      <c r="R99" s="3"/>
      <c r="S99" s="3"/>
      <c r="T99" s="3"/>
      <c r="U99" s="3"/>
      <c r="V99" s="3"/>
      <c r="W99" s="3"/>
      <c r="X99" s="3"/>
      <c r="Y99" s="3"/>
      <c r="Z99" s="3"/>
    </row>
    <row r="100" hidden="1">
      <c r="A100" s="27" t="s">
        <v>692</v>
      </c>
      <c r="B100" s="29" t="s">
        <v>129</v>
      </c>
      <c r="C100" s="3"/>
      <c r="D100" s="3"/>
      <c r="E100" s="3"/>
      <c r="F100" s="3"/>
      <c r="G100" s="3"/>
      <c r="H100" s="3"/>
      <c r="I100" s="3"/>
      <c r="J100" s="3"/>
      <c r="K100" s="3"/>
      <c r="L100" s="3"/>
      <c r="M100" s="3"/>
      <c r="N100" s="3"/>
      <c r="O100" s="3"/>
      <c r="P100" s="3"/>
      <c r="Q100" s="3"/>
      <c r="R100" s="3"/>
      <c r="S100" s="3"/>
      <c r="T100" s="3"/>
      <c r="U100" s="3"/>
      <c r="V100" s="3"/>
      <c r="W100" s="3"/>
      <c r="X100" s="3"/>
      <c r="Y100" s="3"/>
      <c r="Z100" s="3"/>
    </row>
    <row r="101" hidden="1">
      <c r="A101" s="27" t="s">
        <v>698</v>
      </c>
      <c r="B101" s="29" t="s">
        <v>130</v>
      </c>
      <c r="C101" s="3"/>
      <c r="D101" s="3"/>
      <c r="E101" s="3"/>
      <c r="F101" s="3"/>
      <c r="G101" s="3"/>
      <c r="H101" s="3"/>
      <c r="I101" s="3"/>
      <c r="J101" s="3"/>
      <c r="K101" s="3"/>
      <c r="L101" s="3"/>
      <c r="M101" s="3"/>
      <c r="N101" s="3"/>
      <c r="O101" s="3"/>
      <c r="P101" s="3"/>
      <c r="Q101" s="3"/>
      <c r="R101" s="3"/>
      <c r="S101" s="3"/>
      <c r="T101" s="3"/>
      <c r="U101" s="3"/>
      <c r="V101" s="3"/>
      <c r="W101" s="3"/>
      <c r="X101" s="3"/>
      <c r="Y101" s="3"/>
      <c r="Z101" s="3"/>
    </row>
    <row r="102" hidden="1">
      <c r="A102" s="27" t="s">
        <v>703</v>
      </c>
      <c r="B102" s="29" t="s">
        <v>132</v>
      </c>
      <c r="C102" s="3"/>
      <c r="D102" s="3"/>
      <c r="E102" s="3"/>
      <c r="F102" s="3"/>
      <c r="G102" s="3"/>
      <c r="H102" s="3"/>
      <c r="I102" s="3"/>
      <c r="J102" s="3"/>
      <c r="K102" s="3"/>
      <c r="L102" s="3"/>
      <c r="M102" s="3"/>
      <c r="N102" s="3"/>
      <c r="O102" s="3"/>
      <c r="P102" s="3"/>
      <c r="Q102" s="3"/>
      <c r="R102" s="3"/>
      <c r="S102" s="3"/>
      <c r="T102" s="3"/>
      <c r="U102" s="3"/>
      <c r="V102" s="3"/>
      <c r="W102" s="3"/>
      <c r="X102" s="3"/>
      <c r="Y102" s="3"/>
      <c r="Z102" s="3"/>
    </row>
    <row r="103" hidden="1">
      <c r="A103" s="27" t="s">
        <v>709</v>
      </c>
      <c r="B103" s="29" t="s">
        <v>134</v>
      </c>
      <c r="C103" s="3"/>
      <c r="D103" s="3"/>
      <c r="E103" s="3"/>
      <c r="F103" s="3"/>
      <c r="G103" s="3"/>
      <c r="H103" s="3"/>
      <c r="I103" s="3"/>
      <c r="J103" s="3"/>
      <c r="K103" s="3"/>
      <c r="L103" s="3"/>
      <c r="M103" s="3"/>
      <c r="N103" s="3"/>
      <c r="O103" s="3"/>
      <c r="P103" s="3"/>
      <c r="Q103" s="3"/>
      <c r="R103" s="3"/>
      <c r="S103" s="3"/>
      <c r="T103" s="3"/>
      <c r="U103" s="3"/>
      <c r="V103" s="3"/>
      <c r="W103" s="3"/>
      <c r="X103" s="3"/>
      <c r="Y103" s="3"/>
      <c r="Z103" s="3"/>
    </row>
    <row r="104" hidden="1">
      <c r="A104" s="27" t="s">
        <v>716</v>
      </c>
      <c r="B104" s="29" t="s">
        <v>135</v>
      </c>
      <c r="C104" s="3"/>
      <c r="D104" s="3"/>
      <c r="E104" s="3"/>
      <c r="F104" s="3"/>
      <c r="G104" s="3"/>
      <c r="H104" s="3"/>
      <c r="I104" s="3"/>
      <c r="J104" s="3"/>
      <c r="K104" s="3"/>
      <c r="L104" s="3"/>
      <c r="M104" s="3"/>
      <c r="N104" s="3"/>
      <c r="O104" s="3"/>
      <c r="P104" s="3"/>
      <c r="Q104" s="3"/>
      <c r="R104" s="3"/>
      <c r="S104" s="3"/>
      <c r="T104" s="3"/>
      <c r="U104" s="3"/>
      <c r="V104" s="3"/>
      <c r="W104" s="3"/>
      <c r="X104" s="3"/>
      <c r="Y104" s="3"/>
      <c r="Z104" s="3"/>
    </row>
    <row r="105" hidden="1">
      <c r="A105" s="27" t="s">
        <v>728</v>
      </c>
      <c r="B105" s="29" t="s">
        <v>136</v>
      </c>
      <c r="C105" s="3"/>
      <c r="D105" s="3"/>
      <c r="E105" s="3"/>
      <c r="F105" s="3"/>
      <c r="G105" s="3"/>
      <c r="H105" s="3"/>
      <c r="I105" s="3"/>
      <c r="J105" s="3"/>
      <c r="K105" s="3"/>
      <c r="L105" s="3"/>
      <c r="M105" s="3"/>
      <c r="N105" s="3"/>
      <c r="O105" s="3"/>
      <c r="P105" s="3"/>
      <c r="Q105" s="3"/>
      <c r="R105" s="3"/>
      <c r="S105" s="3"/>
      <c r="T105" s="3"/>
      <c r="U105" s="3"/>
      <c r="V105" s="3"/>
      <c r="W105" s="3"/>
      <c r="X105" s="3"/>
      <c r="Y105" s="3"/>
      <c r="Z105" s="3"/>
    </row>
    <row r="106" hidden="1">
      <c r="A106" s="27" t="s">
        <v>735</v>
      </c>
      <c r="B106" s="29" t="s">
        <v>138</v>
      </c>
      <c r="C106" s="3"/>
      <c r="D106" s="3"/>
      <c r="E106" s="3"/>
      <c r="F106" s="3"/>
      <c r="G106" s="3"/>
      <c r="H106" s="3"/>
      <c r="I106" s="3"/>
      <c r="J106" s="3"/>
      <c r="K106" s="3"/>
      <c r="L106" s="3"/>
      <c r="M106" s="3"/>
      <c r="N106" s="3"/>
      <c r="O106" s="3"/>
      <c r="P106" s="3"/>
      <c r="Q106" s="3"/>
      <c r="R106" s="3"/>
      <c r="S106" s="3"/>
      <c r="T106" s="3"/>
      <c r="U106" s="3"/>
      <c r="V106" s="3"/>
      <c r="W106" s="3"/>
      <c r="X106" s="3"/>
      <c r="Y106" s="3"/>
      <c r="Z106" s="3"/>
    </row>
    <row r="107" hidden="1">
      <c r="A107" s="27" t="s">
        <v>743</v>
      </c>
      <c r="B107" s="29" t="s">
        <v>139</v>
      </c>
      <c r="C107" s="3"/>
      <c r="D107" s="3"/>
      <c r="E107" s="3"/>
      <c r="F107" s="3"/>
      <c r="G107" s="3"/>
      <c r="H107" s="3"/>
      <c r="I107" s="3"/>
      <c r="J107" s="3"/>
      <c r="K107" s="3"/>
      <c r="L107" s="3"/>
      <c r="M107" s="3"/>
      <c r="N107" s="3"/>
      <c r="O107" s="3"/>
      <c r="P107" s="3"/>
      <c r="Q107" s="3"/>
      <c r="R107" s="3"/>
      <c r="S107" s="3"/>
      <c r="T107" s="3"/>
      <c r="U107" s="3"/>
      <c r="V107" s="3"/>
      <c r="W107" s="3"/>
      <c r="X107" s="3"/>
      <c r="Y107" s="3"/>
      <c r="Z107" s="3"/>
    </row>
    <row r="108" hidden="1">
      <c r="A108" s="27" t="s">
        <v>751</v>
      </c>
      <c r="B108" s="29" t="s">
        <v>140</v>
      </c>
      <c r="C108" s="3"/>
      <c r="D108" s="3"/>
      <c r="E108" s="3"/>
      <c r="F108" s="3"/>
      <c r="G108" s="3"/>
      <c r="H108" s="3"/>
      <c r="I108" s="3"/>
      <c r="J108" s="3"/>
      <c r="K108" s="3"/>
      <c r="L108" s="3"/>
      <c r="M108" s="3"/>
      <c r="N108" s="3"/>
      <c r="O108" s="3"/>
      <c r="P108" s="3"/>
      <c r="Q108" s="3"/>
      <c r="R108" s="3"/>
      <c r="S108" s="3"/>
      <c r="T108" s="3"/>
      <c r="U108" s="3"/>
      <c r="V108" s="3"/>
      <c r="W108" s="3"/>
      <c r="X108" s="3"/>
      <c r="Y108" s="3"/>
      <c r="Z108" s="3"/>
    </row>
    <row r="109" hidden="1">
      <c r="A109" s="27" t="s">
        <v>758</v>
      </c>
      <c r="B109" s="29" t="s">
        <v>141</v>
      </c>
      <c r="C109" s="3"/>
      <c r="D109" s="3"/>
      <c r="E109" s="3"/>
      <c r="F109" s="3"/>
      <c r="G109" s="3"/>
      <c r="H109" s="3"/>
      <c r="I109" s="3"/>
      <c r="J109" s="3"/>
      <c r="K109" s="3"/>
      <c r="L109" s="3"/>
      <c r="M109" s="3"/>
      <c r="N109" s="3"/>
      <c r="O109" s="3"/>
      <c r="P109" s="3"/>
      <c r="Q109" s="3"/>
      <c r="R109" s="3"/>
      <c r="S109" s="3"/>
      <c r="T109" s="3"/>
      <c r="U109" s="3"/>
      <c r="V109" s="3"/>
      <c r="W109" s="3"/>
      <c r="X109" s="3"/>
      <c r="Y109" s="3"/>
      <c r="Z109" s="3"/>
    </row>
    <row r="110" hidden="1">
      <c r="A110" s="27" t="s">
        <v>765</v>
      </c>
      <c r="B110" s="29" t="s">
        <v>142</v>
      </c>
      <c r="C110" s="3"/>
      <c r="D110" s="3"/>
      <c r="E110" s="3"/>
      <c r="F110" s="3"/>
      <c r="G110" s="3"/>
      <c r="H110" s="3"/>
      <c r="I110" s="3"/>
      <c r="J110" s="3"/>
      <c r="K110" s="3"/>
      <c r="L110" s="3"/>
      <c r="M110" s="3"/>
      <c r="N110" s="3"/>
      <c r="O110" s="3"/>
      <c r="P110" s="3"/>
      <c r="Q110" s="3"/>
      <c r="R110" s="3"/>
      <c r="S110" s="3"/>
      <c r="T110" s="3"/>
      <c r="U110" s="3"/>
      <c r="V110" s="3"/>
      <c r="W110" s="3"/>
      <c r="X110" s="3"/>
      <c r="Y110" s="3"/>
      <c r="Z110" s="3"/>
    </row>
    <row r="111" hidden="1">
      <c r="A111" s="27" t="s">
        <v>769</v>
      </c>
      <c r="B111" s="29" t="s">
        <v>144</v>
      </c>
      <c r="C111" s="3"/>
      <c r="D111" s="3"/>
      <c r="E111" s="3"/>
      <c r="F111" s="3"/>
      <c r="G111" s="3"/>
      <c r="H111" s="3"/>
      <c r="I111" s="3"/>
      <c r="J111" s="3"/>
      <c r="K111" s="3"/>
      <c r="L111" s="3"/>
      <c r="M111" s="3"/>
      <c r="N111" s="3"/>
      <c r="O111" s="3"/>
      <c r="P111" s="3"/>
      <c r="Q111" s="3"/>
      <c r="R111" s="3"/>
      <c r="S111" s="3"/>
      <c r="T111" s="3"/>
      <c r="U111" s="3"/>
      <c r="V111" s="3"/>
      <c r="W111" s="3"/>
      <c r="X111" s="3"/>
      <c r="Y111" s="3"/>
      <c r="Z111" s="3"/>
    </row>
    <row r="112" hidden="1">
      <c r="A112" s="27" t="s">
        <v>776</v>
      </c>
      <c r="B112" s="29" t="s">
        <v>145</v>
      </c>
      <c r="C112" s="3"/>
      <c r="D112" s="3"/>
      <c r="E112" s="3"/>
      <c r="F112" s="3"/>
      <c r="G112" s="3"/>
      <c r="H112" s="3"/>
      <c r="I112" s="3"/>
      <c r="J112" s="3"/>
      <c r="K112" s="3"/>
      <c r="L112" s="3"/>
      <c r="M112" s="3"/>
      <c r="N112" s="3"/>
      <c r="O112" s="3"/>
      <c r="P112" s="3"/>
      <c r="Q112" s="3"/>
      <c r="R112" s="3"/>
      <c r="S112" s="3"/>
      <c r="T112" s="3"/>
      <c r="U112" s="3"/>
      <c r="V112" s="3"/>
      <c r="W112" s="3"/>
      <c r="X112" s="3"/>
      <c r="Y112" s="3"/>
      <c r="Z112" s="3"/>
    </row>
    <row r="113" hidden="1">
      <c r="A113" s="27" t="s">
        <v>784</v>
      </c>
      <c r="B113" s="29" t="s">
        <v>146</v>
      </c>
      <c r="C113" s="3"/>
      <c r="D113" s="3"/>
      <c r="E113" s="3"/>
      <c r="F113" s="3"/>
      <c r="G113" s="3"/>
      <c r="H113" s="3"/>
      <c r="I113" s="3"/>
      <c r="J113" s="3"/>
      <c r="K113" s="3"/>
      <c r="L113" s="3"/>
      <c r="M113" s="3"/>
      <c r="N113" s="3"/>
      <c r="O113" s="3"/>
      <c r="P113" s="3"/>
      <c r="Q113" s="3"/>
      <c r="R113" s="3"/>
      <c r="S113" s="3"/>
      <c r="T113" s="3"/>
      <c r="U113" s="3"/>
      <c r="V113" s="3"/>
      <c r="W113" s="3"/>
      <c r="X113" s="3"/>
      <c r="Y113" s="3"/>
      <c r="Z113" s="3"/>
    </row>
    <row r="114" hidden="1">
      <c r="A114" s="27" t="s">
        <v>791</v>
      </c>
      <c r="B114" s="29" t="s">
        <v>147</v>
      </c>
      <c r="C114" s="3"/>
      <c r="D114" s="3"/>
      <c r="E114" s="3"/>
      <c r="F114" s="3"/>
      <c r="G114" s="3"/>
      <c r="H114" s="3"/>
      <c r="I114" s="3"/>
      <c r="J114" s="3"/>
      <c r="K114" s="3"/>
      <c r="L114" s="3"/>
      <c r="M114" s="3"/>
      <c r="N114" s="3"/>
      <c r="O114" s="3"/>
      <c r="P114" s="3"/>
      <c r="Q114" s="3"/>
      <c r="R114" s="3"/>
      <c r="S114" s="3"/>
      <c r="T114" s="3"/>
      <c r="U114" s="3"/>
      <c r="V114" s="3"/>
      <c r="W114" s="3"/>
      <c r="X114" s="3"/>
      <c r="Y114" s="3"/>
      <c r="Z114" s="3"/>
    </row>
    <row r="115" hidden="1">
      <c r="A115" s="27" t="s">
        <v>799</v>
      </c>
      <c r="B115" s="29" t="s">
        <v>149</v>
      </c>
      <c r="C115" s="3"/>
      <c r="D115" s="3"/>
      <c r="E115" s="3"/>
      <c r="F115" s="3"/>
      <c r="G115" s="3"/>
      <c r="H115" s="3"/>
      <c r="I115" s="3"/>
      <c r="J115" s="3"/>
      <c r="K115" s="3"/>
      <c r="L115" s="3"/>
      <c r="M115" s="3"/>
      <c r="N115" s="3"/>
      <c r="O115" s="3"/>
      <c r="P115" s="3"/>
      <c r="Q115" s="3"/>
      <c r="R115" s="3"/>
      <c r="S115" s="3"/>
      <c r="T115" s="3"/>
      <c r="U115" s="3"/>
      <c r="V115" s="3"/>
      <c r="W115" s="3"/>
      <c r="X115" s="3"/>
      <c r="Y115" s="3"/>
      <c r="Z115" s="3"/>
    </row>
    <row r="116" hidden="1">
      <c r="A116" s="27" t="s">
        <v>806</v>
      </c>
      <c r="B116" s="29" t="s">
        <v>150</v>
      </c>
      <c r="C116" s="3"/>
      <c r="D116" s="3"/>
      <c r="E116" s="3"/>
      <c r="F116" s="3"/>
      <c r="G116" s="3"/>
      <c r="H116" s="3"/>
      <c r="I116" s="3"/>
      <c r="J116" s="3"/>
      <c r="K116" s="3"/>
      <c r="L116" s="3"/>
      <c r="M116" s="3"/>
      <c r="N116" s="3"/>
      <c r="O116" s="3"/>
      <c r="P116" s="3"/>
      <c r="Q116" s="3"/>
      <c r="R116" s="3"/>
      <c r="S116" s="3"/>
      <c r="T116" s="3"/>
      <c r="U116" s="3"/>
      <c r="V116" s="3"/>
      <c r="W116" s="3"/>
      <c r="X116" s="3"/>
      <c r="Y116" s="3"/>
      <c r="Z116" s="3"/>
    </row>
    <row r="117" hidden="1">
      <c r="A117" s="27" t="s">
        <v>813</v>
      </c>
      <c r="B117" s="29" t="s">
        <v>151</v>
      </c>
      <c r="C117" s="3"/>
      <c r="D117" s="3"/>
      <c r="E117" s="3"/>
      <c r="F117" s="3"/>
      <c r="G117" s="3"/>
      <c r="H117" s="3"/>
      <c r="I117" s="3"/>
      <c r="J117" s="3"/>
      <c r="K117" s="3"/>
      <c r="L117" s="3"/>
      <c r="M117" s="3"/>
      <c r="N117" s="3"/>
      <c r="O117" s="3"/>
      <c r="P117" s="3"/>
      <c r="Q117" s="3"/>
      <c r="R117" s="3"/>
      <c r="S117" s="3"/>
      <c r="T117" s="3"/>
      <c r="U117" s="3"/>
      <c r="V117" s="3"/>
      <c r="W117" s="3"/>
      <c r="X117" s="3"/>
      <c r="Y117" s="3"/>
      <c r="Z117" s="3"/>
    </row>
    <row r="118" hidden="1">
      <c r="A118" s="27" t="s">
        <v>819</v>
      </c>
      <c r="B118" s="29" t="s">
        <v>152</v>
      </c>
      <c r="C118" s="3"/>
      <c r="D118" s="3"/>
      <c r="E118" s="3"/>
      <c r="F118" s="3"/>
      <c r="G118" s="3"/>
      <c r="H118" s="3"/>
      <c r="I118" s="3"/>
      <c r="J118" s="3"/>
      <c r="K118" s="3"/>
      <c r="L118" s="3"/>
      <c r="M118" s="3"/>
      <c r="N118" s="3"/>
      <c r="O118" s="3"/>
      <c r="P118" s="3"/>
      <c r="Q118" s="3"/>
      <c r="R118" s="3"/>
      <c r="S118" s="3"/>
      <c r="T118" s="3"/>
      <c r="U118" s="3"/>
      <c r="V118" s="3"/>
      <c r="W118" s="3"/>
      <c r="X118" s="3"/>
      <c r="Y118" s="3"/>
      <c r="Z118" s="3"/>
    </row>
    <row r="119" hidden="1">
      <c r="A119" s="27" t="s">
        <v>824</v>
      </c>
      <c r="B119" s="29" t="s">
        <v>153</v>
      </c>
      <c r="C119" s="3"/>
      <c r="D119" s="3"/>
      <c r="E119" s="3"/>
      <c r="F119" s="3"/>
      <c r="G119" s="3"/>
      <c r="H119" s="3"/>
      <c r="I119" s="3"/>
      <c r="J119" s="3"/>
      <c r="K119" s="3"/>
      <c r="L119" s="3"/>
      <c r="M119" s="3"/>
      <c r="N119" s="3"/>
      <c r="O119" s="3"/>
      <c r="P119" s="3"/>
      <c r="Q119" s="3"/>
      <c r="R119" s="3"/>
      <c r="S119" s="3"/>
      <c r="T119" s="3"/>
      <c r="U119" s="3"/>
      <c r="V119" s="3"/>
      <c r="W119" s="3"/>
      <c r="X119" s="3"/>
      <c r="Y119" s="3"/>
      <c r="Z119" s="3"/>
    </row>
    <row r="120" hidden="1">
      <c r="A120" s="27" t="s">
        <v>830</v>
      </c>
      <c r="B120" s="29" t="s">
        <v>155</v>
      </c>
      <c r="C120" s="3"/>
      <c r="D120" s="3"/>
      <c r="E120" s="3"/>
      <c r="F120" s="3"/>
      <c r="G120" s="3"/>
      <c r="H120" s="3"/>
      <c r="I120" s="3"/>
      <c r="J120" s="3"/>
      <c r="K120" s="3"/>
      <c r="L120" s="3"/>
      <c r="M120" s="3"/>
      <c r="N120" s="3"/>
      <c r="O120" s="3"/>
      <c r="P120" s="3"/>
      <c r="Q120" s="3"/>
      <c r="R120" s="3"/>
      <c r="S120" s="3"/>
      <c r="T120" s="3"/>
      <c r="U120" s="3"/>
      <c r="V120" s="3"/>
      <c r="W120" s="3"/>
      <c r="X120" s="3"/>
      <c r="Y120" s="3"/>
      <c r="Z120" s="3"/>
    </row>
    <row r="121" hidden="1">
      <c r="A121" s="27" t="s">
        <v>836</v>
      </c>
      <c r="B121" s="29" t="s">
        <v>156</v>
      </c>
      <c r="C121" s="3"/>
      <c r="D121" s="3"/>
      <c r="E121" s="3"/>
      <c r="F121" s="3"/>
      <c r="G121" s="3"/>
      <c r="H121" s="3"/>
      <c r="I121" s="3"/>
      <c r="J121" s="3"/>
      <c r="K121" s="3"/>
      <c r="L121" s="3"/>
      <c r="M121" s="3"/>
      <c r="N121" s="3"/>
      <c r="O121" s="3"/>
      <c r="P121" s="3"/>
      <c r="Q121" s="3"/>
      <c r="R121" s="3"/>
      <c r="S121" s="3"/>
      <c r="T121" s="3"/>
      <c r="U121" s="3"/>
      <c r="V121" s="3"/>
      <c r="W121" s="3"/>
      <c r="X121" s="3"/>
      <c r="Y121" s="3"/>
      <c r="Z121" s="3"/>
    </row>
    <row r="122" hidden="1">
      <c r="A122" s="27" t="s">
        <v>842</v>
      </c>
      <c r="B122" s="29" t="s">
        <v>157</v>
      </c>
      <c r="C122" s="3"/>
      <c r="D122" s="3"/>
      <c r="E122" s="3"/>
      <c r="F122" s="3"/>
      <c r="G122" s="3"/>
      <c r="H122" s="3"/>
      <c r="I122" s="3"/>
      <c r="J122" s="3"/>
      <c r="K122" s="3"/>
      <c r="L122" s="3"/>
      <c r="M122" s="3"/>
      <c r="N122" s="3"/>
      <c r="O122" s="3"/>
      <c r="P122" s="3"/>
      <c r="Q122" s="3"/>
      <c r="R122" s="3"/>
      <c r="S122" s="3"/>
      <c r="T122" s="3"/>
      <c r="U122" s="3"/>
      <c r="V122" s="3"/>
      <c r="W122" s="3"/>
      <c r="X122" s="3"/>
      <c r="Y122" s="3"/>
      <c r="Z122" s="3"/>
    </row>
    <row r="123" hidden="1">
      <c r="A123" s="27" t="s">
        <v>847</v>
      </c>
      <c r="B123" s="29" t="s">
        <v>158</v>
      </c>
      <c r="C123" s="3"/>
      <c r="D123" s="3"/>
      <c r="E123" s="3"/>
      <c r="F123" s="3"/>
      <c r="G123" s="3"/>
      <c r="H123" s="3"/>
      <c r="I123" s="3"/>
      <c r="J123" s="3"/>
      <c r="K123" s="3"/>
      <c r="L123" s="3"/>
      <c r="M123" s="3"/>
      <c r="N123" s="3"/>
      <c r="O123" s="3"/>
      <c r="P123" s="3"/>
      <c r="Q123" s="3"/>
      <c r="R123" s="3"/>
      <c r="S123" s="3"/>
      <c r="T123" s="3"/>
      <c r="U123" s="3"/>
      <c r="V123" s="3"/>
      <c r="W123" s="3"/>
      <c r="X123" s="3"/>
      <c r="Y123" s="3"/>
      <c r="Z123" s="3"/>
    </row>
    <row r="124" hidden="1">
      <c r="A124" s="27" t="s">
        <v>853</v>
      </c>
      <c r="B124" s="29" t="s">
        <v>160</v>
      </c>
      <c r="C124" s="3"/>
      <c r="D124" s="3"/>
      <c r="E124" s="3"/>
      <c r="F124" s="3"/>
      <c r="G124" s="3"/>
      <c r="H124" s="3"/>
      <c r="I124" s="3"/>
      <c r="J124" s="3"/>
      <c r="K124" s="3"/>
      <c r="L124" s="3"/>
      <c r="M124" s="3"/>
      <c r="N124" s="3"/>
      <c r="O124" s="3"/>
      <c r="P124" s="3"/>
      <c r="Q124" s="3"/>
      <c r="R124" s="3"/>
      <c r="S124" s="3"/>
      <c r="T124" s="3"/>
      <c r="U124" s="3"/>
      <c r="V124" s="3"/>
      <c r="W124" s="3"/>
      <c r="X124" s="3"/>
      <c r="Y124" s="3"/>
      <c r="Z124" s="3"/>
    </row>
    <row r="125" hidden="1">
      <c r="A125" s="27" t="s">
        <v>855</v>
      </c>
      <c r="B125" s="29" t="s">
        <v>161</v>
      </c>
      <c r="C125" s="3"/>
      <c r="D125" s="3"/>
      <c r="E125" s="3"/>
      <c r="F125" s="3"/>
      <c r="G125" s="3"/>
      <c r="H125" s="3"/>
      <c r="I125" s="3"/>
      <c r="J125" s="3"/>
      <c r="K125" s="3"/>
      <c r="L125" s="3"/>
      <c r="M125" s="3"/>
      <c r="N125" s="3"/>
      <c r="O125" s="3"/>
      <c r="P125" s="3"/>
      <c r="Q125" s="3"/>
      <c r="R125" s="3"/>
      <c r="S125" s="3"/>
      <c r="T125" s="3"/>
      <c r="U125" s="3"/>
      <c r="V125" s="3"/>
      <c r="W125" s="3"/>
      <c r="X125" s="3"/>
      <c r="Y125" s="3"/>
      <c r="Z125" s="3"/>
    </row>
    <row r="126" hidden="1">
      <c r="A126" s="27" t="s">
        <v>861</v>
      </c>
      <c r="B126" s="29" t="s">
        <v>162</v>
      </c>
      <c r="C126" s="3"/>
      <c r="D126" s="3"/>
      <c r="E126" s="3"/>
      <c r="F126" s="3"/>
      <c r="G126" s="3"/>
      <c r="H126" s="3"/>
      <c r="I126" s="3"/>
      <c r="J126" s="3"/>
      <c r="K126" s="3"/>
      <c r="L126" s="3"/>
      <c r="M126" s="3"/>
      <c r="N126" s="3"/>
      <c r="O126" s="3"/>
      <c r="P126" s="3"/>
      <c r="Q126" s="3"/>
      <c r="R126" s="3"/>
      <c r="S126" s="3"/>
      <c r="T126" s="3"/>
      <c r="U126" s="3"/>
      <c r="V126" s="3"/>
      <c r="W126" s="3"/>
      <c r="X126" s="3"/>
      <c r="Y126" s="3"/>
      <c r="Z126" s="3"/>
    </row>
    <row r="127" hidden="1">
      <c r="A127" s="27" t="s">
        <v>866</v>
      </c>
      <c r="B127" s="29" t="s">
        <v>163</v>
      </c>
      <c r="C127" s="3"/>
      <c r="D127" s="3"/>
      <c r="E127" s="3"/>
      <c r="F127" s="3"/>
      <c r="G127" s="3"/>
      <c r="H127" s="3"/>
      <c r="I127" s="3"/>
      <c r="J127" s="3"/>
      <c r="K127" s="3"/>
      <c r="L127" s="3"/>
      <c r="M127" s="3"/>
      <c r="N127" s="3"/>
      <c r="O127" s="3"/>
      <c r="P127" s="3"/>
      <c r="Q127" s="3"/>
      <c r="R127" s="3"/>
      <c r="S127" s="3"/>
      <c r="T127" s="3"/>
      <c r="U127" s="3"/>
      <c r="V127" s="3"/>
      <c r="W127" s="3"/>
      <c r="X127" s="3"/>
      <c r="Y127" s="3"/>
      <c r="Z127" s="3"/>
    </row>
    <row r="128" hidden="1">
      <c r="A128" s="27" t="s">
        <v>874</v>
      </c>
      <c r="B128" s="29" t="s">
        <v>165</v>
      </c>
      <c r="C128" s="3"/>
      <c r="D128" s="3"/>
      <c r="E128" s="3"/>
      <c r="F128" s="3"/>
      <c r="G128" s="3"/>
      <c r="H128" s="3"/>
      <c r="I128" s="3"/>
      <c r="J128" s="3"/>
      <c r="K128" s="3"/>
      <c r="L128" s="3"/>
      <c r="M128" s="3"/>
      <c r="N128" s="3"/>
      <c r="O128" s="3"/>
      <c r="P128" s="3"/>
      <c r="Q128" s="3"/>
      <c r="R128" s="3"/>
      <c r="S128" s="3"/>
      <c r="T128" s="3"/>
      <c r="U128" s="3"/>
      <c r="V128" s="3"/>
      <c r="W128" s="3"/>
      <c r="X128" s="3"/>
      <c r="Y128" s="3"/>
      <c r="Z128" s="3"/>
    </row>
    <row r="129" hidden="1">
      <c r="A129" s="27" t="s">
        <v>881</v>
      </c>
      <c r="B129" s="29" t="s">
        <v>166</v>
      </c>
      <c r="C129" s="3"/>
      <c r="D129" s="3"/>
      <c r="E129" s="3"/>
      <c r="F129" s="3"/>
      <c r="G129" s="3"/>
      <c r="H129" s="3"/>
      <c r="I129" s="3"/>
      <c r="J129" s="3"/>
      <c r="K129" s="3"/>
      <c r="L129" s="3"/>
      <c r="M129" s="3"/>
      <c r="N129" s="3"/>
      <c r="O129" s="3"/>
      <c r="P129" s="3"/>
      <c r="Q129" s="3"/>
      <c r="R129" s="3"/>
      <c r="S129" s="3"/>
      <c r="T129" s="3"/>
      <c r="U129" s="3"/>
      <c r="V129" s="3"/>
      <c r="W129" s="3"/>
      <c r="X129" s="3"/>
      <c r="Y129" s="3"/>
      <c r="Z129" s="3"/>
    </row>
    <row r="130" hidden="1">
      <c r="A130" s="27" t="s">
        <v>889</v>
      </c>
      <c r="B130" s="29" t="s">
        <v>167</v>
      </c>
      <c r="C130" s="3"/>
      <c r="D130" s="3"/>
      <c r="E130" s="3"/>
      <c r="F130" s="3"/>
      <c r="G130" s="3"/>
      <c r="H130" s="3"/>
      <c r="I130" s="3"/>
      <c r="J130" s="3"/>
      <c r="K130" s="3"/>
      <c r="L130" s="3"/>
      <c r="M130" s="3"/>
      <c r="N130" s="3"/>
      <c r="O130" s="3"/>
      <c r="P130" s="3"/>
      <c r="Q130" s="3"/>
      <c r="R130" s="3"/>
      <c r="S130" s="3"/>
      <c r="T130" s="3"/>
      <c r="U130" s="3"/>
      <c r="V130" s="3"/>
      <c r="W130" s="3"/>
      <c r="X130" s="3"/>
      <c r="Y130" s="3"/>
      <c r="Z130" s="3"/>
    </row>
    <row r="131" hidden="1">
      <c r="A131" s="27" t="s">
        <v>897</v>
      </c>
      <c r="B131" s="29" t="s">
        <v>168</v>
      </c>
      <c r="C131" s="3"/>
      <c r="D131" s="3"/>
      <c r="E131" s="3"/>
      <c r="F131" s="3"/>
      <c r="G131" s="3"/>
      <c r="H131" s="3"/>
      <c r="I131" s="3"/>
      <c r="J131" s="3"/>
      <c r="K131" s="3"/>
      <c r="L131" s="3"/>
      <c r="M131" s="3"/>
      <c r="N131" s="3"/>
      <c r="O131" s="3"/>
      <c r="P131" s="3"/>
      <c r="Q131" s="3"/>
      <c r="R131" s="3"/>
      <c r="S131" s="3"/>
      <c r="T131" s="3"/>
      <c r="U131" s="3"/>
      <c r="V131" s="3"/>
      <c r="W131" s="3"/>
      <c r="X131" s="3"/>
      <c r="Y131" s="3"/>
      <c r="Z131" s="3"/>
    </row>
    <row r="132" hidden="1">
      <c r="A132" s="27" t="s">
        <v>904</v>
      </c>
      <c r="B132" s="29" t="s">
        <v>169</v>
      </c>
      <c r="C132" s="3"/>
      <c r="D132" s="3"/>
      <c r="E132" s="3"/>
      <c r="F132" s="3"/>
      <c r="G132" s="3"/>
      <c r="H132" s="3"/>
      <c r="I132" s="3"/>
      <c r="J132" s="3"/>
      <c r="K132" s="3"/>
      <c r="L132" s="3"/>
      <c r="M132" s="3"/>
      <c r="N132" s="3"/>
      <c r="O132" s="3"/>
      <c r="P132" s="3"/>
      <c r="Q132" s="3"/>
      <c r="R132" s="3"/>
      <c r="S132" s="3"/>
      <c r="T132" s="3"/>
      <c r="U132" s="3"/>
      <c r="V132" s="3"/>
      <c r="W132" s="3"/>
      <c r="X132" s="3"/>
      <c r="Y132" s="3"/>
      <c r="Z132" s="3"/>
    </row>
    <row r="133" hidden="1">
      <c r="A133" s="27" t="s">
        <v>912</v>
      </c>
      <c r="B133" s="29" t="s">
        <v>171</v>
      </c>
      <c r="C133" s="3"/>
      <c r="D133" s="3"/>
      <c r="E133" s="3"/>
      <c r="F133" s="3"/>
      <c r="G133" s="3"/>
      <c r="H133" s="3"/>
      <c r="I133" s="3"/>
      <c r="J133" s="3"/>
      <c r="K133" s="3"/>
      <c r="L133" s="3"/>
      <c r="M133" s="3"/>
      <c r="N133" s="3"/>
      <c r="O133" s="3"/>
      <c r="P133" s="3"/>
      <c r="Q133" s="3"/>
      <c r="R133" s="3"/>
      <c r="S133" s="3"/>
      <c r="T133" s="3"/>
      <c r="U133" s="3"/>
      <c r="V133" s="3"/>
      <c r="W133" s="3"/>
      <c r="X133" s="3"/>
      <c r="Y133" s="3"/>
      <c r="Z133" s="3"/>
    </row>
    <row r="134" hidden="1">
      <c r="A134" s="27" t="s">
        <v>921</v>
      </c>
      <c r="B134" s="29" t="s">
        <v>172</v>
      </c>
      <c r="C134" s="3"/>
      <c r="D134" s="3"/>
      <c r="E134" s="3"/>
      <c r="F134" s="3"/>
      <c r="G134" s="3"/>
      <c r="H134" s="3"/>
      <c r="I134" s="3"/>
      <c r="J134" s="3"/>
      <c r="K134" s="3"/>
      <c r="L134" s="3"/>
      <c r="M134" s="3"/>
      <c r="N134" s="3"/>
      <c r="O134" s="3"/>
      <c r="P134" s="3"/>
      <c r="Q134" s="3"/>
      <c r="R134" s="3"/>
      <c r="S134" s="3"/>
      <c r="T134" s="3"/>
      <c r="U134" s="3"/>
      <c r="V134" s="3"/>
      <c r="W134" s="3"/>
      <c r="X134" s="3"/>
      <c r="Y134" s="3"/>
      <c r="Z134" s="3"/>
    </row>
    <row r="135" hidden="1">
      <c r="A135" s="27" t="s">
        <v>929</v>
      </c>
      <c r="B135" s="29" t="s">
        <v>173</v>
      </c>
      <c r="C135" s="3"/>
      <c r="D135" s="3"/>
      <c r="E135" s="3"/>
      <c r="F135" s="3"/>
      <c r="G135" s="3"/>
      <c r="H135" s="3"/>
      <c r="I135" s="3"/>
      <c r="J135" s="3"/>
      <c r="K135" s="3"/>
      <c r="L135" s="3"/>
      <c r="M135" s="3"/>
      <c r="N135" s="3"/>
      <c r="O135" s="3"/>
      <c r="P135" s="3"/>
      <c r="Q135" s="3"/>
      <c r="R135" s="3"/>
      <c r="S135" s="3"/>
      <c r="T135" s="3"/>
      <c r="U135" s="3"/>
      <c r="V135" s="3"/>
      <c r="W135" s="3"/>
      <c r="X135" s="3"/>
      <c r="Y135" s="3"/>
      <c r="Z135" s="3"/>
    </row>
    <row r="136" hidden="1">
      <c r="A136" s="27" t="s">
        <v>933</v>
      </c>
      <c r="B136" s="29" t="s">
        <v>174</v>
      </c>
      <c r="C136" s="3"/>
      <c r="D136" s="3"/>
      <c r="E136" s="3"/>
      <c r="F136" s="3"/>
      <c r="G136" s="3"/>
      <c r="H136" s="3"/>
      <c r="I136" s="3"/>
      <c r="J136" s="3"/>
      <c r="K136" s="3"/>
      <c r="L136" s="3"/>
      <c r="M136" s="3"/>
      <c r="N136" s="3"/>
      <c r="O136" s="3"/>
      <c r="P136" s="3"/>
      <c r="Q136" s="3"/>
      <c r="R136" s="3"/>
      <c r="S136" s="3"/>
      <c r="T136" s="3"/>
      <c r="U136" s="3"/>
      <c r="V136" s="3"/>
      <c r="W136" s="3"/>
      <c r="X136" s="3"/>
      <c r="Y136" s="3"/>
      <c r="Z136" s="3"/>
    </row>
    <row r="137" hidden="1">
      <c r="A137" s="27" t="s">
        <v>939</v>
      </c>
      <c r="B137" s="29" t="s">
        <v>175</v>
      </c>
      <c r="C137" s="3"/>
      <c r="D137" s="3"/>
      <c r="E137" s="3"/>
      <c r="F137" s="3"/>
      <c r="G137" s="3"/>
      <c r="H137" s="3"/>
      <c r="I137" s="3"/>
      <c r="J137" s="3"/>
      <c r="K137" s="3"/>
      <c r="L137" s="3"/>
      <c r="M137" s="3"/>
      <c r="N137" s="3"/>
      <c r="O137" s="3"/>
      <c r="P137" s="3"/>
      <c r="Q137" s="3"/>
      <c r="R137" s="3"/>
      <c r="S137" s="3"/>
      <c r="T137" s="3"/>
      <c r="U137" s="3"/>
      <c r="V137" s="3"/>
      <c r="W137" s="3"/>
      <c r="X137" s="3"/>
      <c r="Y137" s="3"/>
      <c r="Z137" s="3"/>
    </row>
    <row r="138" hidden="1">
      <c r="A138" s="27" t="s">
        <v>945</v>
      </c>
      <c r="B138" s="29" t="s">
        <v>177</v>
      </c>
      <c r="C138" s="3"/>
      <c r="D138" s="3"/>
      <c r="E138" s="3"/>
      <c r="F138" s="3"/>
      <c r="G138" s="3"/>
      <c r="H138" s="3"/>
      <c r="I138" s="3"/>
      <c r="J138" s="3"/>
      <c r="K138" s="3"/>
      <c r="L138" s="3"/>
      <c r="M138" s="3"/>
      <c r="N138" s="3"/>
      <c r="O138" s="3"/>
      <c r="P138" s="3"/>
      <c r="Q138" s="3"/>
      <c r="R138" s="3"/>
      <c r="S138" s="3"/>
      <c r="T138" s="3"/>
      <c r="U138" s="3"/>
      <c r="V138" s="3"/>
      <c r="W138" s="3"/>
      <c r="X138" s="3"/>
      <c r="Y138" s="3"/>
      <c r="Z138" s="3"/>
    </row>
    <row r="139" hidden="1">
      <c r="A139" s="27" t="s">
        <v>951</v>
      </c>
      <c r="B139" s="29" t="s">
        <v>178</v>
      </c>
      <c r="C139" s="3"/>
      <c r="D139" s="3"/>
      <c r="E139" s="3"/>
      <c r="F139" s="3"/>
      <c r="G139" s="3"/>
      <c r="H139" s="3"/>
      <c r="I139" s="3"/>
      <c r="J139" s="3"/>
      <c r="K139" s="3"/>
      <c r="L139" s="3"/>
      <c r="M139" s="3"/>
      <c r="N139" s="3"/>
      <c r="O139" s="3"/>
      <c r="P139" s="3"/>
      <c r="Q139" s="3"/>
      <c r="R139" s="3"/>
      <c r="S139" s="3"/>
      <c r="T139" s="3"/>
      <c r="U139" s="3"/>
      <c r="V139" s="3"/>
      <c r="W139" s="3"/>
      <c r="X139" s="3"/>
      <c r="Y139" s="3"/>
      <c r="Z139" s="3"/>
    </row>
    <row r="140" hidden="1">
      <c r="A140" s="27" t="s">
        <v>958</v>
      </c>
      <c r="B140" s="29" t="s">
        <v>179</v>
      </c>
      <c r="C140" s="3"/>
      <c r="D140" s="3"/>
      <c r="E140" s="3"/>
      <c r="F140" s="3"/>
      <c r="G140" s="3"/>
      <c r="H140" s="3"/>
      <c r="I140" s="3"/>
      <c r="J140" s="3"/>
      <c r="K140" s="3"/>
      <c r="L140" s="3"/>
      <c r="M140" s="3"/>
      <c r="N140" s="3"/>
      <c r="O140" s="3"/>
      <c r="P140" s="3"/>
      <c r="Q140" s="3"/>
      <c r="R140" s="3"/>
      <c r="S140" s="3"/>
      <c r="T140" s="3"/>
      <c r="U140" s="3"/>
      <c r="V140" s="3"/>
      <c r="W140" s="3"/>
      <c r="X140" s="3"/>
      <c r="Y140" s="3"/>
      <c r="Z140" s="3"/>
    </row>
    <row r="141" hidden="1">
      <c r="A141" s="27" t="s">
        <v>963</v>
      </c>
      <c r="B141" s="29" t="s">
        <v>180</v>
      </c>
      <c r="C141" s="3"/>
      <c r="D141" s="3"/>
      <c r="E141" s="3"/>
      <c r="F141" s="3"/>
      <c r="G141" s="3"/>
      <c r="H141" s="3"/>
      <c r="I141" s="3"/>
      <c r="J141" s="3"/>
      <c r="K141" s="3"/>
      <c r="L141" s="3"/>
      <c r="M141" s="3"/>
      <c r="N141" s="3"/>
      <c r="O141" s="3"/>
      <c r="P141" s="3"/>
      <c r="Q141" s="3"/>
      <c r="R141" s="3"/>
      <c r="S141" s="3"/>
      <c r="T141" s="3"/>
      <c r="U141" s="3"/>
      <c r="V141" s="3"/>
      <c r="W141" s="3"/>
      <c r="X141" s="3"/>
      <c r="Y141" s="3"/>
      <c r="Z141" s="3"/>
    </row>
    <row r="142" hidden="1">
      <c r="A142" s="27" t="s">
        <v>969</v>
      </c>
      <c r="B142" s="29" t="s">
        <v>181</v>
      </c>
      <c r="C142" s="3"/>
      <c r="D142" s="3"/>
      <c r="E142" s="3"/>
      <c r="F142" s="3"/>
      <c r="G142" s="3"/>
      <c r="H142" s="3"/>
      <c r="I142" s="3"/>
      <c r="J142" s="3"/>
      <c r="K142" s="3"/>
      <c r="L142" s="3"/>
      <c r="M142" s="3"/>
      <c r="N142" s="3"/>
      <c r="O142" s="3"/>
      <c r="P142" s="3"/>
      <c r="Q142" s="3"/>
      <c r="R142" s="3"/>
      <c r="S142" s="3"/>
      <c r="T142" s="3"/>
      <c r="U142" s="3"/>
      <c r="V142" s="3"/>
      <c r="W142" s="3"/>
      <c r="X142" s="3"/>
      <c r="Y142" s="3"/>
      <c r="Z142" s="3"/>
    </row>
    <row r="143" hidden="1">
      <c r="A143" s="27" t="s">
        <v>976</v>
      </c>
      <c r="B143" s="29" t="s">
        <v>184</v>
      </c>
      <c r="C143" s="3"/>
      <c r="D143" s="3"/>
      <c r="E143" s="3"/>
      <c r="F143" s="3"/>
      <c r="G143" s="3"/>
      <c r="H143" s="3"/>
      <c r="I143" s="3"/>
      <c r="J143" s="3"/>
      <c r="K143" s="3"/>
      <c r="L143" s="3"/>
      <c r="M143" s="3"/>
      <c r="N143" s="3"/>
      <c r="O143" s="3"/>
      <c r="P143" s="3"/>
      <c r="Q143" s="3"/>
      <c r="R143" s="3"/>
      <c r="S143" s="3"/>
      <c r="T143" s="3"/>
      <c r="U143" s="3"/>
      <c r="V143" s="3"/>
      <c r="W143" s="3"/>
      <c r="X143" s="3"/>
      <c r="Y143" s="3"/>
      <c r="Z143" s="3"/>
    </row>
    <row r="144" hidden="1">
      <c r="A144" s="27" t="s">
        <v>982</v>
      </c>
      <c r="B144" s="29" t="s">
        <v>185</v>
      </c>
      <c r="C144" s="3"/>
      <c r="D144" s="3"/>
      <c r="E144" s="3"/>
      <c r="F144" s="3"/>
      <c r="G144" s="3"/>
      <c r="H144" s="3"/>
      <c r="I144" s="3"/>
      <c r="J144" s="3"/>
      <c r="K144" s="3"/>
      <c r="L144" s="3"/>
      <c r="M144" s="3"/>
      <c r="N144" s="3"/>
      <c r="O144" s="3"/>
      <c r="P144" s="3"/>
      <c r="Q144" s="3"/>
      <c r="R144" s="3"/>
      <c r="S144" s="3"/>
      <c r="T144" s="3"/>
      <c r="U144" s="3"/>
      <c r="V144" s="3"/>
      <c r="W144" s="3"/>
      <c r="X144" s="3"/>
      <c r="Y144" s="3"/>
      <c r="Z144" s="3"/>
    </row>
    <row r="145" hidden="1">
      <c r="A145" s="27" t="s">
        <v>990</v>
      </c>
      <c r="B145" s="29" t="s">
        <v>186</v>
      </c>
      <c r="C145" s="3"/>
      <c r="D145" s="3"/>
      <c r="E145" s="3"/>
      <c r="F145" s="3"/>
      <c r="G145" s="3"/>
      <c r="H145" s="3"/>
      <c r="I145" s="3"/>
      <c r="J145" s="3"/>
      <c r="K145" s="3"/>
      <c r="L145" s="3"/>
      <c r="M145" s="3"/>
      <c r="N145" s="3"/>
      <c r="O145" s="3"/>
      <c r="P145" s="3"/>
      <c r="Q145" s="3"/>
      <c r="R145" s="3"/>
      <c r="S145" s="3"/>
      <c r="T145" s="3"/>
      <c r="U145" s="3"/>
      <c r="V145" s="3"/>
      <c r="W145" s="3"/>
      <c r="X145" s="3"/>
      <c r="Y145" s="3"/>
      <c r="Z145" s="3"/>
    </row>
    <row r="146" hidden="1">
      <c r="A146" s="27" t="s">
        <v>997</v>
      </c>
      <c r="B146" s="29" t="s">
        <v>187</v>
      </c>
      <c r="C146" s="3"/>
      <c r="D146" s="3"/>
      <c r="E146" s="3"/>
      <c r="F146" s="3"/>
      <c r="G146" s="3"/>
      <c r="H146" s="3"/>
      <c r="I146" s="3"/>
      <c r="J146" s="3"/>
      <c r="K146" s="3"/>
      <c r="L146" s="3"/>
      <c r="M146" s="3"/>
      <c r="N146" s="3"/>
      <c r="O146" s="3"/>
      <c r="P146" s="3"/>
      <c r="Q146" s="3"/>
      <c r="R146" s="3"/>
      <c r="S146" s="3"/>
      <c r="T146" s="3"/>
      <c r="U146" s="3"/>
      <c r="V146" s="3"/>
      <c r="W146" s="3"/>
      <c r="X146" s="3"/>
      <c r="Y146" s="3"/>
      <c r="Z146" s="3"/>
    </row>
    <row r="147" hidden="1">
      <c r="A147" s="27" t="s">
        <v>1005</v>
      </c>
      <c r="B147" s="29" t="s">
        <v>189</v>
      </c>
      <c r="C147" s="3"/>
      <c r="D147" s="3"/>
      <c r="E147" s="3"/>
      <c r="F147" s="3"/>
      <c r="G147" s="3"/>
      <c r="H147" s="3"/>
      <c r="I147" s="3"/>
      <c r="J147" s="3"/>
      <c r="K147" s="3"/>
      <c r="L147" s="3"/>
      <c r="M147" s="3"/>
      <c r="N147" s="3"/>
      <c r="O147" s="3"/>
      <c r="P147" s="3"/>
      <c r="Q147" s="3"/>
      <c r="R147" s="3"/>
      <c r="S147" s="3"/>
      <c r="T147" s="3"/>
      <c r="U147" s="3"/>
      <c r="V147" s="3"/>
      <c r="W147" s="3"/>
      <c r="X147" s="3"/>
      <c r="Y147" s="3"/>
      <c r="Z147" s="3"/>
    </row>
    <row r="148" hidden="1">
      <c r="A148" s="27" t="s">
        <v>1011</v>
      </c>
      <c r="B148" s="29" t="s">
        <v>191</v>
      </c>
      <c r="C148" s="3"/>
      <c r="D148" s="3"/>
      <c r="E148" s="3"/>
      <c r="F148" s="3"/>
      <c r="G148" s="3"/>
      <c r="H148" s="3"/>
      <c r="I148" s="3"/>
      <c r="J148" s="3"/>
      <c r="K148" s="3"/>
      <c r="L148" s="3"/>
      <c r="M148" s="3"/>
      <c r="N148" s="3"/>
      <c r="O148" s="3"/>
      <c r="P148" s="3"/>
      <c r="Q148" s="3"/>
      <c r="R148" s="3"/>
      <c r="S148" s="3"/>
      <c r="T148" s="3"/>
      <c r="U148" s="3"/>
      <c r="V148" s="3"/>
      <c r="W148" s="3"/>
      <c r="X148" s="3"/>
      <c r="Y148" s="3"/>
      <c r="Z148" s="3"/>
    </row>
    <row r="149" hidden="1">
      <c r="A149" s="27" t="s">
        <v>1019</v>
      </c>
      <c r="B149" s="29" t="s">
        <v>192</v>
      </c>
      <c r="C149" s="3"/>
      <c r="D149" s="3"/>
      <c r="E149" s="3"/>
      <c r="F149" s="3"/>
      <c r="G149" s="3"/>
      <c r="H149" s="3"/>
      <c r="I149" s="3"/>
      <c r="J149" s="3"/>
      <c r="K149" s="3"/>
      <c r="L149" s="3"/>
      <c r="M149" s="3"/>
      <c r="N149" s="3"/>
      <c r="O149" s="3"/>
      <c r="P149" s="3"/>
      <c r="Q149" s="3"/>
      <c r="R149" s="3"/>
      <c r="S149" s="3"/>
      <c r="T149" s="3"/>
      <c r="U149" s="3"/>
      <c r="V149" s="3"/>
      <c r="W149" s="3"/>
      <c r="X149" s="3"/>
      <c r="Y149" s="3"/>
      <c r="Z149" s="3"/>
    </row>
    <row r="150" hidden="1">
      <c r="A150" s="27" t="s">
        <v>1027</v>
      </c>
      <c r="B150" s="29" t="s">
        <v>194</v>
      </c>
      <c r="C150" s="3"/>
      <c r="D150" s="3"/>
      <c r="E150" s="3"/>
      <c r="F150" s="3"/>
      <c r="G150" s="3"/>
      <c r="H150" s="3"/>
      <c r="I150" s="3"/>
      <c r="J150" s="3"/>
      <c r="K150" s="3"/>
      <c r="L150" s="3"/>
      <c r="M150" s="3"/>
      <c r="N150" s="3"/>
      <c r="O150" s="3"/>
      <c r="P150" s="3"/>
      <c r="Q150" s="3"/>
      <c r="R150" s="3"/>
      <c r="S150" s="3"/>
      <c r="T150" s="3"/>
      <c r="U150" s="3"/>
      <c r="V150" s="3"/>
      <c r="W150" s="3"/>
      <c r="X150" s="3"/>
      <c r="Y150" s="3"/>
      <c r="Z150" s="3"/>
    </row>
    <row r="151" hidden="1">
      <c r="A151" s="27" t="s">
        <v>1036</v>
      </c>
      <c r="B151" s="29" t="s">
        <v>195</v>
      </c>
      <c r="C151" s="3"/>
      <c r="D151" s="3"/>
      <c r="E151" s="3"/>
      <c r="F151" s="3"/>
      <c r="G151" s="3"/>
      <c r="H151" s="3"/>
      <c r="I151" s="3"/>
      <c r="J151" s="3"/>
      <c r="K151" s="3"/>
      <c r="L151" s="3"/>
      <c r="M151" s="3"/>
      <c r="N151" s="3"/>
      <c r="O151" s="3"/>
      <c r="P151" s="3"/>
      <c r="Q151" s="3"/>
      <c r="R151" s="3"/>
      <c r="S151" s="3"/>
      <c r="T151" s="3"/>
      <c r="U151" s="3"/>
      <c r="V151" s="3"/>
      <c r="W151" s="3"/>
      <c r="X151" s="3"/>
      <c r="Y151" s="3"/>
      <c r="Z151" s="3"/>
    </row>
    <row r="152" hidden="1">
      <c r="A152" s="27" t="s">
        <v>1044</v>
      </c>
      <c r="B152" s="29" t="s">
        <v>196</v>
      </c>
      <c r="C152" s="3"/>
      <c r="D152" s="3"/>
      <c r="E152" s="3"/>
      <c r="F152" s="3"/>
      <c r="G152" s="3"/>
      <c r="H152" s="3"/>
      <c r="I152" s="3"/>
      <c r="J152" s="3"/>
      <c r="K152" s="3"/>
      <c r="L152" s="3"/>
      <c r="M152" s="3"/>
      <c r="N152" s="3"/>
      <c r="O152" s="3"/>
      <c r="P152" s="3"/>
      <c r="Q152" s="3"/>
      <c r="R152" s="3"/>
      <c r="S152" s="3"/>
      <c r="T152" s="3"/>
      <c r="U152" s="3"/>
      <c r="V152" s="3"/>
      <c r="W152" s="3"/>
      <c r="X152" s="3"/>
      <c r="Y152" s="3"/>
      <c r="Z152" s="3"/>
    </row>
    <row r="153" hidden="1">
      <c r="A153" s="27" t="s">
        <v>1051</v>
      </c>
      <c r="B153" s="29" t="s">
        <v>197</v>
      </c>
      <c r="C153" s="3"/>
      <c r="D153" s="3"/>
      <c r="E153" s="3"/>
      <c r="F153" s="3"/>
      <c r="G153" s="3"/>
      <c r="H153" s="3"/>
      <c r="I153" s="3"/>
      <c r="J153" s="3"/>
      <c r="K153" s="3"/>
      <c r="L153" s="3"/>
      <c r="M153" s="3"/>
      <c r="N153" s="3"/>
      <c r="O153" s="3"/>
      <c r="P153" s="3"/>
      <c r="Q153" s="3"/>
      <c r="R153" s="3"/>
      <c r="S153" s="3"/>
      <c r="T153" s="3"/>
      <c r="U153" s="3"/>
      <c r="V153" s="3"/>
      <c r="W153" s="3"/>
      <c r="X153" s="3"/>
      <c r="Y153" s="3"/>
      <c r="Z153" s="3"/>
    </row>
    <row r="154" hidden="1">
      <c r="A154" s="27" t="s">
        <v>1059</v>
      </c>
      <c r="B154" s="29" t="s">
        <v>199</v>
      </c>
      <c r="C154" s="3"/>
      <c r="D154" s="3"/>
      <c r="E154" s="3"/>
      <c r="F154" s="3"/>
      <c r="G154" s="3"/>
      <c r="H154" s="3"/>
      <c r="I154" s="3"/>
      <c r="J154" s="3"/>
      <c r="K154" s="3"/>
      <c r="L154" s="3"/>
      <c r="M154" s="3"/>
      <c r="N154" s="3"/>
      <c r="O154" s="3"/>
      <c r="P154" s="3"/>
      <c r="Q154" s="3"/>
      <c r="R154" s="3"/>
      <c r="S154" s="3"/>
      <c r="T154" s="3"/>
      <c r="U154" s="3"/>
      <c r="V154" s="3"/>
      <c r="W154" s="3"/>
      <c r="X154" s="3"/>
      <c r="Y154" s="3"/>
      <c r="Z154" s="3"/>
    </row>
    <row r="155" hidden="1">
      <c r="A155" s="27" t="s">
        <v>1068</v>
      </c>
      <c r="B155" s="29" t="s">
        <v>200</v>
      </c>
      <c r="C155" s="3"/>
      <c r="D155" s="3"/>
      <c r="E155" s="3"/>
      <c r="F155" s="3"/>
      <c r="G155" s="3"/>
      <c r="H155" s="3"/>
      <c r="I155" s="3"/>
      <c r="J155" s="3"/>
      <c r="K155" s="3"/>
      <c r="L155" s="3"/>
      <c r="M155" s="3"/>
      <c r="N155" s="3"/>
      <c r="O155" s="3"/>
      <c r="P155" s="3"/>
      <c r="Q155" s="3"/>
      <c r="R155" s="3"/>
      <c r="S155" s="3"/>
      <c r="T155" s="3"/>
      <c r="U155" s="3"/>
      <c r="V155" s="3"/>
      <c r="W155" s="3"/>
      <c r="X155" s="3"/>
      <c r="Y155" s="3"/>
      <c r="Z155" s="3"/>
    </row>
    <row r="156" hidden="1">
      <c r="A156" s="27" t="s">
        <v>1077</v>
      </c>
      <c r="B156" s="29" t="s">
        <v>201</v>
      </c>
      <c r="C156" s="3"/>
      <c r="D156" s="3"/>
      <c r="E156" s="3"/>
      <c r="F156" s="3"/>
      <c r="G156" s="3"/>
      <c r="H156" s="3"/>
      <c r="I156" s="3"/>
      <c r="J156" s="3"/>
      <c r="K156" s="3"/>
      <c r="L156" s="3"/>
      <c r="M156" s="3"/>
      <c r="N156" s="3"/>
      <c r="O156" s="3"/>
      <c r="P156" s="3"/>
      <c r="Q156" s="3"/>
      <c r="R156" s="3"/>
      <c r="S156" s="3"/>
      <c r="T156" s="3"/>
      <c r="U156" s="3"/>
      <c r="V156" s="3"/>
      <c r="W156" s="3"/>
      <c r="X156" s="3"/>
      <c r="Y156" s="3"/>
      <c r="Z156" s="3"/>
    </row>
    <row r="157" hidden="1">
      <c r="A157" s="27" t="s">
        <v>1085</v>
      </c>
      <c r="B157" s="29" t="s">
        <v>202</v>
      </c>
      <c r="C157" s="3"/>
      <c r="D157" s="3"/>
      <c r="E157" s="3"/>
      <c r="F157" s="3"/>
      <c r="G157" s="3"/>
      <c r="H157" s="3"/>
      <c r="I157" s="3"/>
      <c r="J157" s="3"/>
      <c r="K157" s="3"/>
      <c r="L157" s="3"/>
      <c r="M157" s="3"/>
      <c r="N157" s="3"/>
      <c r="O157" s="3"/>
      <c r="P157" s="3"/>
      <c r="Q157" s="3"/>
      <c r="R157" s="3"/>
      <c r="S157" s="3"/>
      <c r="T157" s="3"/>
      <c r="U157" s="3"/>
      <c r="V157" s="3"/>
      <c r="W157" s="3"/>
      <c r="X157" s="3"/>
      <c r="Y157" s="3"/>
      <c r="Z157" s="3"/>
    </row>
    <row r="158" hidden="1">
      <c r="A158" s="27" t="s">
        <v>1094</v>
      </c>
      <c r="B158" s="29" t="s">
        <v>203</v>
      </c>
      <c r="C158" s="3"/>
      <c r="D158" s="3"/>
      <c r="E158" s="3"/>
      <c r="F158" s="3"/>
      <c r="G158" s="3"/>
      <c r="H158" s="3"/>
      <c r="I158" s="3"/>
      <c r="J158" s="3"/>
      <c r="K158" s="3"/>
      <c r="L158" s="3"/>
      <c r="M158" s="3"/>
      <c r="N158" s="3"/>
      <c r="O158" s="3"/>
      <c r="P158" s="3"/>
      <c r="Q158" s="3"/>
      <c r="R158" s="3"/>
      <c r="S158" s="3"/>
      <c r="T158" s="3"/>
      <c r="U158" s="3"/>
      <c r="V158" s="3"/>
      <c r="W158" s="3"/>
      <c r="X158" s="3"/>
      <c r="Y158" s="3"/>
      <c r="Z158" s="3"/>
    </row>
    <row r="159" hidden="1">
      <c r="A159" s="27" t="s">
        <v>1102</v>
      </c>
      <c r="B159" s="29" t="s">
        <v>205</v>
      </c>
      <c r="C159" s="3"/>
      <c r="D159" s="3"/>
      <c r="E159" s="3"/>
      <c r="F159" s="3"/>
      <c r="G159" s="3"/>
      <c r="H159" s="3"/>
      <c r="I159" s="3"/>
      <c r="J159" s="3"/>
      <c r="K159" s="3"/>
      <c r="L159" s="3"/>
      <c r="M159" s="3"/>
      <c r="N159" s="3"/>
      <c r="O159" s="3"/>
      <c r="P159" s="3"/>
      <c r="Q159" s="3"/>
      <c r="R159" s="3"/>
      <c r="S159" s="3"/>
      <c r="T159" s="3"/>
      <c r="U159" s="3"/>
      <c r="V159" s="3"/>
      <c r="W159" s="3"/>
      <c r="X159" s="3"/>
      <c r="Y159" s="3"/>
      <c r="Z159" s="3"/>
    </row>
    <row r="160" hidden="1">
      <c r="A160" s="27" t="s">
        <v>1111</v>
      </c>
      <c r="B160" s="29" t="s">
        <v>206</v>
      </c>
      <c r="C160" s="3"/>
      <c r="D160" s="3"/>
      <c r="E160" s="3"/>
      <c r="F160" s="3"/>
      <c r="G160" s="3"/>
      <c r="H160" s="3"/>
      <c r="I160" s="3"/>
      <c r="J160" s="3"/>
      <c r="K160" s="3"/>
      <c r="L160" s="3"/>
      <c r="M160" s="3"/>
      <c r="N160" s="3"/>
      <c r="O160" s="3"/>
      <c r="P160" s="3"/>
      <c r="Q160" s="3"/>
      <c r="R160" s="3"/>
      <c r="S160" s="3"/>
      <c r="T160" s="3"/>
      <c r="U160" s="3"/>
      <c r="V160" s="3"/>
      <c r="W160" s="3"/>
      <c r="X160" s="3"/>
      <c r="Y160" s="3"/>
      <c r="Z160" s="3"/>
    </row>
    <row r="161" hidden="1">
      <c r="A161" s="27" t="s">
        <v>1119</v>
      </c>
      <c r="B161" s="29" t="s">
        <v>207</v>
      </c>
      <c r="C161" s="3"/>
      <c r="D161" s="3"/>
      <c r="E161" s="3"/>
      <c r="F161" s="3"/>
      <c r="G161" s="3"/>
      <c r="H161" s="3"/>
      <c r="I161" s="3"/>
      <c r="J161" s="3"/>
      <c r="K161" s="3"/>
      <c r="L161" s="3"/>
      <c r="M161" s="3"/>
      <c r="N161" s="3"/>
      <c r="O161" s="3"/>
      <c r="P161" s="3"/>
      <c r="Q161" s="3"/>
      <c r="R161" s="3"/>
      <c r="S161" s="3"/>
      <c r="T161" s="3"/>
      <c r="U161" s="3"/>
      <c r="V161" s="3"/>
      <c r="W161" s="3"/>
      <c r="X161" s="3"/>
      <c r="Y161" s="3"/>
      <c r="Z161" s="3"/>
    </row>
    <row r="162" hidden="1">
      <c r="A162" s="27" t="s">
        <v>1128</v>
      </c>
      <c r="B162" s="29" t="s">
        <v>208</v>
      </c>
      <c r="C162" s="3"/>
      <c r="D162" s="3"/>
      <c r="E162" s="3"/>
      <c r="F162" s="3"/>
      <c r="G162" s="3"/>
      <c r="H162" s="3"/>
      <c r="I162" s="3"/>
      <c r="J162" s="3"/>
      <c r="K162" s="3"/>
      <c r="L162" s="3"/>
      <c r="M162" s="3"/>
      <c r="N162" s="3"/>
      <c r="O162" s="3"/>
      <c r="P162" s="3"/>
      <c r="Q162" s="3"/>
      <c r="R162" s="3"/>
      <c r="S162" s="3"/>
      <c r="T162" s="3"/>
      <c r="U162" s="3"/>
      <c r="V162" s="3"/>
      <c r="W162" s="3"/>
      <c r="X162" s="3"/>
      <c r="Y162" s="3"/>
      <c r="Z162" s="3"/>
    </row>
    <row r="163" hidden="1">
      <c r="A163" s="27" t="s">
        <v>1136</v>
      </c>
      <c r="B163" s="29" t="s">
        <v>210</v>
      </c>
      <c r="C163" s="3"/>
      <c r="D163" s="3"/>
      <c r="E163" s="3"/>
      <c r="F163" s="3"/>
      <c r="G163" s="3"/>
      <c r="H163" s="3"/>
      <c r="I163" s="3"/>
      <c r="J163" s="3"/>
      <c r="K163" s="3"/>
      <c r="L163" s="3"/>
      <c r="M163" s="3"/>
      <c r="N163" s="3"/>
      <c r="O163" s="3"/>
      <c r="P163" s="3"/>
      <c r="Q163" s="3"/>
      <c r="R163" s="3"/>
      <c r="S163" s="3"/>
      <c r="T163" s="3"/>
      <c r="U163" s="3"/>
      <c r="V163" s="3"/>
      <c r="W163" s="3"/>
      <c r="X163" s="3"/>
      <c r="Y163" s="3"/>
      <c r="Z163" s="3"/>
    </row>
    <row r="164" hidden="1">
      <c r="A164" s="27" t="s">
        <v>1144</v>
      </c>
      <c r="B164" s="29" t="s">
        <v>211</v>
      </c>
      <c r="C164" s="3"/>
      <c r="D164" s="3"/>
      <c r="E164" s="3"/>
      <c r="F164" s="3"/>
      <c r="G164" s="3"/>
      <c r="H164" s="3"/>
      <c r="I164" s="3"/>
      <c r="J164" s="3"/>
      <c r="K164" s="3"/>
      <c r="L164" s="3"/>
      <c r="M164" s="3"/>
      <c r="N164" s="3"/>
      <c r="O164" s="3"/>
      <c r="P164" s="3"/>
      <c r="Q164" s="3"/>
      <c r="R164" s="3"/>
      <c r="S164" s="3"/>
      <c r="T164" s="3"/>
      <c r="U164" s="3"/>
      <c r="V164" s="3"/>
      <c r="W164" s="3"/>
      <c r="X164" s="3"/>
      <c r="Y164" s="3"/>
      <c r="Z164" s="3"/>
    </row>
    <row r="165" hidden="1">
      <c r="A165" s="27" t="s">
        <v>1151</v>
      </c>
      <c r="B165" s="29" t="s">
        <v>213</v>
      </c>
      <c r="C165" s="3"/>
      <c r="D165" s="3"/>
      <c r="E165" s="3"/>
      <c r="F165" s="3"/>
      <c r="G165" s="3"/>
      <c r="H165" s="3"/>
      <c r="I165" s="3"/>
      <c r="J165" s="3"/>
      <c r="K165" s="3"/>
      <c r="L165" s="3"/>
      <c r="M165" s="3"/>
      <c r="N165" s="3"/>
      <c r="O165" s="3"/>
      <c r="P165" s="3"/>
      <c r="Q165" s="3"/>
      <c r="R165" s="3"/>
      <c r="S165" s="3"/>
      <c r="T165" s="3"/>
      <c r="U165" s="3"/>
      <c r="V165" s="3"/>
      <c r="W165" s="3"/>
      <c r="X165" s="3"/>
      <c r="Y165" s="3"/>
      <c r="Z165" s="3"/>
    </row>
    <row r="166" hidden="1">
      <c r="A166" s="27" t="s">
        <v>1158</v>
      </c>
      <c r="B166" s="29" t="s">
        <v>214</v>
      </c>
      <c r="C166" s="3"/>
      <c r="D166" s="3"/>
      <c r="E166" s="3"/>
      <c r="F166" s="3"/>
      <c r="G166" s="3"/>
      <c r="H166" s="3"/>
      <c r="I166" s="3"/>
      <c r="J166" s="3"/>
      <c r="K166" s="3"/>
      <c r="L166" s="3"/>
      <c r="M166" s="3"/>
      <c r="N166" s="3"/>
      <c r="O166" s="3"/>
      <c r="P166" s="3"/>
      <c r="Q166" s="3"/>
      <c r="R166" s="3"/>
      <c r="S166" s="3"/>
      <c r="T166" s="3"/>
      <c r="U166" s="3"/>
      <c r="V166" s="3"/>
      <c r="W166" s="3"/>
      <c r="X166" s="3"/>
      <c r="Y166" s="3"/>
      <c r="Z166" s="3"/>
    </row>
    <row r="167" hidden="1">
      <c r="A167" s="27" t="s">
        <v>1167</v>
      </c>
      <c r="B167" s="29" t="s">
        <v>216</v>
      </c>
      <c r="C167" s="3"/>
      <c r="D167" s="3"/>
      <c r="E167" s="3"/>
      <c r="F167" s="3"/>
      <c r="G167" s="3"/>
      <c r="H167" s="3"/>
      <c r="I167" s="3"/>
      <c r="J167" s="3"/>
      <c r="K167" s="3"/>
      <c r="L167" s="3"/>
      <c r="M167" s="3"/>
      <c r="N167" s="3"/>
      <c r="O167" s="3"/>
      <c r="P167" s="3"/>
      <c r="Q167" s="3"/>
      <c r="R167" s="3"/>
      <c r="S167" s="3"/>
      <c r="T167" s="3"/>
      <c r="U167" s="3"/>
      <c r="V167" s="3"/>
      <c r="W167" s="3"/>
      <c r="X167" s="3"/>
      <c r="Y167" s="3"/>
      <c r="Z167" s="3"/>
    </row>
    <row r="168" hidden="1">
      <c r="A168" s="27" t="s">
        <v>1175</v>
      </c>
      <c r="B168" s="29" t="s">
        <v>217</v>
      </c>
      <c r="C168" s="3"/>
      <c r="D168" s="3"/>
      <c r="E168" s="3"/>
      <c r="F168" s="3"/>
      <c r="G168" s="3"/>
      <c r="H168" s="3"/>
      <c r="I168" s="3"/>
      <c r="J168" s="3"/>
      <c r="K168" s="3"/>
      <c r="L168" s="3"/>
      <c r="M168" s="3"/>
      <c r="N168" s="3"/>
      <c r="O168" s="3"/>
      <c r="P168" s="3"/>
      <c r="Q168" s="3"/>
      <c r="R168" s="3"/>
      <c r="S168" s="3"/>
      <c r="T168" s="3"/>
      <c r="U168" s="3"/>
      <c r="V168" s="3"/>
      <c r="W168" s="3"/>
      <c r="X168" s="3"/>
      <c r="Y168" s="3"/>
      <c r="Z168" s="3"/>
    </row>
    <row r="169" hidden="1">
      <c r="A169" s="27" t="s">
        <v>1183</v>
      </c>
      <c r="B169" s="29" t="s">
        <v>218</v>
      </c>
      <c r="C169" s="3"/>
      <c r="D169" s="3"/>
      <c r="E169" s="3"/>
      <c r="F169" s="3"/>
      <c r="G169" s="3"/>
      <c r="H169" s="3"/>
      <c r="I169" s="3"/>
      <c r="J169" s="3"/>
      <c r="K169" s="3"/>
      <c r="L169" s="3"/>
      <c r="M169" s="3"/>
      <c r="N169" s="3"/>
      <c r="O169" s="3"/>
      <c r="P169" s="3"/>
      <c r="Q169" s="3"/>
      <c r="R169" s="3"/>
      <c r="S169" s="3"/>
      <c r="T169" s="3"/>
      <c r="U169" s="3"/>
      <c r="V169" s="3"/>
      <c r="W169" s="3"/>
      <c r="X169" s="3"/>
      <c r="Y169" s="3"/>
      <c r="Z169" s="3"/>
    </row>
    <row r="170" hidden="1">
      <c r="A170" s="27" t="s">
        <v>1191</v>
      </c>
      <c r="B170" s="29" t="s">
        <v>220</v>
      </c>
      <c r="C170" s="3"/>
      <c r="D170" s="3"/>
      <c r="E170" s="3"/>
      <c r="F170" s="3"/>
      <c r="G170" s="3"/>
      <c r="H170" s="3"/>
      <c r="I170" s="3"/>
      <c r="J170" s="3"/>
      <c r="K170" s="3"/>
      <c r="L170" s="3"/>
      <c r="M170" s="3"/>
      <c r="N170" s="3"/>
      <c r="O170" s="3"/>
      <c r="P170" s="3"/>
      <c r="Q170" s="3"/>
      <c r="R170" s="3"/>
      <c r="S170" s="3"/>
      <c r="T170" s="3"/>
      <c r="U170" s="3"/>
      <c r="V170" s="3"/>
      <c r="W170" s="3"/>
      <c r="X170" s="3"/>
      <c r="Y170" s="3"/>
      <c r="Z170" s="3"/>
    </row>
    <row r="171" hidden="1">
      <c r="A171" s="27" t="s">
        <v>1200</v>
      </c>
      <c r="B171" s="29" t="s">
        <v>221</v>
      </c>
      <c r="C171" s="3"/>
      <c r="D171" s="3"/>
      <c r="E171" s="3"/>
      <c r="F171" s="3"/>
      <c r="G171" s="3"/>
      <c r="H171" s="3"/>
      <c r="I171" s="3"/>
      <c r="J171" s="3"/>
      <c r="K171" s="3"/>
      <c r="L171" s="3"/>
      <c r="M171" s="3"/>
      <c r="N171" s="3"/>
      <c r="O171" s="3"/>
      <c r="P171" s="3"/>
      <c r="Q171" s="3"/>
      <c r="R171" s="3"/>
      <c r="S171" s="3"/>
      <c r="T171" s="3"/>
      <c r="U171" s="3"/>
      <c r="V171" s="3"/>
      <c r="W171" s="3"/>
      <c r="X171" s="3"/>
      <c r="Y171" s="3"/>
      <c r="Z171" s="3"/>
    </row>
    <row r="172" hidden="1">
      <c r="A172" s="27" t="s">
        <v>1208</v>
      </c>
      <c r="B172" s="29" t="s">
        <v>223</v>
      </c>
      <c r="C172" s="3"/>
      <c r="D172" s="3"/>
      <c r="E172" s="3"/>
      <c r="F172" s="3"/>
      <c r="G172" s="3"/>
      <c r="H172" s="3"/>
      <c r="I172" s="3"/>
      <c r="J172" s="3"/>
      <c r="K172" s="3"/>
      <c r="L172" s="3"/>
      <c r="M172" s="3"/>
      <c r="N172" s="3"/>
      <c r="O172" s="3"/>
      <c r="P172" s="3"/>
      <c r="Q172" s="3"/>
      <c r="R172" s="3"/>
      <c r="S172" s="3"/>
      <c r="T172" s="3"/>
      <c r="U172" s="3"/>
      <c r="V172" s="3"/>
      <c r="W172" s="3"/>
      <c r="X172" s="3"/>
      <c r="Y172" s="3"/>
      <c r="Z172" s="3"/>
    </row>
    <row r="173" hidden="1">
      <c r="A173" s="27" t="s">
        <v>1216</v>
      </c>
      <c r="B173" s="29" t="s">
        <v>224</v>
      </c>
      <c r="C173" s="3"/>
      <c r="D173" s="3"/>
      <c r="E173" s="3"/>
      <c r="F173" s="3"/>
      <c r="G173" s="3"/>
      <c r="H173" s="3"/>
      <c r="I173" s="3"/>
      <c r="J173" s="3"/>
      <c r="K173" s="3"/>
      <c r="L173" s="3"/>
      <c r="M173" s="3"/>
      <c r="N173" s="3"/>
      <c r="O173" s="3"/>
      <c r="P173" s="3"/>
      <c r="Q173" s="3"/>
      <c r="R173" s="3"/>
      <c r="S173" s="3"/>
      <c r="T173" s="3"/>
      <c r="U173" s="3"/>
      <c r="V173" s="3"/>
      <c r="W173" s="3"/>
      <c r="X173" s="3"/>
      <c r="Y173" s="3"/>
      <c r="Z173" s="3"/>
    </row>
    <row r="174" hidden="1">
      <c r="A174" s="27" t="s">
        <v>1223</v>
      </c>
      <c r="B174" s="29" t="s">
        <v>225</v>
      </c>
      <c r="C174" s="3"/>
      <c r="D174" s="3"/>
      <c r="E174" s="3"/>
      <c r="F174" s="3"/>
      <c r="G174" s="3"/>
      <c r="H174" s="3"/>
      <c r="I174" s="3"/>
      <c r="J174" s="3"/>
      <c r="K174" s="3"/>
      <c r="L174" s="3"/>
      <c r="M174" s="3"/>
      <c r="N174" s="3"/>
      <c r="O174" s="3"/>
      <c r="P174" s="3"/>
      <c r="Q174" s="3"/>
      <c r="R174" s="3"/>
      <c r="S174" s="3"/>
      <c r="T174" s="3"/>
      <c r="U174" s="3"/>
      <c r="V174" s="3"/>
      <c r="W174" s="3"/>
      <c r="X174" s="3"/>
      <c r="Y174" s="3"/>
      <c r="Z174" s="3"/>
    </row>
    <row r="175" hidden="1">
      <c r="A175" s="27" t="s">
        <v>1232</v>
      </c>
      <c r="B175" s="29" t="s">
        <v>226</v>
      </c>
      <c r="C175" s="3"/>
      <c r="D175" s="3"/>
      <c r="E175" s="3"/>
      <c r="F175" s="3"/>
      <c r="G175" s="3"/>
      <c r="H175" s="3"/>
      <c r="I175" s="3"/>
      <c r="J175" s="3"/>
      <c r="K175" s="3"/>
      <c r="L175" s="3"/>
      <c r="M175" s="3"/>
      <c r="N175" s="3"/>
      <c r="O175" s="3"/>
      <c r="P175" s="3"/>
      <c r="Q175" s="3"/>
      <c r="R175" s="3"/>
      <c r="S175" s="3"/>
      <c r="T175" s="3"/>
      <c r="U175" s="3"/>
      <c r="V175" s="3"/>
      <c r="W175" s="3"/>
      <c r="X175" s="3"/>
      <c r="Y175" s="3"/>
      <c r="Z175" s="3"/>
    </row>
    <row r="176" hidden="1">
      <c r="A176" s="27" t="s">
        <v>1240</v>
      </c>
      <c r="B176" s="29" t="s">
        <v>228</v>
      </c>
      <c r="C176" s="3"/>
      <c r="D176" s="3"/>
      <c r="E176" s="3"/>
      <c r="F176" s="3"/>
      <c r="G176" s="3"/>
      <c r="H176" s="3"/>
      <c r="I176" s="3"/>
      <c r="J176" s="3"/>
      <c r="K176" s="3"/>
      <c r="L176" s="3"/>
      <c r="M176" s="3"/>
      <c r="N176" s="3"/>
      <c r="O176" s="3"/>
      <c r="P176" s="3"/>
      <c r="Q176" s="3"/>
      <c r="R176" s="3"/>
      <c r="S176" s="3"/>
      <c r="T176" s="3"/>
      <c r="U176" s="3"/>
      <c r="V176" s="3"/>
      <c r="W176" s="3"/>
      <c r="X176" s="3"/>
      <c r="Y176" s="3"/>
      <c r="Z176" s="3"/>
    </row>
    <row r="177" hidden="1">
      <c r="A177" s="27" t="s">
        <v>1248</v>
      </c>
      <c r="B177" s="29" t="s">
        <v>229</v>
      </c>
      <c r="C177" s="3"/>
      <c r="D177" s="3"/>
      <c r="E177" s="3"/>
      <c r="F177" s="3"/>
      <c r="G177" s="3"/>
      <c r="H177" s="3"/>
      <c r="I177" s="3"/>
      <c r="J177" s="3"/>
      <c r="K177" s="3"/>
      <c r="L177" s="3"/>
      <c r="M177" s="3"/>
      <c r="N177" s="3"/>
      <c r="O177" s="3"/>
      <c r="P177" s="3"/>
      <c r="Q177" s="3"/>
      <c r="R177" s="3"/>
      <c r="S177" s="3"/>
      <c r="T177" s="3"/>
      <c r="U177" s="3"/>
      <c r="V177" s="3"/>
      <c r="W177" s="3"/>
      <c r="X177" s="3"/>
      <c r="Y177" s="3"/>
      <c r="Z177" s="3"/>
    </row>
    <row r="178" hidden="1">
      <c r="A178" s="27" t="s">
        <v>1259</v>
      </c>
      <c r="B178" s="29" t="s">
        <v>230</v>
      </c>
      <c r="C178" s="3"/>
      <c r="D178" s="3"/>
      <c r="E178" s="3"/>
      <c r="F178" s="3"/>
      <c r="G178" s="3"/>
      <c r="H178" s="3"/>
      <c r="I178" s="3"/>
      <c r="J178" s="3"/>
      <c r="K178" s="3"/>
      <c r="L178" s="3"/>
      <c r="M178" s="3"/>
      <c r="N178" s="3"/>
      <c r="O178" s="3"/>
      <c r="P178" s="3"/>
      <c r="Q178" s="3"/>
      <c r="R178" s="3"/>
      <c r="S178" s="3"/>
      <c r="T178" s="3"/>
      <c r="U178" s="3"/>
      <c r="V178" s="3"/>
      <c r="W178" s="3"/>
      <c r="X178" s="3"/>
      <c r="Y178" s="3"/>
      <c r="Z178" s="3"/>
    </row>
    <row r="179" hidden="1">
      <c r="A179" s="27" t="s">
        <v>1266</v>
      </c>
      <c r="B179" s="29" t="s">
        <v>231</v>
      </c>
      <c r="C179" s="3"/>
      <c r="D179" s="3"/>
      <c r="E179" s="3"/>
      <c r="F179" s="3"/>
      <c r="G179" s="3"/>
      <c r="H179" s="3"/>
      <c r="I179" s="3"/>
      <c r="J179" s="3"/>
      <c r="K179" s="3"/>
      <c r="L179" s="3"/>
      <c r="M179" s="3"/>
      <c r="N179" s="3"/>
      <c r="O179" s="3"/>
      <c r="P179" s="3"/>
      <c r="Q179" s="3"/>
      <c r="R179" s="3"/>
      <c r="S179" s="3"/>
      <c r="T179" s="3"/>
      <c r="U179" s="3"/>
      <c r="V179" s="3"/>
      <c r="W179" s="3"/>
      <c r="X179" s="3"/>
      <c r="Y179" s="3"/>
      <c r="Z179" s="3"/>
    </row>
    <row r="180" hidden="1">
      <c r="A180" s="27" t="s">
        <v>1274</v>
      </c>
      <c r="B180" s="29" t="s">
        <v>232</v>
      </c>
      <c r="C180" s="3"/>
      <c r="D180" s="3"/>
      <c r="E180" s="3"/>
      <c r="F180" s="3"/>
      <c r="G180" s="3"/>
      <c r="H180" s="3"/>
      <c r="I180" s="3"/>
      <c r="J180" s="3"/>
      <c r="K180" s="3"/>
      <c r="L180" s="3"/>
      <c r="M180" s="3"/>
      <c r="N180" s="3"/>
      <c r="O180" s="3"/>
      <c r="P180" s="3"/>
      <c r="Q180" s="3"/>
      <c r="R180" s="3"/>
      <c r="S180" s="3"/>
      <c r="T180" s="3"/>
      <c r="U180" s="3"/>
      <c r="V180" s="3"/>
      <c r="W180" s="3"/>
      <c r="X180" s="3"/>
      <c r="Y180" s="3"/>
      <c r="Z180" s="3"/>
    </row>
    <row r="181" hidden="1">
      <c r="A181" s="27" t="s">
        <v>1283</v>
      </c>
      <c r="B181" s="29" t="s">
        <v>234</v>
      </c>
      <c r="C181" s="3"/>
      <c r="D181" s="3"/>
      <c r="E181" s="3"/>
      <c r="F181" s="3"/>
      <c r="G181" s="3"/>
      <c r="H181" s="3"/>
      <c r="I181" s="3"/>
      <c r="J181" s="3"/>
      <c r="K181" s="3"/>
      <c r="L181" s="3"/>
      <c r="M181" s="3"/>
      <c r="N181" s="3"/>
      <c r="O181" s="3"/>
      <c r="P181" s="3"/>
      <c r="Q181" s="3"/>
      <c r="R181" s="3"/>
      <c r="S181" s="3"/>
      <c r="T181" s="3"/>
      <c r="U181" s="3"/>
      <c r="V181" s="3"/>
      <c r="W181" s="3"/>
      <c r="X181" s="3"/>
      <c r="Y181" s="3"/>
      <c r="Z181" s="3"/>
    </row>
    <row r="182" hidden="1">
      <c r="A182" s="27" t="s">
        <v>1291</v>
      </c>
      <c r="B182" s="29" t="s">
        <v>235</v>
      </c>
      <c r="C182" s="3"/>
      <c r="D182" s="3"/>
      <c r="E182" s="3"/>
      <c r="F182" s="3"/>
      <c r="G182" s="3"/>
      <c r="H182" s="3"/>
      <c r="I182" s="3"/>
      <c r="J182" s="3"/>
      <c r="K182" s="3"/>
      <c r="L182" s="3"/>
      <c r="M182" s="3"/>
      <c r="N182" s="3"/>
      <c r="O182" s="3"/>
      <c r="P182" s="3"/>
      <c r="Q182" s="3"/>
      <c r="R182" s="3"/>
      <c r="S182" s="3"/>
      <c r="T182" s="3"/>
      <c r="U182" s="3"/>
      <c r="V182" s="3"/>
      <c r="W182" s="3"/>
      <c r="X182" s="3"/>
      <c r="Y182" s="3"/>
      <c r="Z182" s="3"/>
    </row>
    <row r="183" hidden="1">
      <c r="A183" s="27" t="s">
        <v>1300</v>
      </c>
      <c r="B183" s="29" t="s">
        <v>236</v>
      </c>
      <c r="C183" s="3"/>
      <c r="D183" s="3"/>
      <c r="E183" s="3"/>
      <c r="F183" s="3"/>
      <c r="G183" s="3"/>
      <c r="H183" s="3"/>
      <c r="I183" s="3"/>
      <c r="J183" s="3"/>
      <c r="K183" s="3"/>
      <c r="L183" s="3"/>
      <c r="M183" s="3"/>
      <c r="N183" s="3"/>
      <c r="O183" s="3"/>
      <c r="P183" s="3"/>
      <c r="Q183" s="3"/>
      <c r="R183" s="3"/>
      <c r="S183" s="3"/>
      <c r="T183" s="3"/>
      <c r="U183" s="3"/>
      <c r="V183" s="3"/>
      <c r="W183" s="3"/>
      <c r="X183" s="3"/>
      <c r="Y183" s="3"/>
      <c r="Z183" s="3"/>
    </row>
    <row r="184" hidden="1">
      <c r="A184" s="27" t="s">
        <v>1308</v>
      </c>
      <c r="B184" s="29" t="s">
        <v>238</v>
      </c>
      <c r="C184" s="3"/>
      <c r="D184" s="3"/>
      <c r="E184" s="3"/>
      <c r="F184" s="3"/>
      <c r="G184" s="3"/>
      <c r="H184" s="3"/>
      <c r="I184" s="3"/>
      <c r="J184" s="3"/>
      <c r="K184" s="3"/>
      <c r="L184" s="3"/>
      <c r="M184" s="3"/>
      <c r="N184" s="3"/>
      <c r="O184" s="3"/>
      <c r="P184" s="3"/>
      <c r="Q184" s="3"/>
      <c r="R184" s="3"/>
      <c r="S184" s="3"/>
      <c r="T184" s="3"/>
      <c r="U184" s="3"/>
      <c r="V184" s="3"/>
      <c r="W184" s="3"/>
      <c r="X184" s="3"/>
      <c r="Y184" s="3"/>
      <c r="Z184" s="3"/>
    </row>
    <row r="185" hidden="1">
      <c r="A185" s="27" t="s">
        <v>1316</v>
      </c>
      <c r="B185" s="29" t="s">
        <v>240</v>
      </c>
      <c r="C185" s="3"/>
      <c r="D185" s="3"/>
      <c r="E185" s="3"/>
      <c r="F185" s="3"/>
      <c r="G185" s="3"/>
      <c r="H185" s="3"/>
      <c r="I185" s="3"/>
      <c r="J185" s="3"/>
      <c r="K185" s="3"/>
      <c r="L185" s="3"/>
      <c r="M185" s="3"/>
      <c r="N185" s="3"/>
      <c r="O185" s="3"/>
      <c r="P185" s="3"/>
      <c r="Q185" s="3"/>
      <c r="R185" s="3"/>
      <c r="S185" s="3"/>
      <c r="T185" s="3"/>
      <c r="U185" s="3"/>
      <c r="V185" s="3"/>
      <c r="W185" s="3"/>
      <c r="X185" s="3"/>
      <c r="Y185" s="3"/>
      <c r="Z185" s="3"/>
    </row>
    <row r="186" hidden="1">
      <c r="A186" s="27" t="s">
        <v>1325</v>
      </c>
      <c r="B186" s="29" t="s">
        <v>241</v>
      </c>
      <c r="C186" s="3"/>
      <c r="D186" s="3"/>
      <c r="E186" s="3"/>
      <c r="F186" s="3"/>
      <c r="G186" s="3"/>
      <c r="H186" s="3"/>
      <c r="I186" s="3"/>
      <c r="J186" s="3"/>
      <c r="K186" s="3"/>
      <c r="L186" s="3"/>
      <c r="M186" s="3"/>
      <c r="N186" s="3"/>
      <c r="O186" s="3"/>
      <c r="P186" s="3"/>
      <c r="Q186" s="3"/>
      <c r="R186" s="3"/>
      <c r="S186" s="3"/>
      <c r="T186" s="3"/>
      <c r="U186" s="3"/>
      <c r="V186" s="3"/>
      <c r="W186" s="3"/>
      <c r="X186" s="3"/>
      <c r="Y186" s="3"/>
      <c r="Z186" s="3"/>
    </row>
    <row r="187" hidden="1">
      <c r="A187" s="27" t="s">
        <v>1333</v>
      </c>
      <c r="B187" s="29" t="s">
        <v>242</v>
      </c>
      <c r="C187" s="3"/>
      <c r="D187" s="3"/>
      <c r="E187" s="3"/>
      <c r="F187" s="3"/>
      <c r="G187" s="3"/>
      <c r="H187" s="3"/>
      <c r="I187" s="3"/>
      <c r="J187" s="3"/>
      <c r="K187" s="3"/>
      <c r="L187" s="3"/>
      <c r="M187" s="3"/>
      <c r="N187" s="3"/>
      <c r="O187" s="3"/>
      <c r="P187" s="3"/>
      <c r="Q187" s="3"/>
      <c r="R187" s="3"/>
      <c r="S187" s="3"/>
      <c r="T187" s="3"/>
      <c r="U187" s="3"/>
      <c r="V187" s="3"/>
      <c r="W187" s="3"/>
      <c r="X187" s="3"/>
      <c r="Y187" s="3"/>
      <c r="Z187" s="3"/>
    </row>
    <row r="188" hidden="1">
      <c r="A188" s="27" t="s">
        <v>1341</v>
      </c>
      <c r="B188" s="29" t="s">
        <v>243</v>
      </c>
      <c r="C188" s="3"/>
      <c r="D188" s="3"/>
      <c r="E188" s="3"/>
      <c r="F188" s="3"/>
      <c r="G188" s="3"/>
      <c r="H188" s="3"/>
      <c r="I188" s="3"/>
      <c r="J188" s="3"/>
      <c r="K188" s="3"/>
      <c r="L188" s="3"/>
      <c r="M188" s="3"/>
      <c r="N188" s="3"/>
      <c r="O188" s="3"/>
      <c r="P188" s="3"/>
      <c r="Q188" s="3"/>
      <c r="R188" s="3"/>
      <c r="S188" s="3"/>
      <c r="T188" s="3"/>
      <c r="U188" s="3"/>
      <c r="V188" s="3"/>
      <c r="W188" s="3"/>
      <c r="X188" s="3"/>
      <c r="Y188" s="3"/>
      <c r="Z188" s="3"/>
    </row>
    <row r="189" hidden="1">
      <c r="A189" s="27" t="s">
        <v>1350</v>
      </c>
      <c r="B189" s="29" t="s">
        <v>244</v>
      </c>
      <c r="C189" s="3"/>
      <c r="D189" s="3"/>
      <c r="E189" s="3"/>
      <c r="F189" s="3"/>
      <c r="G189" s="3"/>
      <c r="H189" s="3"/>
      <c r="I189" s="3"/>
      <c r="J189" s="3"/>
      <c r="K189" s="3"/>
      <c r="L189" s="3"/>
      <c r="M189" s="3"/>
      <c r="N189" s="3"/>
      <c r="O189" s="3"/>
      <c r="P189" s="3"/>
      <c r="Q189" s="3"/>
      <c r="R189" s="3"/>
      <c r="S189" s="3"/>
      <c r="T189" s="3"/>
      <c r="U189" s="3"/>
      <c r="V189" s="3"/>
      <c r="W189" s="3"/>
      <c r="X189" s="3"/>
      <c r="Y189" s="3"/>
      <c r="Z189" s="3"/>
    </row>
    <row r="190" hidden="1">
      <c r="A190" s="27" t="s">
        <v>1357</v>
      </c>
      <c r="B190" s="29" t="s">
        <v>245</v>
      </c>
      <c r="C190" s="3"/>
      <c r="D190" s="3"/>
      <c r="E190" s="3"/>
      <c r="F190" s="3"/>
      <c r="G190" s="3"/>
      <c r="H190" s="3"/>
      <c r="I190" s="3"/>
      <c r="J190" s="3"/>
      <c r="K190" s="3"/>
      <c r="L190" s="3"/>
      <c r="M190" s="3"/>
      <c r="N190" s="3"/>
      <c r="O190" s="3"/>
      <c r="P190" s="3"/>
      <c r="Q190" s="3"/>
      <c r="R190" s="3"/>
      <c r="S190" s="3"/>
      <c r="T190" s="3"/>
      <c r="U190" s="3"/>
      <c r="V190" s="3"/>
      <c r="W190" s="3"/>
      <c r="X190" s="3"/>
      <c r="Y190" s="3"/>
      <c r="Z190" s="3"/>
    </row>
    <row r="191" hidden="1">
      <c r="A191" s="27" t="s">
        <v>1360</v>
      </c>
      <c r="B191" s="29" t="s">
        <v>246</v>
      </c>
      <c r="C191" s="3"/>
      <c r="D191" s="3"/>
      <c r="E191" s="3"/>
      <c r="F191" s="3"/>
      <c r="G191" s="3"/>
      <c r="H191" s="3"/>
      <c r="I191" s="3"/>
      <c r="J191" s="3"/>
      <c r="K191" s="3"/>
      <c r="L191" s="3"/>
      <c r="M191" s="3"/>
      <c r="N191" s="3"/>
      <c r="O191" s="3"/>
      <c r="P191" s="3"/>
      <c r="Q191" s="3"/>
      <c r="R191" s="3"/>
      <c r="S191" s="3"/>
      <c r="T191" s="3"/>
      <c r="U191" s="3"/>
      <c r="V191" s="3"/>
      <c r="W191" s="3"/>
      <c r="X191" s="3"/>
      <c r="Y191" s="3"/>
      <c r="Z191" s="3"/>
    </row>
    <row r="192" hidden="1">
      <c r="A192" s="27" t="s">
        <v>1365</v>
      </c>
      <c r="B192" s="29" t="s">
        <v>248</v>
      </c>
      <c r="C192" s="3"/>
      <c r="D192" s="3"/>
      <c r="E192" s="3"/>
      <c r="F192" s="3"/>
      <c r="G192" s="3"/>
      <c r="H192" s="3"/>
      <c r="I192" s="3"/>
      <c r="J192" s="3"/>
      <c r="K192" s="3"/>
      <c r="L192" s="3"/>
      <c r="M192" s="3"/>
      <c r="N192" s="3"/>
      <c r="O192" s="3"/>
      <c r="P192" s="3"/>
      <c r="Q192" s="3"/>
      <c r="R192" s="3"/>
      <c r="S192" s="3"/>
      <c r="T192" s="3"/>
      <c r="U192" s="3"/>
      <c r="V192" s="3"/>
      <c r="W192" s="3"/>
      <c r="X192" s="3"/>
      <c r="Y192" s="3"/>
      <c r="Z192" s="3"/>
    </row>
    <row r="193" hidden="1">
      <c r="A193" s="27" t="s">
        <v>1372</v>
      </c>
      <c r="B193" s="29" t="s">
        <v>249</v>
      </c>
      <c r="C193" s="3"/>
      <c r="D193" s="3"/>
      <c r="E193" s="3"/>
      <c r="F193" s="3"/>
      <c r="G193" s="3"/>
      <c r="H193" s="3"/>
      <c r="I193" s="3"/>
      <c r="J193" s="3"/>
      <c r="K193" s="3"/>
      <c r="L193" s="3"/>
      <c r="M193" s="3"/>
      <c r="N193" s="3"/>
      <c r="O193" s="3"/>
      <c r="P193" s="3"/>
      <c r="Q193" s="3"/>
      <c r="R193" s="3"/>
      <c r="S193" s="3"/>
      <c r="T193" s="3"/>
      <c r="U193" s="3"/>
      <c r="V193" s="3"/>
      <c r="W193" s="3"/>
      <c r="X193" s="3"/>
      <c r="Y193" s="3"/>
      <c r="Z193" s="3"/>
    </row>
    <row r="194" hidden="1">
      <c r="A194" s="27" t="s">
        <v>1381</v>
      </c>
      <c r="B194" s="29" t="s">
        <v>251</v>
      </c>
      <c r="C194" s="3"/>
      <c r="D194" s="3"/>
      <c r="E194" s="3"/>
      <c r="F194" s="3"/>
      <c r="G194" s="3"/>
      <c r="H194" s="3"/>
      <c r="I194" s="3"/>
      <c r="J194" s="3"/>
      <c r="K194" s="3"/>
      <c r="L194" s="3"/>
      <c r="M194" s="3"/>
      <c r="N194" s="3"/>
      <c r="O194" s="3"/>
      <c r="P194" s="3"/>
      <c r="Q194" s="3"/>
      <c r="R194" s="3"/>
      <c r="S194" s="3"/>
      <c r="T194" s="3"/>
      <c r="U194" s="3"/>
      <c r="V194" s="3"/>
      <c r="W194" s="3"/>
      <c r="X194" s="3"/>
      <c r="Y194" s="3"/>
      <c r="Z194" s="3"/>
    </row>
    <row r="195" hidden="1">
      <c r="A195" s="27" t="s">
        <v>1389</v>
      </c>
      <c r="B195" s="29" t="s">
        <v>252</v>
      </c>
      <c r="C195" s="3"/>
      <c r="D195" s="3"/>
      <c r="E195" s="3"/>
      <c r="F195" s="3"/>
      <c r="G195" s="3"/>
      <c r="H195" s="3"/>
      <c r="I195" s="3"/>
      <c r="J195" s="3"/>
      <c r="K195" s="3"/>
      <c r="L195" s="3"/>
      <c r="M195" s="3"/>
      <c r="N195" s="3"/>
      <c r="O195" s="3"/>
      <c r="P195" s="3"/>
      <c r="Q195" s="3"/>
      <c r="R195" s="3"/>
      <c r="S195" s="3"/>
      <c r="T195" s="3"/>
      <c r="U195" s="3"/>
      <c r="V195" s="3"/>
      <c r="W195" s="3"/>
      <c r="X195" s="3"/>
      <c r="Y195" s="3"/>
      <c r="Z195" s="3"/>
    </row>
    <row r="196" hidden="1">
      <c r="A196" s="27" t="s">
        <v>1398</v>
      </c>
      <c r="B196" s="29" t="s">
        <v>253</v>
      </c>
      <c r="C196" s="3"/>
      <c r="D196" s="3"/>
      <c r="E196" s="3"/>
      <c r="F196" s="3"/>
      <c r="G196" s="3"/>
      <c r="H196" s="3"/>
      <c r="I196" s="3"/>
      <c r="J196" s="3"/>
      <c r="K196" s="3"/>
      <c r="L196" s="3"/>
      <c r="M196" s="3"/>
      <c r="N196" s="3"/>
      <c r="O196" s="3"/>
      <c r="P196" s="3"/>
      <c r="Q196" s="3"/>
      <c r="R196" s="3"/>
      <c r="S196" s="3"/>
      <c r="T196" s="3"/>
      <c r="U196" s="3"/>
      <c r="V196" s="3"/>
      <c r="W196" s="3"/>
      <c r="X196" s="3"/>
      <c r="Y196" s="3"/>
      <c r="Z196" s="3"/>
    </row>
    <row r="197" hidden="1">
      <c r="A197" s="27" t="s">
        <v>1406</v>
      </c>
      <c r="B197" s="29" t="s">
        <v>254</v>
      </c>
      <c r="C197" s="3"/>
      <c r="D197" s="3"/>
      <c r="E197" s="3"/>
      <c r="F197" s="3"/>
      <c r="G197" s="3"/>
      <c r="H197" s="3"/>
      <c r="I197" s="3"/>
      <c r="J197" s="3"/>
      <c r="K197" s="3"/>
      <c r="L197" s="3"/>
      <c r="M197" s="3"/>
      <c r="N197" s="3"/>
      <c r="O197" s="3"/>
      <c r="P197" s="3"/>
      <c r="Q197" s="3"/>
      <c r="R197" s="3"/>
      <c r="S197" s="3"/>
      <c r="T197" s="3"/>
      <c r="U197" s="3"/>
      <c r="V197" s="3"/>
      <c r="W197" s="3"/>
      <c r="X197" s="3"/>
      <c r="Y197" s="3"/>
      <c r="Z197" s="3"/>
    </row>
    <row r="198" hidden="1">
      <c r="A198" s="27" t="s">
        <v>1415</v>
      </c>
      <c r="B198" s="29" t="s">
        <v>255</v>
      </c>
      <c r="C198" s="3"/>
      <c r="D198" s="3"/>
      <c r="E198" s="3"/>
      <c r="F198" s="3"/>
      <c r="G198" s="3"/>
      <c r="H198" s="3"/>
      <c r="I198" s="3"/>
      <c r="J198" s="3"/>
      <c r="K198" s="3"/>
      <c r="L198" s="3"/>
      <c r="M198" s="3"/>
      <c r="N198" s="3"/>
      <c r="O198" s="3"/>
      <c r="P198" s="3"/>
      <c r="Q198" s="3"/>
      <c r="R198" s="3"/>
      <c r="S198" s="3"/>
      <c r="T198" s="3"/>
      <c r="U198" s="3"/>
      <c r="V198" s="3"/>
      <c r="W198" s="3"/>
      <c r="X198" s="3"/>
      <c r="Y198" s="3"/>
      <c r="Z198" s="3"/>
    </row>
    <row r="199" hidden="1">
      <c r="A199" s="27" t="s">
        <v>1421</v>
      </c>
      <c r="B199" s="29" t="s">
        <v>257</v>
      </c>
      <c r="C199" s="3"/>
      <c r="D199" s="3"/>
      <c r="E199" s="3"/>
      <c r="F199" s="3"/>
      <c r="G199" s="3"/>
      <c r="H199" s="3"/>
      <c r="I199" s="3"/>
      <c r="J199" s="3"/>
      <c r="K199" s="3"/>
      <c r="L199" s="3"/>
      <c r="M199" s="3"/>
      <c r="N199" s="3"/>
      <c r="O199" s="3"/>
      <c r="P199" s="3"/>
      <c r="Q199" s="3"/>
      <c r="R199" s="3"/>
      <c r="S199" s="3"/>
      <c r="T199" s="3"/>
      <c r="U199" s="3"/>
      <c r="V199" s="3"/>
      <c r="W199" s="3"/>
      <c r="X199" s="3"/>
      <c r="Y199" s="3"/>
      <c r="Z199" s="3"/>
    </row>
    <row r="200" hidden="1">
      <c r="A200" s="27" t="s">
        <v>1427</v>
      </c>
      <c r="B200" s="29" t="s">
        <v>258</v>
      </c>
      <c r="C200" s="3"/>
      <c r="D200" s="3"/>
      <c r="E200" s="3"/>
      <c r="F200" s="3"/>
      <c r="G200" s="3"/>
      <c r="H200" s="3"/>
      <c r="I200" s="3"/>
      <c r="J200" s="3"/>
      <c r="K200" s="3"/>
      <c r="L200" s="3"/>
      <c r="M200" s="3"/>
      <c r="N200" s="3"/>
      <c r="O200" s="3"/>
      <c r="P200" s="3"/>
      <c r="Q200" s="3"/>
      <c r="R200" s="3"/>
      <c r="S200" s="3"/>
      <c r="T200" s="3"/>
      <c r="U200" s="3"/>
      <c r="V200" s="3"/>
      <c r="W200" s="3"/>
      <c r="X200" s="3"/>
      <c r="Y200" s="3"/>
      <c r="Z200" s="3"/>
    </row>
    <row r="201" hidden="1">
      <c r="A201" s="27" t="s">
        <v>1435</v>
      </c>
      <c r="B201" s="29" t="s">
        <v>259</v>
      </c>
      <c r="C201" s="3"/>
      <c r="D201" s="3"/>
      <c r="E201" s="3"/>
      <c r="F201" s="3"/>
      <c r="G201" s="3"/>
      <c r="H201" s="3"/>
      <c r="I201" s="3"/>
      <c r="J201" s="3"/>
      <c r="K201" s="3"/>
      <c r="L201" s="3"/>
      <c r="M201" s="3"/>
      <c r="N201" s="3"/>
      <c r="O201" s="3"/>
      <c r="P201" s="3"/>
      <c r="Q201" s="3"/>
      <c r="R201" s="3"/>
      <c r="S201" s="3"/>
      <c r="T201" s="3"/>
      <c r="U201" s="3"/>
      <c r="V201" s="3"/>
      <c r="W201" s="3"/>
      <c r="X201" s="3"/>
      <c r="Y201" s="3"/>
      <c r="Z201" s="3"/>
    </row>
    <row r="202" hidden="1">
      <c r="A202" s="27" t="s">
        <v>1444</v>
      </c>
      <c r="B202" s="29" t="s">
        <v>260</v>
      </c>
      <c r="C202" s="3"/>
      <c r="D202" s="3"/>
      <c r="E202" s="3"/>
      <c r="F202" s="3"/>
      <c r="G202" s="3"/>
      <c r="H202" s="3"/>
      <c r="I202" s="3"/>
      <c r="J202" s="3"/>
      <c r="K202" s="3"/>
      <c r="L202" s="3"/>
      <c r="M202" s="3"/>
      <c r="N202" s="3"/>
      <c r="O202" s="3"/>
      <c r="P202" s="3"/>
      <c r="Q202" s="3"/>
      <c r="R202" s="3"/>
      <c r="S202" s="3"/>
      <c r="T202" s="3"/>
      <c r="U202" s="3"/>
      <c r="V202" s="3"/>
      <c r="W202" s="3"/>
      <c r="X202" s="3"/>
      <c r="Y202" s="3"/>
      <c r="Z202" s="3"/>
    </row>
    <row r="203" hidden="1">
      <c r="A203" s="27" t="s">
        <v>1452</v>
      </c>
      <c r="B203" s="29" t="s">
        <v>261</v>
      </c>
      <c r="C203" s="3"/>
      <c r="D203" s="3"/>
      <c r="E203" s="3"/>
      <c r="F203" s="3"/>
      <c r="G203" s="3"/>
      <c r="H203" s="3"/>
      <c r="I203" s="3"/>
      <c r="J203" s="3"/>
      <c r="K203" s="3"/>
      <c r="L203" s="3"/>
      <c r="M203" s="3"/>
      <c r="N203" s="3"/>
      <c r="O203" s="3"/>
      <c r="P203" s="3"/>
      <c r="Q203" s="3"/>
      <c r="R203" s="3"/>
      <c r="S203" s="3"/>
      <c r="T203" s="3"/>
      <c r="U203" s="3"/>
      <c r="V203" s="3"/>
      <c r="W203" s="3"/>
      <c r="X203" s="3"/>
      <c r="Y203" s="3"/>
      <c r="Z203" s="3"/>
    </row>
    <row r="204" hidden="1">
      <c r="A204" s="27" t="s">
        <v>1459</v>
      </c>
      <c r="B204" s="29" t="s">
        <v>262</v>
      </c>
      <c r="C204" s="3"/>
      <c r="D204" s="3"/>
      <c r="E204" s="3"/>
      <c r="F204" s="3"/>
      <c r="G204" s="3"/>
      <c r="H204" s="3"/>
      <c r="I204" s="3"/>
      <c r="J204" s="3"/>
      <c r="K204" s="3"/>
      <c r="L204" s="3"/>
      <c r="M204" s="3"/>
      <c r="N204" s="3"/>
      <c r="O204" s="3"/>
      <c r="P204" s="3"/>
      <c r="Q204" s="3"/>
      <c r="R204" s="3"/>
      <c r="S204" s="3"/>
      <c r="T204" s="3"/>
      <c r="U204" s="3"/>
      <c r="V204" s="3"/>
      <c r="W204" s="3"/>
      <c r="X204" s="3"/>
      <c r="Y204" s="3"/>
      <c r="Z204" s="3"/>
    </row>
    <row r="205" hidden="1">
      <c r="A205" s="27" t="s">
        <v>1464</v>
      </c>
      <c r="B205" s="29" t="s">
        <v>264</v>
      </c>
      <c r="C205" s="3"/>
      <c r="D205" s="3"/>
      <c r="E205" s="3"/>
      <c r="F205" s="3"/>
      <c r="G205" s="3"/>
      <c r="H205" s="3"/>
      <c r="I205" s="3"/>
      <c r="J205" s="3"/>
      <c r="K205" s="3"/>
      <c r="L205" s="3"/>
      <c r="M205" s="3"/>
      <c r="N205" s="3"/>
      <c r="O205" s="3"/>
      <c r="P205" s="3"/>
      <c r="Q205" s="3"/>
      <c r="R205" s="3"/>
      <c r="S205" s="3"/>
      <c r="T205" s="3"/>
      <c r="U205" s="3"/>
      <c r="V205" s="3"/>
      <c r="W205" s="3"/>
      <c r="X205" s="3"/>
      <c r="Y205" s="3"/>
      <c r="Z205" s="3"/>
    </row>
    <row r="206" hidden="1">
      <c r="A206" s="27" t="s">
        <v>1471</v>
      </c>
      <c r="B206" s="29" t="s">
        <v>265</v>
      </c>
      <c r="C206" s="3"/>
      <c r="D206" s="3"/>
      <c r="E206" s="3"/>
      <c r="F206" s="3"/>
      <c r="G206" s="3"/>
      <c r="H206" s="3"/>
      <c r="I206" s="3"/>
      <c r="J206" s="3"/>
      <c r="K206" s="3"/>
      <c r="L206" s="3"/>
      <c r="M206" s="3"/>
      <c r="N206" s="3"/>
      <c r="O206" s="3"/>
      <c r="P206" s="3"/>
      <c r="Q206" s="3"/>
      <c r="R206" s="3"/>
      <c r="S206" s="3"/>
      <c r="T206" s="3"/>
      <c r="U206" s="3"/>
      <c r="V206" s="3"/>
      <c r="W206" s="3"/>
      <c r="X206" s="3"/>
      <c r="Y206" s="3"/>
      <c r="Z206" s="3"/>
    </row>
    <row r="207" hidden="1">
      <c r="A207" s="27" t="s">
        <v>1477</v>
      </c>
      <c r="B207" s="29" t="s">
        <v>266</v>
      </c>
      <c r="C207" s="3"/>
      <c r="D207" s="3"/>
      <c r="E207" s="3"/>
      <c r="F207" s="3"/>
      <c r="G207" s="3"/>
      <c r="H207" s="3"/>
      <c r="I207" s="3"/>
      <c r="J207" s="3"/>
      <c r="K207" s="3"/>
      <c r="L207" s="3"/>
      <c r="M207" s="3"/>
      <c r="N207" s="3"/>
      <c r="O207" s="3"/>
      <c r="P207" s="3"/>
      <c r="Q207" s="3"/>
      <c r="R207" s="3"/>
      <c r="S207" s="3"/>
      <c r="T207" s="3"/>
      <c r="U207" s="3"/>
      <c r="V207" s="3"/>
      <c r="W207" s="3"/>
      <c r="X207" s="3"/>
      <c r="Y207" s="3"/>
      <c r="Z207" s="3"/>
    </row>
    <row r="208" hidden="1">
      <c r="A208" s="27" t="s">
        <v>1482</v>
      </c>
      <c r="B208" s="29" t="s">
        <v>267</v>
      </c>
      <c r="C208" s="3"/>
      <c r="D208" s="3"/>
      <c r="E208" s="3"/>
      <c r="F208" s="3"/>
      <c r="G208" s="3"/>
      <c r="H208" s="3"/>
      <c r="I208" s="3"/>
      <c r="J208" s="3"/>
      <c r="K208" s="3"/>
      <c r="L208" s="3"/>
      <c r="M208" s="3"/>
      <c r="N208" s="3"/>
      <c r="O208" s="3"/>
      <c r="P208" s="3"/>
      <c r="Q208" s="3"/>
      <c r="R208" s="3"/>
      <c r="S208" s="3"/>
      <c r="T208" s="3"/>
      <c r="U208" s="3"/>
      <c r="V208" s="3"/>
      <c r="W208" s="3"/>
      <c r="X208" s="3"/>
      <c r="Y208" s="3"/>
      <c r="Z208" s="3"/>
    </row>
    <row r="209" hidden="1">
      <c r="A209" s="27" t="s">
        <v>1489</v>
      </c>
      <c r="B209" s="29" t="s">
        <v>268</v>
      </c>
      <c r="C209" s="3"/>
      <c r="D209" s="3"/>
      <c r="E209" s="3"/>
      <c r="F209" s="3"/>
      <c r="G209" s="3"/>
      <c r="H209" s="3"/>
      <c r="I209" s="3"/>
      <c r="J209" s="3"/>
      <c r="K209" s="3"/>
      <c r="L209" s="3"/>
      <c r="M209" s="3"/>
      <c r="N209" s="3"/>
      <c r="O209" s="3"/>
      <c r="P209" s="3"/>
      <c r="Q209" s="3"/>
      <c r="R209" s="3"/>
      <c r="S209" s="3"/>
      <c r="T209" s="3"/>
      <c r="U209" s="3"/>
      <c r="V209" s="3"/>
      <c r="W209" s="3"/>
      <c r="X209" s="3"/>
      <c r="Y209" s="3"/>
      <c r="Z209" s="3"/>
    </row>
    <row r="210" hidden="1">
      <c r="A210" s="27" t="s">
        <v>1494</v>
      </c>
      <c r="B210" s="29" t="s">
        <v>269</v>
      </c>
      <c r="C210" s="3"/>
      <c r="D210" s="3"/>
      <c r="E210" s="3"/>
      <c r="F210" s="3"/>
      <c r="G210" s="3"/>
      <c r="H210" s="3"/>
      <c r="I210" s="3"/>
      <c r="J210" s="3"/>
      <c r="K210" s="3"/>
      <c r="L210" s="3"/>
      <c r="M210" s="3"/>
      <c r="N210" s="3"/>
      <c r="O210" s="3"/>
      <c r="P210" s="3"/>
      <c r="Q210" s="3"/>
      <c r="R210" s="3"/>
      <c r="S210" s="3"/>
      <c r="T210" s="3"/>
      <c r="U210" s="3"/>
      <c r="V210" s="3"/>
      <c r="W210" s="3"/>
      <c r="X210" s="3"/>
      <c r="Y210" s="3"/>
      <c r="Z210" s="3"/>
    </row>
    <row r="211" hidden="1">
      <c r="A211" s="27" t="s">
        <v>1500</v>
      </c>
      <c r="B211" s="29" t="s">
        <v>270</v>
      </c>
      <c r="C211" s="3"/>
      <c r="D211" s="3"/>
      <c r="E211" s="3"/>
      <c r="F211" s="3"/>
      <c r="G211" s="3"/>
      <c r="H211" s="3"/>
      <c r="I211" s="3"/>
      <c r="J211" s="3"/>
      <c r="K211" s="3"/>
      <c r="L211" s="3"/>
      <c r="M211" s="3"/>
      <c r="N211" s="3"/>
      <c r="O211" s="3"/>
      <c r="P211" s="3"/>
      <c r="Q211" s="3"/>
      <c r="R211" s="3"/>
      <c r="S211" s="3"/>
      <c r="T211" s="3"/>
      <c r="U211" s="3"/>
      <c r="V211" s="3"/>
      <c r="W211" s="3"/>
      <c r="X211" s="3"/>
      <c r="Y211" s="3"/>
      <c r="Z211" s="3"/>
    </row>
    <row r="212" hidden="1">
      <c r="A212" s="27" t="s">
        <v>1506</v>
      </c>
      <c r="B212" s="29" t="s">
        <v>272</v>
      </c>
      <c r="C212" s="3"/>
      <c r="D212" s="3"/>
      <c r="E212" s="3"/>
      <c r="F212" s="3"/>
      <c r="G212" s="3"/>
      <c r="H212" s="3"/>
      <c r="I212" s="3"/>
      <c r="J212" s="3"/>
      <c r="K212" s="3"/>
      <c r="L212" s="3"/>
      <c r="M212" s="3"/>
      <c r="N212" s="3"/>
      <c r="O212" s="3"/>
      <c r="P212" s="3"/>
      <c r="Q212" s="3"/>
      <c r="R212" s="3"/>
      <c r="S212" s="3"/>
      <c r="T212" s="3"/>
      <c r="U212" s="3"/>
      <c r="V212" s="3"/>
      <c r="W212" s="3"/>
      <c r="X212" s="3"/>
      <c r="Y212" s="3"/>
      <c r="Z212" s="3"/>
    </row>
    <row r="213" hidden="1">
      <c r="A213" s="27" t="s">
        <v>1511</v>
      </c>
      <c r="B213" s="29" t="s">
        <v>273</v>
      </c>
      <c r="C213" s="3"/>
      <c r="D213" s="3"/>
      <c r="E213" s="3"/>
      <c r="F213" s="3"/>
      <c r="G213" s="3"/>
      <c r="H213" s="3"/>
      <c r="I213" s="3"/>
      <c r="J213" s="3"/>
      <c r="K213" s="3"/>
      <c r="L213" s="3"/>
      <c r="M213" s="3"/>
      <c r="N213" s="3"/>
      <c r="O213" s="3"/>
      <c r="P213" s="3"/>
      <c r="Q213" s="3"/>
      <c r="R213" s="3"/>
      <c r="S213" s="3"/>
      <c r="T213" s="3"/>
      <c r="U213" s="3"/>
      <c r="V213" s="3"/>
      <c r="W213" s="3"/>
      <c r="X213" s="3"/>
      <c r="Y213" s="3"/>
      <c r="Z213" s="3"/>
    </row>
    <row r="214" hidden="1">
      <c r="A214" s="27" t="s">
        <v>1519</v>
      </c>
      <c r="B214" s="29" t="s">
        <v>274</v>
      </c>
      <c r="C214" s="3"/>
      <c r="D214" s="3"/>
      <c r="E214" s="3"/>
      <c r="F214" s="3"/>
      <c r="G214" s="3"/>
      <c r="H214" s="3"/>
      <c r="I214" s="3"/>
      <c r="J214" s="3"/>
      <c r="K214" s="3"/>
      <c r="L214" s="3"/>
      <c r="M214" s="3"/>
      <c r="N214" s="3"/>
      <c r="O214" s="3"/>
      <c r="P214" s="3"/>
      <c r="Q214" s="3"/>
      <c r="R214" s="3"/>
      <c r="S214" s="3"/>
      <c r="T214" s="3"/>
      <c r="U214" s="3"/>
      <c r="V214" s="3"/>
      <c r="W214" s="3"/>
      <c r="X214" s="3"/>
      <c r="Y214" s="3"/>
      <c r="Z214" s="3"/>
    </row>
    <row r="215" hidden="1">
      <c r="A215" s="27" t="s">
        <v>1525</v>
      </c>
      <c r="B215" s="29" t="s">
        <v>278</v>
      </c>
      <c r="C215" s="3"/>
      <c r="D215" s="3"/>
      <c r="E215" s="3"/>
      <c r="F215" s="3"/>
      <c r="G215" s="3"/>
      <c r="H215" s="3"/>
      <c r="I215" s="3"/>
      <c r="J215" s="3"/>
      <c r="K215" s="3"/>
      <c r="L215" s="3"/>
      <c r="M215" s="3"/>
      <c r="N215" s="3"/>
      <c r="O215" s="3"/>
      <c r="P215" s="3"/>
      <c r="Q215" s="3"/>
      <c r="R215" s="3"/>
      <c r="S215" s="3"/>
      <c r="T215" s="3"/>
      <c r="U215" s="3"/>
      <c r="V215" s="3"/>
      <c r="W215" s="3"/>
      <c r="X215" s="3"/>
      <c r="Y215" s="3"/>
      <c r="Z215" s="3"/>
    </row>
    <row r="216" hidden="1">
      <c r="A216" s="27" t="s">
        <v>1530</v>
      </c>
      <c r="B216" s="29" t="s">
        <v>279</v>
      </c>
      <c r="C216" s="3"/>
      <c r="D216" s="3"/>
      <c r="E216" s="3"/>
      <c r="F216" s="3"/>
      <c r="G216" s="3"/>
      <c r="H216" s="3"/>
      <c r="I216" s="3"/>
      <c r="J216" s="3"/>
      <c r="K216" s="3"/>
      <c r="L216" s="3"/>
      <c r="M216" s="3"/>
      <c r="N216" s="3"/>
      <c r="O216" s="3"/>
      <c r="P216" s="3"/>
      <c r="Q216" s="3"/>
      <c r="R216" s="3"/>
      <c r="S216" s="3"/>
      <c r="T216" s="3"/>
      <c r="U216" s="3"/>
      <c r="V216" s="3"/>
      <c r="W216" s="3"/>
      <c r="X216" s="3"/>
      <c r="Y216" s="3"/>
      <c r="Z216" s="3"/>
    </row>
    <row r="217" hidden="1">
      <c r="A217" s="27" t="s">
        <v>1536</v>
      </c>
      <c r="B217" s="29" t="s">
        <v>280</v>
      </c>
      <c r="C217" s="3"/>
      <c r="D217" s="3"/>
      <c r="E217" s="3"/>
      <c r="F217" s="3"/>
      <c r="G217" s="3"/>
      <c r="H217" s="3"/>
      <c r="I217" s="3"/>
      <c r="J217" s="3"/>
      <c r="K217" s="3"/>
      <c r="L217" s="3"/>
      <c r="M217" s="3"/>
      <c r="N217" s="3"/>
      <c r="O217" s="3"/>
      <c r="P217" s="3"/>
      <c r="Q217" s="3"/>
      <c r="R217" s="3"/>
      <c r="S217" s="3"/>
      <c r="T217" s="3"/>
      <c r="U217" s="3"/>
      <c r="V217" s="3"/>
      <c r="W217" s="3"/>
      <c r="X217" s="3"/>
      <c r="Y217" s="3"/>
      <c r="Z217" s="3"/>
    </row>
    <row r="218" hidden="1">
      <c r="A218" s="27" t="s">
        <v>1539</v>
      </c>
      <c r="B218" s="29" t="s">
        <v>281</v>
      </c>
      <c r="C218" s="3"/>
      <c r="D218" s="3"/>
      <c r="E218" s="3"/>
      <c r="F218" s="3"/>
      <c r="G218" s="3"/>
      <c r="H218" s="3"/>
      <c r="I218" s="3"/>
      <c r="J218" s="3"/>
      <c r="K218" s="3"/>
      <c r="L218" s="3"/>
      <c r="M218" s="3"/>
      <c r="N218" s="3"/>
      <c r="O218" s="3"/>
      <c r="P218" s="3"/>
      <c r="Q218" s="3"/>
      <c r="R218" s="3"/>
      <c r="S218" s="3"/>
      <c r="T218" s="3"/>
      <c r="U218" s="3"/>
      <c r="V218" s="3"/>
      <c r="W218" s="3"/>
      <c r="X218" s="3"/>
      <c r="Y218" s="3"/>
      <c r="Z218" s="3"/>
    </row>
    <row r="219" hidden="1">
      <c r="A219" s="27" t="s">
        <v>1543</v>
      </c>
      <c r="B219" s="29" t="s">
        <v>283</v>
      </c>
      <c r="C219" s="3"/>
      <c r="D219" s="3"/>
      <c r="E219" s="3"/>
      <c r="F219" s="3"/>
      <c r="G219" s="3"/>
      <c r="H219" s="3"/>
      <c r="I219" s="3"/>
      <c r="J219" s="3"/>
      <c r="K219" s="3"/>
      <c r="L219" s="3"/>
      <c r="M219" s="3"/>
      <c r="N219" s="3"/>
      <c r="O219" s="3"/>
      <c r="P219" s="3"/>
      <c r="Q219" s="3"/>
      <c r="R219" s="3"/>
      <c r="S219" s="3"/>
      <c r="T219" s="3"/>
      <c r="U219" s="3"/>
      <c r="V219" s="3"/>
      <c r="W219" s="3"/>
      <c r="X219" s="3"/>
      <c r="Y219" s="3"/>
      <c r="Z219" s="3"/>
    </row>
    <row r="220" hidden="1">
      <c r="A220" s="27" t="s">
        <v>1548</v>
      </c>
      <c r="B220" s="29" t="s">
        <v>284</v>
      </c>
      <c r="C220" s="3"/>
      <c r="D220" s="3"/>
      <c r="E220" s="3"/>
      <c r="F220" s="3"/>
      <c r="G220" s="3"/>
      <c r="H220" s="3"/>
      <c r="I220" s="3"/>
      <c r="J220" s="3"/>
      <c r="K220" s="3"/>
      <c r="L220" s="3"/>
      <c r="M220" s="3"/>
      <c r="N220" s="3"/>
      <c r="O220" s="3"/>
      <c r="P220" s="3"/>
      <c r="Q220" s="3"/>
      <c r="R220" s="3"/>
      <c r="S220" s="3"/>
      <c r="T220" s="3"/>
      <c r="U220" s="3"/>
      <c r="V220" s="3"/>
      <c r="W220" s="3"/>
      <c r="X220" s="3"/>
      <c r="Y220" s="3"/>
      <c r="Z220" s="3"/>
    </row>
    <row r="221" hidden="1">
      <c r="A221" s="27" t="s">
        <v>1554</v>
      </c>
      <c r="B221" s="29" t="s">
        <v>285</v>
      </c>
      <c r="C221" s="3"/>
      <c r="D221" s="3"/>
      <c r="E221" s="3"/>
      <c r="F221" s="3"/>
      <c r="G221" s="3"/>
      <c r="H221" s="3"/>
      <c r="I221" s="3"/>
      <c r="J221" s="3"/>
      <c r="K221" s="3"/>
      <c r="L221" s="3"/>
      <c r="M221" s="3"/>
      <c r="N221" s="3"/>
      <c r="O221" s="3"/>
      <c r="P221" s="3"/>
      <c r="Q221" s="3"/>
      <c r="R221" s="3"/>
      <c r="S221" s="3"/>
      <c r="T221" s="3"/>
      <c r="U221" s="3"/>
      <c r="V221" s="3"/>
      <c r="W221" s="3"/>
      <c r="X221" s="3"/>
      <c r="Y221" s="3"/>
      <c r="Z221" s="3"/>
    </row>
    <row r="222" hidden="1">
      <c r="A222" s="27" t="s">
        <v>1558</v>
      </c>
      <c r="B222" s="29" t="s">
        <v>286</v>
      </c>
      <c r="C222" s="3"/>
      <c r="D222" s="3"/>
      <c r="E222" s="3"/>
      <c r="F222" s="3"/>
      <c r="G222" s="3"/>
      <c r="H222" s="3"/>
      <c r="I222" s="3"/>
      <c r="J222" s="3"/>
      <c r="K222" s="3"/>
      <c r="L222" s="3"/>
      <c r="M222" s="3"/>
      <c r="N222" s="3"/>
      <c r="O222" s="3"/>
      <c r="P222" s="3"/>
      <c r="Q222" s="3"/>
      <c r="R222" s="3"/>
      <c r="S222" s="3"/>
      <c r="T222" s="3"/>
      <c r="U222" s="3"/>
      <c r="V222" s="3"/>
      <c r="W222" s="3"/>
      <c r="X222" s="3"/>
      <c r="Y222" s="3"/>
      <c r="Z222" s="3"/>
    </row>
    <row r="223" hidden="1">
      <c r="A223" s="27" t="s">
        <v>1565</v>
      </c>
      <c r="B223" s="29" t="s">
        <v>288</v>
      </c>
      <c r="C223" s="3"/>
      <c r="D223" s="3"/>
      <c r="E223" s="3"/>
      <c r="F223" s="3"/>
      <c r="G223" s="3"/>
      <c r="H223" s="3"/>
      <c r="I223" s="3"/>
      <c r="J223" s="3"/>
      <c r="K223" s="3"/>
      <c r="L223" s="3"/>
      <c r="M223" s="3"/>
      <c r="N223" s="3"/>
      <c r="O223" s="3"/>
      <c r="P223" s="3"/>
      <c r="Q223" s="3"/>
      <c r="R223" s="3"/>
      <c r="S223" s="3"/>
      <c r="T223" s="3"/>
      <c r="U223" s="3"/>
      <c r="V223" s="3"/>
      <c r="W223" s="3"/>
      <c r="X223" s="3"/>
      <c r="Y223" s="3"/>
      <c r="Z223" s="3"/>
    </row>
    <row r="224" hidden="1">
      <c r="A224" s="27" t="s">
        <v>1571</v>
      </c>
      <c r="B224" s="29" t="s">
        <v>289</v>
      </c>
      <c r="C224" s="3"/>
      <c r="D224" s="3"/>
      <c r="E224" s="3"/>
      <c r="F224" s="3"/>
      <c r="G224" s="3"/>
      <c r="H224" s="3"/>
      <c r="I224" s="3"/>
      <c r="J224" s="3"/>
      <c r="K224" s="3"/>
      <c r="L224" s="3"/>
      <c r="M224" s="3"/>
      <c r="N224" s="3"/>
      <c r="O224" s="3"/>
      <c r="P224" s="3"/>
      <c r="Q224" s="3"/>
      <c r="R224" s="3"/>
      <c r="S224" s="3"/>
      <c r="T224" s="3"/>
      <c r="U224" s="3"/>
      <c r="V224" s="3"/>
      <c r="W224" s="3"/>
      <c r="X224" s="3"/>
      <c r="Y224" s="3"/>
      <c r="Z224" s="3"/>
    </row>
    <row r="225" hidden="1">
      <c r="A225" s="27" t="s">
        <v>1579</v>
      </c>
      <c r="B225" s="29" t="s">
        <v>290</v>
      </c>
      <c r="C225" s="3"/>
      <c r="D225" s="3"/>
      <c r="E225" s="3"/>
      <c r="F225" s="3"/>
      <c r="G225" s="3"/>
      <c r="H225" s="3"/>
      <c r="I225" s="3"/>
      <c r="J225" s="3"/>
      <c r="K225" s="3"/>
      <c r="L225" s="3"/>
      <c r="M225" s="3"/>
      <c r="N225" s="3"/>
      <c r="O225" s="3"/>
      <c r="P225" s="3"/>
      <c r="Q225" s="3"/>
      <c r="R225" s="3"/>
      <c r="S225" s="3"/>
      <c r="T225" s="3"/>
      <c r="U225" s="3"/>
      <c r="V225" s="3"/>
      <c r="W225" s="3"/>
      <c r="X225" s="3"/>
      <c r="Y225" s="3"/>
      <c r="Z225" s="3"/>
    </row>
    <row r="226" hidden="1">
      <c r="A226" s="27" t="s">
        <v>1584</v>
      </c>
      <c r="B226" s="29" t="s">
        <v>291</v>
      </c>
      <c r="C226" s="3"/>
      <c r="D226" s="3"/>
      <c r="E226" s="3"/>
      <c r="F226" s="3"/>
      <c r="G226" s="3"/>
      <c r="H226" s="3"/>
      <c r="I226" s="3"/>
      <c r="J226" s="3"/>
      <c r="K226" s="3"/>
      <c r="L226" s="3"/>
      <c r="M226" s="3"/>
      <c r="N226" s="3"/>
      <c r="O226" s="3"/>
      <c r="P226" s="3"/>
      <c r="Q226" s="3"/>
      <c r="R226" s="3"/>
      <c r="S226" s="3"/>
      <c r="T226" s="3"/>
      <c r="U226" s="3"/>
      <c r="V226" s="3"/>
      <c r="W226" s="3"/>
      <c r="X226" s="3"/>
      <c r="Y226" s="3"/>
      <c r="Z226" s="3"/>
    </row>
    <row r="227" hidden="1">
      <c r="A227" s="27" t="s">
        <v>1589</v>
      </c>
      <c r="B227" s="29" t="s">
        <v>293</v>
      </c>
      <c r="C227" s="3"/>
      <c r="D227" s="3"/>
      <c r="E227" s="3"/>
      <c r="F227" s="3"/>
      <c r="G227" s="3"/>
      <c r="H227" s="3"/>
      <c r="I227" s="3"/>
      <c r="J227" s="3"/>
      <c r="K227" s="3"/>
      <c r="L227" s="3"/>
      <c r="M227" s="3"/>
      <c r="N227" s="3"/>
      <c r="O227" s="3"/>
      <c r="P227" s="3"/>
      <c r="Q227" s="3"/>
      <c r="R227" s="3"/>
      <c r="S227" s="3"/>
      <c r="T227" s="3"/>
      <c r="U227" s="3"/>
      <c r="V227" s="3"/>
      <c r="W227" s="3"/>
      <c r="X227" s="3"/>
      <c r="Y227" s="3"/>
      <c r="Z227" s="3"/>
    </row>
    <row r="228" hidden="1">
      <c r="A228" s="27" t="s">
        <v>1593</v>
      </c>
      <c r="B228" s="29" t="s">
        <v>294</v>
      </c>
      <c r="C228" s="3"/>
      <c r="D228" s="3"/>
      <c r="E228" s="3"/>
      <c r="F228" s="3"/>
      <c r="G228" s="3"/>
      <c r="H228" s="3"/>
      <c r="I228" s="3"/>
      <c r="J228" s="3"/>
      <c r="K228" s="3"/>
      <c r="L228" s="3"/>
      <c r="M228" s="3"/>
      <c r="N228" s="3"/>
      <c r="O228" s="3"/>
      <c r="P228" s="3"/>
      <c r="Q228" s="3"/>
      <c r="R228" s="3"/>
      <c r="S228" s="3"/>
      <c r="T228" s="3"/>
      <c r="U228" s="3"/>
      <c r="V228" s="3"/>
      <c r="W228" s="3"/>
      <c r="X228" s="3"/>
      <c r="Y228" s="3"/>
      <c r="Z228" s="3"/>
    </row>
    <row r="229" hidden="1">
      <c r="A229" s="27" t="s">
        <v>1597</v>
      </c>
      <c r="B229" s="29" t="s">
        <v>296</v>
      </c>
      <c r="C229" s="3"/>
      <c r="D229" s="3"/>
      <c r="E229" s="3"/>
      <c r="F229" s="3"/>
      <c r="G229" s="3"/>
      <c r="H229" s="3"/>
      <c r="I229" s="3"/>
      <c r="J229" s="3"/>
      <c r="K229" s="3"/>
      <c r="L229" s="3"/>
      <c r="M229" s="3"/>
      <c r="N229" s="3"/>
      <c r="O229" s="3"/>
      <c r="P229" s="3"/>
      <c r="Q229" s="3"/>
      <c r="R229" s="3"/>
      <c r="S229" s="3"/>
      <c r="T229" s="3"/>
      <c r="U229" s="3"/>
      <c r="V229" s="3"/>
      <c r="W229" s="3"/>
      <c r="X229" s="3"/>
      <c r="Y229" s="3"/>
      <c r="Z229" s="3"/>
    </row>
    <row r="230" hidden="1">
      <c r="A230" s="27" t="s">
        <v>1601</v>
      </c>
      <c r="B230" s="29" t="s">
        <v>297</v>
      </c>
      <c r="C230" s="3"/>
      <c r="D230" s="3"/>
      <c r="E230" s="3"/>
      <c r="F230" s="3"/>
      <c r="G230" s="3"/>
      <c r="H230" s="3"/>
      <c r="I230" s="3"/>
      <c r="J230" s="3"/>
      <c r="K230" s="3"/>
      <c r="L230" s="3"/>
      <c r="M230" s="3"/>
      <c r="N230" s="3"/>
      <c r="O230" s="3"/>
      <c r="P230" s="3"/>
      <c r="Q230" s="3"/>
      <c r="R230" s="3"/>
      <c r="S230" s="3"/>
      <c r="T230" s="3"/>
      <c r="U230" s="3"/>
      <c r="V230" s="3"/>
      <c r="W230" s="3"/>
      <c r="X230" s="3"/>
      <c r="Y230" s="3"/>
      <c r="Z230" s="3"/>
    </row>
    <row r="231" hidden="1">
      <c r="A231" s="27" t="s">
        <v>1605</v>
      </c>
      <c r="B231" s="29" t="s">
        <v>298</v>
      </c>
      <c r="C231" s="3"/>
      <c r="D231" s="3"/>
      <c r="E231" s="3"/>
      <c r="F231" s="3"/>
      <c r="G231" s="3"/>
      <c r="H231" s="3"/>
      <c r="I231" s="3"/>
      <c r="J231" s="3"/>
      <c r="K231" s="3"/>
      <c r="L231" s="3"/>
      <c r="M231" s="3"/>
      <c r="N231" s="3"/>
      <c r="O231" s="3"/>
      <c r="P231" s="3"/>
      <c r="Q231" s="3"/>
      <c r="R231" s="3"/>
      <c r="S231" s="3"/>
      <c r="T231" s="3"/>
      <c r="U231" s="3"/>
      <c r="V231" s="3"/>
      <c r="W231" s="3"/>
      <c r="X231" s="3"/>
      <c r="Y231" s="3"/>
      <c r="Z231" s="3"/>
    </row>
    <row r="232" hidden="1">
      <c r="A232" s="27" t="s">
        <v>1609</v>
      </c>
      <c r="B232" s="29" t="s">
        <v>300</v>
      </c>
      <c r="C232" s="3"/>
      <c r="D232" s="3"/>
      <c r="E232" s="3"/>
      <c r="F232" s="3"/>
      <c r="G232" s="3"/>
      <c r="H232" s="3"/>
      <c r="I232" s="3"/>
      <c r="J232" s="3"/>
      <c r="K232" s="3"/>
      <c r="L232" s="3"/>
      <c r="M232" s="3"/>
      <c r="N232" s="3"/>
      <c r="O232" s="3"/>
      <c r="P232" s="3"/>
      <c r="Q232" s="3"/>
      <c r="R232" s="3"/>
      <c r="S232" s="3"/>
      <c r="T232" s="3"/>
      <c r="U232" s="3"/>
      <c r="V232" s="3"/>
      <c r="W232" s="3"/>
      <c r="X232" s="3"/>
      <c r="Y232" s="3"/>
      <c r="Z232" s="3"/>
    </row>
    <row r="233" hidden="1">
      <c r="A233" s="27" t="s">
        <v>1613</v>
      </c>
      <c r="B233" s="29" t="s">
        <v>302</v>
      </c>
      <c r="C233" s="3"/>
      <c r="D233" s="3"/>
      <c r="E233" s="3"/>
      <c r="F233" s="3"/>
      <c r="G233" s="3"/>
      <c r="H233" s="3"/>
      <c r="I233" s="3"/>
      <c r="J233" s="3"/>
      <c r="K233" s="3"/>
      <c r="L233" s="3"/>
      <c r="M233" s="3"/>
      <c r="N233" s="3"/>
      <c r="O233" s="3"/>
      <c r="P233" s="3"/>
      <c r="Q233" s="3"/>
      <c r="R233" s="3"/>
      <c r="S233" s="3"/>
      <c r="T233" s="3"/>
      <c r="U233" s="3"/>
      <c r="V233" s="3"/>
      <c r="W233" s="3"/>
      <c r="X233" s="3"/>
      <c r="Y233" s="3"/>
      <c r="Z233" s="3"/>
    </row>
    <row r="234" hidden="1">
      <c r="A234" s="27" t="s">
        <v>1617</v>
      </c>
      <c r="B234" s="29" t="s">
        <v>303</v>
      </c>
      <c r="C234" s="3"/>
      <c r="D234" s="3"/>
      <c r="E234" s="3"/>
      <c r="F234" s="3"/>
      <c r="G234" s="3"/>
      <c r="H234" s="3"/>
      <c r="I234" s="3"/>
      <c r="J234" s="3"/>
      <c r="K234" s="3"/>
      <c r="L234" s="3"/>
      <c r="M234" s="3"/>
      <c r="N234" s="3"/>
      <c r="O234" s="3"/>
      <c r="P234" s="3"/>
      <c r="Q234" s="3"/>
      <c r="R234" s="3"/>
      <c r="S234" s="3"/>
      <c r="T234" s="3"/>
      <c r="U234" s="3"/>
      <c r="V234" s="3"/>
      <c r="W234" s="3"/>
      <c r="X234" s="3"/>
      <c r="Y234" s="3"/>
      <c r="Z234" s="3"/>
    </row>
    <row r="235" hidden="1">
      <c r="A235" s="27" t="s">
        <v>1621</v>
      </c>
      <c r="B235" s="29" t="s">
        <v>305</v>
      </c>
      <c r="C235" s="3"/>
      <c r="D235" s="3"/>
      <c r="E235" s="3"/>
      <c r="F235" s="3"/>
      <c r="G235" s="3"/>
      <c r="H235" s="3"/>
      <c r="I235" s="3"/>
      <c r="J235" s="3"/>
      <c r="K235" s="3"/>
      <c r="L235" s="3"/>
      <c r="M235" s="3"/>
      <c r="N235" s="3"/>
      <c r="O235" s="3"/>
      <c r="P235" s="3"/>
      <c r="Q235" s="3"/>
      <c r="R235" s="3"/>
      <c r="S235" s="3"/>
      <c r="T235" s="3"/>
      <c r="U235" s="3"/>
      <c r="V235" s="3"/>
      <c r="W235" s="3"/>
      <c r="X235" s="3"/>
      <c r="Y235" s="3"/>
      <c r="Z235" s="3"/>
    </row>
    <row r="236" hidden="1">
      <c r="A236" s="27" t="s">
        <v>1626</v>
      </c>
      <c r="B236" s="29" t="s">
        <v>306</v>
      </c>
      <c r="C236" s="3"/>
      <c r="D236" s="3"/>
      <c r="E236" s="3"/>
      <c r="F236" s="3"/>
      <c r="G236" s="3"/>
      <c r="H236" s="3"/>
      <c r="I236" s="3"/>
      <c r="J236" s="3"/>
      <c r="K236" s="3"/>
      <c r="L236" s="3"/>
      <c r="M236" s="3"/>
      <c r="N236" s="3"/>
      <c r="O236" s="3"/>
      <c r="P236" s="3"/>
      <c r="Q236" s="3"/>
      <c r="R236" s="3"/>
      <c r="S236" s="3"/>
      <c r="T236" s="3"/>
      <c r="U236" s="3"/>
      <c r="V236" s="3"/>
      <c r="W236" s="3"/>
      <c r="X236" s="3"/>
      <c r="Y236" s="3"/>
      <c r="Z236" s="3"/>
    </row>
    <row r="237" hidden="1">
      <c r="A237" s="27" t="s">
        <v>1631</v>
      </c>
      <c r="B237" s="29" t="s">
        <v>307</v>
      </c>
      <c r="C237" s="3"/>
      <c r="D237" s="3"/>
      <c r="E237" s="3"/>
      <c r="F237" s="3"/>
      <c r="G237" s="3"/>
      <c r="H237" s="3"/>
      <c r="I237" s="3"/>
      <c r="J237" s="3"/>
      <c r="K237" s="3"/>
      <c r="L237" s="3"/>
      <c r="M237" s="3"/>
      <c r="N237" s="3"/>
      <c r="O237" s="3"/>
      <c r="P237" s="3"/>
      <c r="Q237" s="3"/>
      <c r="R237" s="3"/>
      <c r="S237" s="3"/>
      <c r="T237" s="3"/>
      <c r="U237" s="3"/>
      <c r="V237" s="3"/>
      <c r="W237" s="3"/>
      <c r="X237" s="3"/>
      <c r="Y237" s="3"/>
      <c r="Z237" s="3"/>
    </row>
    <row r="238" hidden="1">
      <c r="A238" s="27" t="s">
        <v>1637</v>
      </c>
      <c r="B238" s="29" t="s">
        <v>308</v>
      </c>
      <c r="C238" s="3"/>
      <c r="D238" s="3"/>
      <c r="E238" s="3"/>
      <c r="F238" s="3"/>
      <c r="G238" s="3"/>
      <c r="H238" s="3"/>
      <c r="I238" s="3"/>
      <c r="J238" s="3"/>
      <c r="K238" s="3"/>
      <c r="L238" s="3"/>
      <c r="M238" s="3"/>
      <c r="N238" s="3"/>
      <c r="O238" s="3"/>
      <c r="P238" s="3"/>
      <c r="Q238" s="3"/>
      <c r="R238" s="3"/>
      <c r="S238" s="3"/>
      <c r="T238" s="3"/>
      <c r="U238" s="3"/>
      <c r="V238" s="3"/>
      <c r="W238" s="3"/>
      <c r="X238" s="3"/>
      <c r="Y238" s="3"/>
      <c r="Z238" s="3"/>
    </row>
    <row r="239" hidden="1">
      <c r="A239" s="27" t="s">
        <v>1642</v>
      </c>
      <c r="B239" s="29" t="s">
        <v>310</v>
      </c>
      <c r="C239" s="3"/>
      <c r="D239" s="3"/>
      <c r="E239" s="3"/>
      <c r="F239" s="3"/>
      <c r="G239" s="3"/>
      <c r="H239" s="3"/>
      <c r="I239" s="3"/>
      <c r="J239" s="3"/>
      <c r="K239" s="3"/>
      <c r="L239" s="3"/>
      <c r="M239" s="3"/>
      <c r="N239" s="3"/>
      <c r="O239" s="3"/>
      <c r="P239" s="3"/>
      <c r="Q239" s="3"/>
      <c r="R239" s="3"/>
      <c r="S239" s="3"/>
      <c r="T239" s="3"/>
      <c r="U239" s="3"/>
      <c r="V239" s="3"/>
      <c r="W239" s="3"/>
      <c r="X239" s="3"/>
      <c r="Y239" s="3"/>
      <c r="Z239" s="3"/>
    </row>
    <row r="240" hidden="1">
      <c r="A240" s="27" t="s">
        <v>1648</v>
      </c>
      <c r="B240" s="29" t="s">
        <v>311</v>
      </c>
      <c r="C240" s="3"/>
      <c r="D240" s="3"/>
      <c r="E240" s="3"/>
      <c r="F240" s="3"/>
      <c r="G240" s="3"/>
      <c r="H240" s="3"/>
      <c r="I240" s="3"/>
      <c r="J240" s="3"/>
      <c r="K240" s="3"/>
      <c r="L240" s="3"/>
      <c r="M240" s="3"/>
      <c r="N240" s="3"/>
      <c r="O240" s="3"/>
      <c r="P240" s="3"/>
      <c r="Q240" s="3"/>
      <c r="R240" s="3"/>
      <c r="S240" s="3"/>
      <c r="T240" s="3"/>
      <c r="U240" s="3"/>
      <c r="V240" s="3"/>
      <c r="W240" s="3"/>
      <c r="X240" s="3"/>
      <c r="Y240" s="3"/>
      <c r="Z240" s="3"/>
    </row>
    <row r="241" hidden="1">
      <c r="A241" s="27" t="s">
        <v>1654</v>
      </c>
      <c r="B241" s="29" t="s">
        <v>312</v>
      </c>
      <c r="C241" s="3"/>
      <c r="D241" s="3"/>
      <c r="E241" s="3"/>
      <c r="F241" s="3"/>
      <c r="G241" s="3"/>
      <c r="H241" s="3"/>
      <c r="I241" s="3"/>
      <c r="J241" s="3"/>
      <c r="K241" s="3"/>
      <c r="L241" s="3"/>
      <c r="M241" s="3"/>
      <c r="N241" s="3"/>
      <c r="O241" s="3"/>
      <c r="P241" s="3"/>
      <c r="Q241" s="3"/>
      <c r="R241" s="3"/>
      <c r="S241" s="3"/>
      <c r="T241" s="3"/>
      <c r="U241" s="3"/>
      <c r="V241" s="3"/>
      <c r="W241" s="3"/>
      <c r="X241" s="3"/>
      <c r="Y241" s="3"/>
      <c r="Z241" s="3"/>
    </row>
    <row r="242" hidden="1">
      <c r="A242" s="27" t="s">
        <v>1660</v>
      </c>
      <c r="B242" s="29" t="s">
        <v>313</v>
      </c>
      <c r="C242" s="3"/>
      <c r="D242" s="3"/>
      <c r="E242" s="3"/>
      <c r="F242" s="3"/>
      <c r="G242" s="3"/>
      <c r="H242" s="3"/>
      <c r="I242" s="3"/>
      <c r="J242" s="3"/>
      <c r="K242" s="3"/>
      <c r="L242" s="3"/>
      <c r="M242" s="3"/>
      <c r="N242" s="3"/>
      <c r="O242" s="3"/>
      <c r="P242" s="3"/>
      <c r="Q242" s="3"/>
      <c r="R242" s="3"/>
      <c r="S242" s="3"/>
      <c r="T242" s="3"/>
      <c r="U242" s="3"/>
      <c r="V242" s="3"/>
      <c r="W242" s="3"/>
      <c r="X242" s="3"/>
      <c r="Y242" s="3"/>
      <c r="Z242" s="3"/>
    </row>
    <row r="243" hidden="1">
      <c r="A243" s="27" t="s">
        <v>1666</v>
      </c>
      <c r="B243" s="29" t="s">
        <v>315</v>
      </c>
      <c r="C243" s="3"/>
      <c r="D243" s="3"/>
      <c r="E243" s="3"/>
      <c r="F243" s="3"/>
      <c r="G243" s="3"/>
      <c r="H243" s="3"/>
      <c r="I243" s="3"/>
      <c r="J243" s="3"/>
      <c r="K243" s="3"/>
      <c r="L243" s="3"/>
      <c r="M243" s="3"/>
      <c r="N243" s="3"/>
      <c r="O243" s="3"/>
      <c r="P243" s="3"/>
      <c r="Q243" s="3"/>
      <c r="R243" s="3"/>
      <c r="S243" s="3"/>
      <c r="T243" s="3"/>
      <c r="U243" s="3"/>
      <c r="V243" s="3"/>
      <c r="W243" s="3"/>
      <c r="X243" s="3"/>
      <c r="Y243" s="3"/>
      <c r="Z243" s="3"/>
    </row>
    <row r="244" hidden="1">
      <c r="A244" s="27" t="s">
        <v>1671</v>
      </c>
      <c r="B244" s="29" t="s">
        <v>316</v>
      </c>
      <c r="C244" s="3"/>
      <c r="D244" s="3"/>
      <c r="E244" s="3"/>
      <c r="F244" s="3"/>
      <c r="G244" s="3"/>
      <c r="H244" s="3"/>
      <c r="I244" s="3"/>
      <c r="J244" s="3"/>
      <c r="K244" s="3"/>
      <c r="L244" s="3"/>
      <c r="M244" s="3"/>
      <c r="N244" s="3"/>
      <c r="O244" s="3"/>
      <c r="P244" s="3"/>
      <c r="Q244" s="3"/>
      <c r="R244" s="3"/>
      <c r="S244" s="3"/>
      <c r="T244" s="3"/>
      <c r="U244" s="3"/>
      <c r="V244" s="3"/>
      <c r="W244" s="3"/>
      <c r="X244" s="3"/>
      <c r="Y244" s="3"/>
      <c r="Z244" s="3"/>
    </row>
    <row r="245" hidden="1">
      <c r="A245" s="27" t="s">
        <v>1675</v>
      </c>
      <c r="B245" s="29" t="s">
        <v>317</v>
      </c>
      <c r="C245" s="3"/>
      <c r="D245" s="3"/>
      <c r="E245" s="3"/>
      <c r="F245" s="3"/>
      <c r="G245" s="3"/>
      <c r="H245" s="3"/>
      <c r="I245" s="3"/>
      <c r="J245" s="3"/>
      <c r="K245" s="3"/>
      <c r="L245" s="3"/>
      <c r="M245" s="3"/>
      <c r="N245" s="3"/>
      <c r="O245" s="3"/>
      <c r="P245" s="3"/>
      <c r="Q245" s="3"/>
      <c r="R245" s="3"/>
      <c r="S245" s="3"/>
      <c r="T245" s="3"/>
      <c r="U245" s="3"/>
      <c r="V245" s="3"/>
      <c r="W245" s="3"/>
      <c r="X245" s="3"/>
      <c r="Y245" s="3"/>
      <c r="Z245" s="3"/>
    </row>
    <row r="246" hidden="1">
      <c r="A246" s="27" t="s">
        <v>1680</v>
      </c>
      <c r="B246" s="29" t="s">
        <v>318</v>
      </c>
      <c r="C246" s="3"/>
      <c r="D246" s="3"/>
      <c r="E246" s="3"/>
      <c r="F246" s="3"/>
      <c r="G246" s="3"/>
      <c r="H246" s="3"/>
      <c r="I246" s="3"/>
      <c r="J246" s="3"/>
      <c r="K246" s="3"/>
      <c r="L246" s="3"/>
      <c r="M246" s="3"/>
      <c r="N246" s="3"/>
      <c r="O246" s="3"/>
      <c r="P246" s="3"/>
      <c r="Q246" s="3"/>
      <c r="R246" s="3"/>
      <c r="S246" s="3"/>
      <c r="T246" s="3"/>
      <c r="U246" s="3"/>
      <c r="V246" s="3"/>
      <c r="W246" s="3"/>
      <c r="X246" s="3"/>
      <c r="Y246" s="3"/>
      <c r="Z246" s="3"/>
    </row>
    <row r="247" hidden="1">
      <c r="A247" s="27" t="s">
        <v>1685</v>
      </c>
      <c r="B247" s="29" t="s">
        <v>320</v>
      </c>
      <c r="C247" s="3"/>
      <c r="D247" s="3"/>
      <c r="E247" s="3"/>
      <c r="F247" s="3"/>
      <c r="G247" s="3"/>
      <c r="H247" s="3"/>
      <c r="I247" s="3"/>
      <c r="J247" s="3"/>
      <c r="K247" s="3"/>
      <c r="L247" s="3"/>
      <c r="M247" s="3"/>
      <c r="N247" s="3"/>
      <c r="O247" s="3"/>
      <c r="P247" s="3"/>
      <c r="Q247" s="3"/>
      <c r="R247" s="3"/>
      <c r="S247" s="3"/>
      <c r="T247" s="3"/>
      <c r="U247" s="3"/>
      <c r="V247" s="3"/>
      <c r="W247" s="3"/>
      <c r="X247" s="3"/>
      <c r="Y247" s="3"/>
      <c r="Z247" s="3"/>
    </row>
    <row r="248" hidden="1">
      <c r="A248" s="27" t="s">
        <v>1692</v>
      </c>
      <c r="B248" s="29" t="s">
        <v>321</v>
      </c>
      <c r="C248" s="3"/>
      <c r="D248" s="3"/>
      <c r="E248" s="3"/>
      <c r="F248" s="3"/>
      <c r="G248" s="3"/>
      <c r="H248" s="3"/>
      <c r="I248" s="3"/>
      <c r="J248" s="3"/>
      <c r="K248" s="3"/>
      <c r="L248" s="3"/>
      <c r="M248" s="3"/>
      <c r="N248" s="3"/>
      <c r="O248" s="3"/>
      <c r="P248" s="3"/>
      <c r="Q248" s="3"/>
      <c r="R248" s="3"/>
      <c r="S248" s="3"/>
      <c r="T248" s="3"/>
      <c r="U248" s="3"/>
      <c r="V248" s="3"/>
      <c r="W248" s="3"/>
      <c r="X248" s="3"/>
      <c r="Y248" s="3"/>
      <c r="Z248" s="3"/>
    </row>
    <row r="249" hidden="1">
      <c r="A249" s="27" t="s">
        <v>1696</v>
      </c>
      <c r="B249" s="29" t="s">
        <v>322</v>
      </c>
      <c r="C249" s="3"/>
      <c r="D249" s="3"/>
      <c r="E249" s="3"/>
      <c r="F249" s="3"/>
      <c r="G249" s="3"/>
      <c r="H249" s="3"/>
      <c r="I249" s="3"/>
      <c r="J249" s="3"/>
      <c r="K249" s="3"/>
      <c r="L249" s="3"/>
      <c r="M249" s="3"/>
      <c r="N249" s="3"/>
      <c r="O249" s="3"/>
      <c r="P249" s="3"/>
      <c r="Q249" s="3"/>
      <c r="R249" s="3"/>
      <c r="S249" s="3"/>
      <c r="T249" s="3"/>
      <c r="U249" s="3"/>
      <c r="V249" s="3"/>
      <c r="W249" s="3"/>
      <c r="X249" s="3"/>
      <c r="Y249" s="3"/>
      <c r="Z249" s="3"/>
    </row>
    <row r="250" hidden="1">
      <c r="A250" s="27" t="s">
        <v>1702</v>
      </c>
      <c r="B250" s="29" t="s">
        <v>323</v>
      </c>
      <c r="C250" s="3"/>
      <c r="D250" s="3"/>
      <c r="E250" s="3"/>
      <c r="F250" s="3"/>
      <c r="G250" s="3"/>
      <c r="H250" s="3"/>
      <c r="I250" s="3"/>
      <c r="J250" s="3"/>
      <c r="K250" s="3"/>
      <c r="L250" s="3"/>
      <c r="M250" s="3"/>
      <c r="N250" s="3"/>
      <c r="O250" s="3"/>
      <c r="P250" s="3"/>
      <c r="Q250" s="3"/>
      <c r="R250" s="3"/>
      <c r="S250" s="3"/>
      <c r="T250" s="3"/>
      <c r="U250" s="3"/>
      <c r="V250" s="3"/>
      <c r="W250" s="3"/>
      <c r="X250" s="3"/>
      <c r="Y250" s="3"/>
      <c r="Z250" s="3"/>
    </row>
    <row r="251" hidden="1">
      <c r="A251" s="27" t="s">
        <v>1708</v>
      </c>
      <c r="B251" s="29" t="s">
        <v>325</v>
      </c>
      <c r="C251" s="3"/>
      <c r="D251" s="3"/>
      <c r="E251" s="3"/>
      <c r="F251" s="3"/>
      <c r="G251" s="3"/>
      <c r="H251" s="3"/>
      <c r="I251" s="3"/>
      <c r="J251" s="3"/>
      <c r="K251" s="3"/>
      <c r="L251" s="3"/>
      <c r="M251" s="3"/>
      <c r="N251" s="3"/>
      <c r="O251" s="3"/>
      <c r="P251" s="3"/>
      <c r="Q251" s="3"/>
      <c r="R251" s="3"/>
      <c r="S251" s="3"/>
      <c r="T251" s="3"/>
      <c r="U251" s="3"/>
      <c r="V251" s="3"/>
      <c r="W251" s="3"/>
      <c r="X251" s="3"/>
      <c r="Y251" s="3"/>
      <c r="Z251" s="3"/>
    </row>
    <row r="252" hidden="1">
      <c r="A252" s="27" t="s">
        <v>1714</v>
      </c>
      <c r="B252" s="29" t="s">
        <v>326</v>
      </c>
      <c r="C252" s="3"/>
      <c r="D252" s="3"/>
      <c r="E252" s="3"/>
      <c r="F252" s="3"/>
      <c r="G252" s="3"/>
      <c r="H252" s="3"/>
      <c r="I252" s="3"/>
      <c r="J252" s="3"/>
      <c r="K252" s="3"/>
      <c r="L252" s="3"/>
      <c r="M252" s="3"/>
      <c r="N252" s="3"/>
      <c r="O252" s="3"/>
      <c r="P252" s="3"/>
      <c r="Q252" s="3"/>
      <c r="R252" s="3"/>
      <c r="S252" s="3"/>
      <c r="T252" s="3"/>
      <c r="U252" s="3"/>
      <c r="V252" s="3"/>
      <c r="W252" s="3"/>
      <c r="X252" s="3"/>
      <c r="Y252" s="3"/>
      <c r="Z252" s="3"/>
    </row>
    <row r="253" hidden="1">
      <c r="A253" s="27" t="s">
        <v>1718</v>
      </c>
      <c r="B253" s="29" t="s">
        <v>327</v>
      </c>
      <c r="C253" s="3"/>
      <c r="D253" s="3"/>
      <c r="E253" s="3"/>
      <c r="F253" s="3"/>
      <c r="G253" s="3"/>
      <c r="H253" s="3"/>
      <c r="I253" s="3"/>
      <c r="J253" s="3"/>
      <c r="K253" s="3"/>
      <c r="L253" s="3"/>
      <c r="M253" s="3"/>
      <c r="N253" s="3"/>
      <c r="O253" s="3"/>
      <c r="P253" s="3"/>
      <c r="Q253" s="3"/>
      <c r="R253" s="3"/>
      <c r="S253" s="3"/>
      <c r="T253" s="3"/>
      <c r="U253" s="3"/>
      <c r="V253" s="3"/>
      <c r="W253" s="3"/>
      <c r="X253" s="3"/>
      <c r="Y253" s="3"/>
      <c r="Z253" s="3"/>
    </row>
    <row r="254" hidden="1">
      <c r="A254" s="27" t="s">
        <v>1723</v>
      </c>
      <c r="B254" s="29" t="s">
        <v>328</v>
      </c>
      <c r="C254" s="3"/>
      <c r="D254" s="3"/>
      <c r="E254" s="3"/>
      <c r="F254" s="3"/>
      <c r="G254" s="3"/>
      <c r="H254" s="3"/>
      <c r="I254" s="3"/>
      <c r="J254" s="3"/>
      <c r="K254" s="3"/>
      <c r="L254" s="3"/>
      <c r="M254" s="3"/>
      <c r="N254" s="3"/>
      <c r="O254" s="3"/>
      <c r="P254" s="3"/>
      <c r="Q254" s="3"/>
      <c r="R254" s="3"/>
      <c r="S254" s="3"/>
      <c r="T254" s="3"/>
      <c r="U254" s="3"/>
      <c r="V254" s="3"/>
      <c r="W254" s="3"/>
      <c r="X254" s="3"/>
      <c r="Y254" s="3"/>
      <c r="Z254" s="3"/>
    </row>
    <row r="255" hidden="1">
      <c r="A255" s="27" t="s">
        <v>1729</v>
      </c>
      <c r="B255" s="29" t="s">
        <v>330</v>
      </c>
      <c r="C255" s="3"/>
      <c r="D255" s="3"/>
      <c r="E255" s="3"/>
      <c r="F255" s="3"/>
      <c r="G255" s="3"/>
      <c r="H255" s="3"/>
      <c r="I255" s="3"/>
      <c r="J255" s="3"/>
      <c r="K255" s="3"/>
      <c r="L255" s="3"/>
      <c r="M255" s="3"/>
      <c r="N255" s="3"/>
      <c r="O255" s="3"/>
      <c r="P255" s="3"/>
      <c r="Q255" s="3"/>
      <c r="R255" s="3"/>
      <c r="S255" s="3"/>
      <c r="T255" s="3"/>
      <c r="U255" s="3"/>
      <c r="V255" s="3"/>
      <c r="W255" s="3"/>
      <c r="X255" s="3"/>
      <c r="Y255" s="3"/>
      <c r="Z255" s="3"/>
    </row>
    <row r="256" hidden="1">
      <c r="A256" s="27" t="s">
        <v>1736</v>
      </c>
      <c r="B256" s="29" t="s">
        <v>331</v>
      </c>
      <c r="C256" s="3"/>
      <c r="D256" s="3"/>
      <c r="E256" s="3"/>
      <c r="F256" s="3"/>
      <c r="G256" s="3"/>
      <c r="H256" s="3"/>
      <c r="I256" s="3"/>
      <c r="J256" s="3"/>
      <c r="K256" s="3"/>
      <c r="L256" s="3"/>
      <c r="M256" s="3"/>
      <c r="N256" s="3"/>
      <c r="O256" s="3"/>
      <c r="P256" s="3"/>
      <c r="Q256" s="3"/>
      <c r="R256" s="3"/>
      <c r="S256" s="3"/>
      <c r="T256" s="3"/>
      <c r="U256" s="3"/>
      <c r="V256" s="3"/>
      <c r="W256" s="3"/>
      <c r="X256" s="3"/>
      <c r="Y256" s="3"/>
      <c r="Z256" s="3"/>
    </row>
    <row r="257" hidden="1">
      <c r="A257" s="27" t="s">
        <v>1741</v>
      </c>
      <c r="B257" s="29" t="s">
        <v>332</v>
      </c>
      <c r="C257" s="3"/>
      <c r="D257" s="3"/>
      <c r="E257" s="3"/>
      <c r="F257" s="3"/>
      <c r="G257" s="3"/>
      <c r="H257" s="3"/>
      <c r="I257" s="3"/>
      <c r="J257" s="3"/>
      <c r="K257" s="3"/>
      <c r="L257" s="3"/>
      <c r="M257" s="3"/>
      <c r="N257" s="3"/>
      <c r="O257" s="3"/>
      <c r="P257" s="3"/>
      <c r="Q257" s="3"/>
      <c r="R257" s="3"/>
      <c r="S257" s="3"/>
      <c r="T257" s="3"/>
      <c r="U257" s="3"/>
      <c r="V257" s="3"/>
      <c r="W257" s="3"/>
      <c r="X257" s="3"/>
      <c r="Y257" s="3"/>
      <c r="Z257" s="3"/>
    </row>
    <row r="258" hidden="1">
      <c r="A258" s="27" t="s">
        <v>1747</v>
      </c>
      <c r="B258" s="29" t="s">
        <v>333</v>
      </c>
      <c r="C258" s="3"/>
      <c r="D258" s="3"/>
      <c r="E258" s="3"/>
      <c r="F258" s="3"/>
      <c r="G258" s="3"/>
      <c r="H258" s="3"/>
      <c r="I258" s="3"/>
      <c r="J258" s="3"/>
      <c r="K258" s="3"/>
      <c r="L258" s="3"/>
      <c r="M258" s="3"/>
      <c r="N258" s="3"/>
      <c r="O258" s="3"/>
      <c r="P258" s="3"/>
      <c r="Q258" s="3"/>
      <c r="R258" s="3"/>
      <c r="S258" s="3"/>
      <c r="T258" s="3"/>
      <c r="U258" s="3"/>
      <c r="V258" s="3"/>
      <c r="W258" s="3"/>
      <c r="X258" s="3"/>
      <c r="Y258" s="3"/>
      <c r="Z258" s="3"/>
    </row>
    <row r="259" hidden="1">
      <c r="A259" s="27" t="s">
        <v>1753</v>
      </c>
      <c r="B259" s="29" t="s">
        <v>335</v>
      </c>
      <c r="C259" s="3"/>
      <c r="D259" s="3"/>
      <c r="E259" s="3"/>
      <c r="F259" s="3"/>
      <c r="G259" s="3"/>
      <c r="H259" s="3"/>
      <c r="I259" s="3"/>
      <c r="J259" s="3"/>
      <c r="K259" s="3"/>
      <c r="L259" s="3"/>
      <c r="M259" s="3"/>
      <c r="N259" s="3"/>
      <c r="O259" s="3"/>
      <c r="P259" s="3"/>
      <c r="Q259" s="3"/>
      <c r="R259" s="3"/>
      <c r="S259" s="3"/>
      <c r="T259" s="3"/>
      <c r="U259" s="3"/>
      <c r="V259" s="3"/>
      <c r="W259" s="3"/>
      <c r="X259" s="3"/>
      <c r="Y259" s="3"/>
      <c r="Z259" s="3"/>
    </row>
    <row r="260" hidden="1">
      <c r="A260" s="27" t="s">
        <v>1759</v>
      </c>
      <c r="B260" s="29" t="s">
        <v>336</v>
      </c>
      <c r="C260" s="3"/>
      <c r="D260" s="3"/>
      <c r="E260" s="3"/>
      <c r="F260" s="3"/>
      <c r="G260" s="3"/>
      <c r="H260" s="3"/>
      <c r="I260" s="3"/>
      <c r="J260" s="3"/>
      <c r="K260" s="3"/>
      <c r="L260" s="3"/>
      <c r="M260" s="3"/>
      <c r="N260" s="3"/>
      <c r="O260" s="3"/>
      <c r="P260" s="3"/>
      <c r="Q260" s="3"/>
      <c r="R260" s="3"/>
      <c r="S260" s="3"/>
      <c r="T260" s="3"/>
      <c r="U260" s="3"/>
      <c r="V260" s="3"/>
      <c r="W260" s="3"/>
      <c r="X260" s="3"/>
      <c r="Y260" s="3"/>
      <c r="Z260" s="3"/>
    </row>
    <row r="261" hidden="1">
      <c r="A261" s="27" t="s">
        <v>1765</v>
      </c>
      <c r="B261" s="29" t="s">
        <v>337</v>
      </c>
      <c r="C261" s="3"/>
      <c r="D261" s="3"/>
      <c r="E261" s="3"/>
      <c r="F261" s="3"/>
      <c r="G261" s="3"/>
      <c r="H261" s="3"/>
      <c r="I261" s="3"/>
      <c r="J261" s="3"/>
      <c r="K261" s="3"/>
      <c r="L261" s="3"/>
      <c r="M261" s="3"/>
      <c r="N261" s="3"/>
      <c r="O261" s="3"/>
      <c r="P261" s="3"/>
      <c r="Q261" s="3"/>
      <c r="R261" s="3"/>
      <c r="S261" s="3"/>
      <c r="T261" s="3"/>
      <c r="U261" s="3"/>
      <c r="V261" s="3"/>
      <c r="W261" s="3"/>
      <c r="X261" s="3"/>
      <c r="Y261" s="3"/>
      <c r="Z261" s="3"/>
    </row>
    <row r="262" hidden="1">
      <c r="A262" s="27" t="s">
        <v>1770</v>
      </c>
      <c r="B262" s="29" t="s">
        <v>339</v>
      </c>
      <c r="C262" s="3"/>
      <c r="D262" s="3"/>
      <c r="E262" s="3"/>
      <c r="F262" s="3"/>
      <c r="G262" s="3"/>
      <c r="H262" s="3"/>
      <c r="I262" s="3"/>
      <c r="J262" s="3"/>
      <c r="K262" s="3"/>
      <c r="L262" s="3"/>
      <c r="M262" s="3"/>
      <c r="N262" s="3"/>
      <c r="O262" s="3"/>
      <c r="P262" s="3"/>
      <c r="Q262" s="3"/>
      <c r="R262" s="3"/>
      <c r="S262" s="3"/>
      <c r="T262" s="3"/>
      <c r="U262" s="3"/>
      <c r="V262" s="3"/>
      <c r="W262" s="3"/>
      <c r="X262" s="3"/>
      <c r="Y262" s="3"/>
      <c r="Z262" s="3"/>
    </row>
    <row r="263" hidden="1">
      <c r="A263" s="27" t="s">
        <v>1774</v>
      </c>
      <c r="B263" s="29" t="s">
        <v>340</v>
      </c>
      <c r="C263" s="3"/>
      <c r="D263" s="3"/>
      <c r="E263" s="3"/>
      <c r="F263" s="3"/>
      <c r="G263" s="3"/>
      <c r="H263" s="3"/>
      <c r="I263" s="3"/>
      <c r="J263" s="3"/>
      <c r="K263" s="3"/>
      <c r="L263" s="3"/>
      <c r="M263" s="3"/>
      <c r="N263" s="3"/>
      <c r="O263" s="3"/>
      <c r="P263" s="3"/>
      <c r="Q263" s="3"/>
      <c r="R263" s="3"/>
      <c r="S263" s="3"/>
      <c r="T263" s="3"/>
      <c r="U263" s="3"/>
      <c r="V263" s="3"/>
      <c r="W263" s="3"/>
      <c r="X263" s="3"/>
      <c r="Y263" s="3"/>
      <c r="Z263" s="3"/>
    </row>
    <row r="264" hidden="1">
      <c r="A264" s="27" t="s">
        <v>1781</v>
      </c>
      <c r="B264" s="29" t="s">
        <v>341</v>
      </c>
      <c r="C264" s="3"/>
      <c r="D264" s="3"/>
      <c r="E264" s="3"/>
      <c r="F264" s="3"/>
      <c r="G264" s="3"/>
      <c r="H264" s="3"/>
      <c r="I264" s="3"/>
      <c r="J264" s="3"/>
      <c r="K264" s="3"/>
      <c r="L264" s="3"/>
      <c r="M264" s="3"/>
      <c r="N264" s="3"/>
      <c r="O264" s="3"/>
      <c r="P264" s="3"/>
      <c r="Q264" s="3"/>
      <c r="R264" s="3"/>
      <c r="S264" s="3"/>
      <c r="T264" s="3"/>
      <c r="U264" s="3"/>
      <c r="V264" s="3"/>
      <c r="W264" s="3"/>
      <c r="X264" s="3"/>
      <c r="Y264" s="3"/>
      <c r="Z264" s="3"/>
    </row>
    <row r="265" hidden="1">
      <c r="A265" s="27" t="s">
        <v>1788</v>
      </c>
      <c r="B265" s="29" t="s">
        <v>343</v>
      </c>
      <c r="C265" s="3"/>
      <c r="D265" s="3"/>
      <c r="E265" s="3"/>
      <c r="F265" s="3"/>
      <c r="G265" s="3"/>
      <c r="H265" s="3"/>
      <c r="I265" s="3"/>
      <c r="J265" s="3"/>
      <c r="K265" s="3"/>
      <c r="L265" s="3"/>
      <c r="M265" s="3"/>
      <c r="N265" s="3"/>
      <c r="O265" s="3"/>
      <c r="P265" s="3"/>
      <c r="Q265" s="3"/>
      <c r="R265" s="3"/>
      <c r="S265" s="3"/>
      <c r="T265" s="3"/>
      <c r="U265" s="3"/>
      <c r="V265" s="3"/>
      <c r="W265" s="3"/>
      <c r="X265" s="3"/>
      <c r="Y265" s="3"/>
      <c r="Z265" s="3"/>
    </row>
    <row r="266" hidden="1">
      <c r="A266" s="27" t="s">
        <v>1797</v>
      </c>
      <c r="B266" s="29" t="s">
        <v>344</v>
      </c>
      <c r="C266" s="3"/>
      <c r="D266" s="3"/>
      <c r="E266" s="3"/>
      <c r="F266" s="3"/>
      <c r="G266" s="3"/>
      <c r="H266" s="3"/>
      <c r="I266" s="3"/>
      <c r="J266" s="3"/>
      <c r="K266" s="3"/>
      <c r="L266" s="3"/>
      <c r="M266" s="3"/>
      <c r="N266" s="3"/>
      <c r="O266" s="3"/>
      <c r="P266" s="3"/>
      <c r="Q266" s="3"/>
      <c r="R266" s="3"/>
      <c r="S266" s="3"/>
      <c r="T266" s="3"/>
      <c r="U266" s="3"/>
      <c r="V266" s="3"/>
      <c r="W266" s="3"/>
      <c r="X266" s="3"/>
      <c r="Y266" s="3"/>
      <c r="Z266" s="3"/>
    </row>
    <row r="267" hidden="1">
      <c r="A267" s="27" t="s">
        <v>1806</v>
      </c>
      <c r="B267" s="29" t="s">
        <v>345</v>
      </c>
      <c r="C267" s="3"/>
      <c r="D267" s="3"/>
      <c r="E267" s="3"/>
      <c r="F267" s="3"/>
      <c r="G267" s="3"/>
      <c r="H267" s="3"/>
      <c r="I267" s="3"/>
      <c r="J267" s="3"/>
      <c r="K267" s="3"/>
      <c r="L267" s="3"/>
      <c r="M267" s="3"/>
      <c r="N267" s="3"/>
      <c r="O267" s="3"/>
      <c r="P267" s="3"/>
      <c r="Q267" s="3"/>
      <c r="R267" s="3"/>
      <c r="S267" s="3"/>
      <c r="T267" s="3"/>
      <c r="U267" s="3"/>
      <c r="V267" s="3"/>
      <c r="W267" s="3"/>
      <c r="X267" s="3"/>
      <c r="Y267" s="3"/>
      <c r="Z267" s="3"/>
    </row>
    <row r="268" hidden="1">
      <c r="A268" s="27" t="s">
        <v>1812</v>
      </c>
      <c r="B268" s="29" t="s">
        <v>347</v>
      </c>
      <c r="C268" s="3"/>
      <c r="D268" s="3"/>
      <c r="E268" s="3"/>
      <c r="F268" s="3"/>
      <c r="G268" s="3"/>
      <c r="H268" s="3"/>
      <c r="I268" s="3"/>
      <c r="J268" s="3"/>
      <c r="K268" s="3"/>
      <c r="L268" s="3"/>
      <c r="M268" s="3"/>
      <c r="N268" s="3"/>
      <c r="O268" s="3"/>
      <c r="P268" s="3"/>
      <c r="Q268" s="3"/>
      <c r="R268" s="3"/>
      <c r="S268" s="3"/>
      <c r="T268" s="3"/>
      <c r="U268" s="3"/>
      <c r="V268" s="3"/>
      <c r="W268" s="3"/>
      <c r="X268" s="3"/>
      <c r="Y268" s="3"/>
      <c r="Z268" s="3"/>
    </row>
    <row r="269" hidden="1">
      <c r="A269" s="27" t="s">
        <v>1816</v>
      </c>
      <c r="B269" s="29" t="s">
        <v>348</v>
      </c>
      <c r="C269" s="3"/>
      <c r="D269" s="3"/>
      <c r="E269" s="3"/>
      <c r="F269" s="3"/>
      <c r="G269" s="3"/>
      <c r="H269" s="3"/>
      <c r="I269" s="3"/>
      <c r="J269" s="3"/>
      <c r="K269" s="3"/>
      <c r="L269" s="3"/>
      <c r="M269" s="3"/>
      <c r="N269" s="3"/>
      <c r="O269" s="3"/>
      <c r="P269" s="3"/>
      <c r="Q269" s="3"/>
      <c r="R269" s="3"/>
      <c r="S269" s="3"/>
      <c r="T269" s="3"/>
      <c r="U269" s="3"/>
      <c r="V269" s="3"/>
      <c r="W269" s="3"/>
      <c r="X269" s="3"/>
      <c r="Y269" s="3"/>
      <c r="Z269" s="3"/>
    </row>
    <row r="270" hidden="1">
      <c r="A270" s="27" t="s">
        <v>1820</v>
      </c>
      <c r="B270" s="29" t="s">
        <v>350</v>
      </c>
      <c r="C270" s="3"/>
      <c r="D270" s="3"/>
      <c r="E270" s="3"/>
      <c r="F270" s="3"/>
      <c r="G270" s="3"/>
      <c r="H270" s="3"/>
      <c r="I270" s="3"/>
      <c r="J270" s="3"/>
      <c r="K270" s="3"/>
      <c r="L270" s="3"/>
      <c r="M270" s="3"/>
      <c r="N270" s="3"/>
      <c r="O270" s="3"/>
      <c r="P270" s="3"/>
      <c r="Q270" s="3"/>
      <c r="R270" s="3"/>
      <c r="S270" s="3"/>
      <c r="T270" s="3"/>
      <c r="U270" s="3"/>
      <c r="V270" s="3"/>
      <c r="W270" s="3"/>
      <c r="X270" s="3"/>
      <c r="Y270" s="3"/>
      <c r="Z270" s="3"/>
    </row>
    <row r="271" hidden="1">
      <c r="A271" s="27" t="s">
        <v>1827</v>
      </c>
      <c r="B271" s="29" t="s">
        <v>351</v>
      </c>
      <c r="C271" s="3"/>
      <c r="D271" s="3"/>
      <c r="E271" s="3"/>
      <c r="F271" s="3"/>
      <c r="G271" s="3"/>
      <c r="H271" s="3"/>
      <c r="I271" s="3"/>
      <c r="J271" s="3"/>
      <c r="K271" s="3"/>
      <c r="L271" s="3"/>
      <c r="M271" s="3"/>
      <c r="N271" s="3"/>
      <c r="O271" s="3"/>
      <c r="P271" s="3"/>
      <c r="Q271" s="3"/>
      <c r="R271" s="3"/>
      <c r="S271" s="3"/>
      <c r="T271" s="3"/>
      <c r="U271" s="3"/>
      <c r="V271" s="3"/>
      <c r="W271" s="3"/>
      <c r="X271" s="3"/>
      <c r="Y271" s="3"/>
      <c r="Z271" s="3"/>
    </row>
    <row r="272" hidden="1">
      <c r="A272" s="27" t="s">
        <v>1832</v>
      </c>
      <c r="B272" s="29" t="s">
        <v>352</v>
      </c>
      <c r="C272" s="3"/>
      <c r="D272" s="3"/>
      <c r="E272" s="3"/>
      <c r="F272" s="3"/>
      <c r="G272" s="3"/>
      <c r="H272" s="3"/>
      <c r="I272" s="3"/>
      <c r="J272" s="3"/>
      <c r="K272" s="3"/>
      <c r="L272" s="3"/>
      <c r="M272" s="3"/>
      <c r="N272" s="3"/>
      <c r="O272" s="3"/>
      <c r="P272" s="3"/>
      <c r="Q272" s="3"/>
      <c r="R272" s="3"/>
      <c r="S272" s="3"/>
      <c r="T272" s="3"/>
      <c r="U272" s="3"/>
      <c r="V272" s="3"/>
      <c r="W272" s="3"/>
      <c r="X272" s="3"/>
      <c r="Y272" s="3"/>
      <c r="Z272" s="3"/>
    </row>
    <row r="273" hidden="1">
      <c r="A273" s="27" t="s">
        <v>1839</v>
      </c>
      <c r="B273" s="29" t="s">
        <v>354</v>
      </c>
      <c r="C273" s="3"/>
      <c r="D273" s="3"/>
      <c r="E273" s="3"/>
      <c r="F273" s="3"/>
      <c r="G273" s="3"/>
      <c r="H273" s="3"/>
      <c r="I273" s="3"/>
      <c r="J273" s="3"/>
      <c r="K273" s="3"/>
      <c r="L273" s="3"/>
      <c r="M273" s="3"/>
      <c r="N273" s="3"/>
      <c r="O273" s="3"/>
      <c r="P273" s="3"/>
      <c r="Q273" s="3"/>
      <c r="R273" s="3"/>
      <c r="S273" s="3"/>
      <c r="T273" s="3"/>
      <c r="U273" s="3"/>
      <c r="V273" s="3"/>
      <c r="W273" s="3"/>
      <c r="X273" s="3"/>
      <c r="Y273" s="3"/>
      <c r="Z273" s="3"/>
    </row>
    <row r="274" hidden="1">
      <c r="A274" s="27" t="s">
        <v>1844</v>
      </c>
      <c r="B274" s="29" t="s">
        <v>355</v>
      </c>
      <c r="C274" s="3"/>
      <c r="D274" s="3"/>
      <c r="E274" s="3"/>
      <c r="F274" s="3"/>
      <c r="G274" s="3"/>
      <c r="H274" s="3"/>
      <c r="I274" s="3"/>
      <c r="J274" s="3"/>
      <c r="K274" s="3"/>
      <c r="L274" s="3"/>
      <c r="M274" s="3"/>
      <c r="N274" s="3"/>
      <c r="O274" s="3"/>
      <c r="P274" s="3"/>
      <c r="Q274" s="3"/>
      <c r="R274" s="3"/>
      <c r="S274" s="3"/>
      <c r="T274" s="3"/>
      <c r="U274" s="3"/>
      <c r="V274" s="3"/>
      <c r="W274" s="3"/>
      <c r="X274" s="3"/>
      <c r="Y274" s="3"/>
      <c r="Z274" s="3"/>
    </row>
    <row r="275" hidden="1">
      <c r="A275" s="27" t="s">
        <v>1848</v>
      </c>
      <c r="B275" s="29" t="s">
        <v>357</v>
      </c>
      <c r="C275" s="3"/>
      <c r="D275" s="3"/>
      <c r="E275" s="3"/>
      <c r="F275" s="3"/>
      <c r="G275" s="3"/>
      <c r="H275" s="3"/>
      <c r="I275" s="3"/>
      <c r="J275" s="3"/>
      <c r="K275" s="3"/>
      <c r="L275" s="3"/>
      <c r="M275" s="3"/>
      <c r="N275" s="3"/>
      <c r="O275" s="3"/>
      <c r="P275" s="3"/>
      <c r="Q275" s="3"/>
      <c r="R275" s="3"/>
      <c r="S275" s="3"/>
      <c r="T275" s="3"/>
      <c r="U275" s="3"/>
      <c r="V275" s="3"/>
      <c r="W275" s="3"/>
      <c r="X275" s="3"/>
      <c r="Y275" s="3"/>
      <c r="Z275" s="3"/>
    </row>
    <row r="276" hidden="1">
      <c r="A276" s="27" t="s">
        <v>1853</v>
      </c>
      <c r="B276" s="29" t="s">
        <v>358</v>
      </c>
      <c r="C276" s="3"/>
      <c r="D276" s="3"/>
      <c r="E276" s="3"/>
      <c r="F276" s="3"/>
      <c r="G276" s="3"/>
      <c r="H276" s="3"/>
      <c r="I276" s="3"/>
      <c r="J276" s="3"/>
      <c r="K276" s="3"/>
      <c r="L276" s="3"/>
      <c r="M276" s="3"/>
      <c r="N276" s="3"/>
      <c r="O276" s="3"/>
      <c r="P276" s="3"/>
      <c r="Q276" s="3"/>
      <c r="R276" s="3"/>
      <c r="S276" s="3"/>
      <c r="T276" s="3"/>
      <c r="U276" s="3"/>
      <c r="V276" s="3"/>
      <c r="W276" s="3"/>
      <c r="X276" s="3"/>
      <c r="Y276" s="3"/>
      <c r="Z276" s="3"/>
    </row>
    <row r="277" hidden="1">
      <c r="A277" s="27" t="s">
        <v>1857</v>
      </c>
      <c r="B277" s="29" t="s">
        <v>359</v>
      </c>
      <c r="C277" s="3"/>
      <c r="D277" s="3"/>
      <c r="E277" s="3"/>
      <c r="F277" s="3"/>
      <c r="G277" s="3"/>
      <c r="H277" s="3"/>
      <c r="I277" s="3"/>
      <c r="J277" s="3"/>
      <c r="K277" s="3"/>
      <c r="L277" s="3"/>
      <c r="M277" s="3"/>
      <c r="N277" s="3"/>
      <c r="O277" s="3"/>
      <c r="P277" s="3"/>
      <c r="Q277" s="3"/>
      <c r="R277" s="3"/>
      <c r="S277" s="3"/>
      <c r="T277" s="3"/>
      <c r="U277" s="3"/>
      <c r="V277" s="3"/>
      <c r="W277" s="3"/>
      <c r="X277" s="3"/>
      <c r="Y277" s="3"/>
      <c r="Z277" s="3"/>
    </row>
    <row r="278" hidden="1">
      <c r="A278" s="27" t="s">
        <v>1864</v>
      </c>
      <c r="B278" s="29" t="s">
        <v>362</v>
      </c>
      <c r="C278" s="3"/>
      <c r="D278" s="3"/>
      <c r="E278" s="3"/>
      <c r="F278" s="3"/>
      <c r="G278" s="3"/>
      <c r="H278" s="3"/>
      <c r="I278" s="3"/>
      <c r="J278" s="3"/>
      <c r="K278" s="3"/>
      <c r="L278" s="3"/>
      <c r="M278" s="3"/>
      <c r="N278" s="3"/>
      <c r="O278" s="3"/>
      <c r="P278" s="3"/>
      <c r="Q278" s="3"/>
      <c r="R278" s="3"/>
      <c r="S278" s="3"/>
      <c r="T278" s="3"/>
      <c r="U278" s="3"/>
      <c r="V278" s="3"/>
      <c r="W278" s="3"/>
      <c r="X278" s="3"/>
      <c r="Y278" s="3"/>
      <c r="Z278" s="3"/>
    </row>
    <row r="279" hidden="1">
      <c r="A279" s="27" t="s">
        <v>1868</v>
      </c>
      <c r="B279" s="29" t="s">
        <v>363</v>
      </c>
      <c r="C279" s="3"/>
      <c r="D279" s="3"/>
      <c r="E279" s="3"/>
      <c r="F279" s="3"/>
      <c r="G279" s="3"/>
      <c r="H279" s="3"/>
      <c r="I279" s="3"/>
      <c r="J279" s="3"/>
      <c r="K279" s="3"/>
      <c r="L279" s="3"/>
      <c r="M279" s="3"/>
      <c r="N279" s="3"/>
      <c r="O279" s="3"/>
      <c r="P279" s="3"/>
      <c r="Q279" s="3"/>
      <c r="R279" s="3"/>
      <c r="S279" s="3"/>
      <c r="T279" s="3"/>
      <c r="U279" s="3"/>
      <c r="V279" s="3"/>
      <c r="W279" s="3"/>
      <c r="X279" s="3"/>
      <c r="Y279" s="3"/>
      <c r="Z279" s="3"/>
    </row>
    <row r="280" hidden="1">
      <c r="A280" s="27" t="s">
        <v>1871</v>
      </c>
      <c r="B280" s="29" t="s">
        <v>364</v>
      </c>
      <c r="C280" s="3"/>
      <c r="D280" s="3"/>
      <c r="E280" s="3"/>
      <c r="F280" s="3"/>
      <c r="G280" s="3"/>
      <c r="H280" s="3"/>
      <c r="I280" s="3"/>
      <c r="J280" s="3"/>
      <c r="K280" s="3"/>
      <c r="L280" s="3"/>
      <c r="M280" s="3"/>
      <c r="N280" s="3"/>
      <c r="O280" s="3"/>
      <c r="P280" s="3"/>
      <c r="Q280" s="3"/>
      <c r="R280" s="3"/>
      <c r="S280" s="3"/>
      <c r="T280" s="3"/>
      <c r="U280" s="3"/>
      <c r="V280" s="3"/>
      <c r="W280" s="3"/>
      <c r="X280" s="3"/>
      <c r="Y280" s="3"/>
      <c r="Z280" s="3"/>
    </row>
    <row r="281" hidden="1">
      <c r="A281" s="27" t="s">
        <v>1878</v>
      </c>
      <c r="B281" s="29" t="s">
        <v>366</v>
      </c>
      <c r="C281" s="3"/>
      <c r="D281" s="3"/>
      <c r="E281" s="3"/>
      <c r="F281" s="3"/>
      <c r="G281" s="3"/>
      <c r="H281" s="3"/>
      <c r="I281" s="3"/>
      <c r="J281" s="3"/>
      <c r="K281" s="3"/>
      <c r="L281" s="3"/>
      <c r="M281" s="3"/>
      <c r="N281" s="3"/>
      <c r="O281" s="3"/>
      <c r="P281" s="3"/>
      <c r="Q281" s="3"/>
      <c r="R281" s="3"/>
      <c r="S281" s="3"/>
      <c r="T281" s="3"/>
      <c r="U281" s="3"/>
      <c r="V281" s="3"/>
      <c r="W281" s="3"/>
      <c r="X281" s="3"/>
      <c r="Y281" s="3"/>
      <c r="Z281" s="3"/>
    </row>
    <row r="282" hidden="1">
      <c r="A282" s="27" t="s">
        <v>1882</v>
      </c>
      <c r="B282" s="29" t="s">
        <v>367</v>
      </c>
      <c r="C282" s="3"/>
      <c r="D282" s="3"/>
      <c r="E282" s="3"/>
      <c r="F282" s="3"/>
      <c r="G282" s="3"/>
      <c r="H282" s="3"/>
      <c r="I282" s="3"/>
      <c r="J282" s="3"/>
      <c r="K282" s="3"/>
      <c r="L282" s="3"/>
      <c r="M282" s="3"/>
      <c r="N282" s="3"/>
      <c r="O282" s="3"/>
      <c r="P282" s="3"/>
      <c r="Q282" s="3"/>
      <c r="R282" s="3"/>
      <c r="S282" s="3"/>
      <c r="T282" s="3"/>
      <c r="U282" s="3"/>
      <c r="V282" s="3"/>
      <c r="W282" s="3"/>
      <c r="X282" s="3"/>
      <c r="Y282" s="3"/>
      <c r="Z282" s="3"/>
    </row>
    <row r="283" hidden="1">
      <c r="A283" s="27" t="s">
        <v>1889</v>
      </c>
      <c r="B283" s="29" t="s">
        <v>368</v>
      </c>
      <c r="C283" s="3"/>
      <c r="D283" s="3"/>
      <c r="E283" s="3"/>
      <c r="F283" s="3"/>
      <c r="G283" s="3"/>
      <c r="H283" s="3"/>
      <c r="I283" s="3"/>
      <c r="J283" s="3"/>
      <c r="K283" s="3"/>
      <c r="L283" s="3"/>
      <c r="M283" s="3"/>
      <c r="N283" s="3"/>
      <c r="O283" s="3"/>
      <c r="P283" s="3"/>
      <c r="Q283" s="3"/>
      <c r="R283" s="3"/>
      <c r="S283" s="3"/>
      <c r="T283" s="3"/>
      <c r="U283" s="3"/>
      <c r="V283" s="3"/>
      <c r="W283" s="3"/>
      <c r="X283" s="3"/>
      <c r="Y283" s="3"/>
      <c r="Z283" s="3"/>
    </row>
    <row r="284" hidden="1">
      <c r="A284" s="27" t="s">
        <v>1893</v>
      </c>
      <c r="B284" s="29" t="s">
        <v>370</v>
      </c>
      <c r="C284" s="3"/>
      <c r="D284" s="3"/>
      <c r="E284" s="3"/>
      <c r="F284" s="3"/>
      <c r="G284" s="3"/>
      <c r="H284" s="3"/>
      <c r="I284" s="3"/>
      <c r="J284" s="3"/>
      <c r="K284" s="3"/>
      <c r="L284" s="3"/>
      <c r="M284" s="3"/>
      <c r="N284" s="3"/>
      <c r="O284" s="3"/>
      <c r="P284" s="3"/>
      <c r="Q284" s="3"/>
      <c r="R284" s="3"/>
      <c r="S284" s="3"/>
      <c r="T284" s="3"/>
      <c r="U284" s="3"/>
      <c r="V284" s="3"/>
      <c r="W284" s="3"/>
      <c r="X284" s="3"/>
      <c r="Y284" s="3"/>
      <c r="Z284" s="3"/>
    </row>
    <row r="285" hidden="1">
      <c r="A285" s="27" t="s">
        <v>1900</v>
      </c>
      <c r="B285" s="29" t="s">
        <v>371</v>
      </c>
      <c r="C285" s="3"/>
      <c r="D285" s="3"/>
      <c r="E285" s="3"/>
      <c r="F285" s="3"/>
      <c r="G285" s="3"/>
      <c r="H285" s="3"/>
      <c r="I285" s="3"/>
      <c r="J285" s="3"/>
      <c r="K285" s="3"/>
      <c r="L285" s="3"/>
      <c r="M285" s="3"/>
      <c r="N285" s="3"/>
      <c r="O285" s="3"/>
      <c r="P285" s="3"/>
      <c r="Q285" s="3"/>
      <c r="R285" s="3"/>
      <c r="S285" s="3"/>
      <c r="T285" s="3"/>
      <c r="U285" s="3"/>
      <c r="V285" s="3"/>
      <c r="W285" s="3"/>
      <c r="X285" s="3"/>
      <c r="Y285" s="3"/>
      <c r="Z285" s="3"/>
    </row>
    <row r="286" hidden="1">
      <c r="A286" s="27" t="s">
        <v>1906</v>
      </c>
      <c r="B286" s="29" t="s">
        <v>372</v>
      </c>
      <c r="C286" s="3"/>
      <c r="D286" s="3"/>
      <c r="E286" s="3"/>
      <c r="F286" s="3"/>
      <c r="G286" s="3"/>
      <c r="H286" s="3"/>
      <c r="I286" s="3"/>
      <c r="J286" s="3"/>
      <c r="K286" s="3"/>
      <c r="L286" s="3"/>
      <c r="M286" s="3"/>
      <c r="N286" s="3"/>
      <c r="O286" s="3"/>
      <c r="P286" s="3"/>
      <c r="Q286" s="3"/>
      <c r="R286" s="3"/>
      <c r="S286" s="3"/>
      <c r="T286" s="3"/>
      <c r="U286" s="3"/>
      <c r="V286" s="3"/>
      <c r="W286" s="3"/>
      <c r="X286" s="3"/>
      <c r="Y286" s="3"/>
      <c r="Z286" s="3"/>
    </row>
    <row r="287" hidden="1">
      <c r="A287" s="27" t="s">
        <v>1911</v>
      </c>
      <c r="B287" s="29" t="s">
        <v>374</v>
      </c>
      <c r="C287" s="3"/>
      <c r="D287" s="3"/>
      <c r="E287" s="3"/>
      <c r="F287" s="3"/>
      <c r="G287" s="3"/>
      <c r="H287" s="3"/>
      <c r="I287" s="3"/>
      <c r="J287" s="3"/>
      <c r="K287" s="3"/>
      <c r="L287" s="3"/>
      <c r="M287" s="3"/>
      <c r="N287" s="3"/>
      <c r="O287" s="3"/>
      <c r="P287" s="3"/>
      <c r="Q287" s="3"/>
      <c r="R287" s="3"/>
      <c r="S287" s="3"/>
      <c r="T287" s="3"/>
      <c r="U287" s="3"/>
      <c r="V287" s="3"/>
      <c r="W287" s="3"/>
      <c r="X287" s="3"/>
      <c r="Y287" s="3"/>
      <c r="Z287" s="3"/>
    </row>
    <row r="288" hidden="1">
      <c r="A288" s="27" t="s">
        <v>1918</v>
      </c>
      <c r="B288" s="29" t="s">
        <v>375</v>
      </c>
      <c r="C288" s="3"/>
      <c r="D288" s="3"/>
      <c r="E288" s="3"/>
      <c r="F288" s="3"/>
      <c r="G288" s="3"/>
      <c r="H288" s="3"/>
      <c r="I288" s="3"/>
      <c r="J288" s="3"/>
      <c r="K288" s="3"/>
      <c r="L288" s="3"/>
      <c r="M288" s="3"/>
      <c r="N288" s="3"/>
      <c r="O288" s="3"/>
      <c r="P288" s="3"/>
      <c r="Q288" s="3"/>
      <c r="R288" s="3"/>
      <c r="S288" s="3"/>
      <c r="T288" s="3"/>
      <c r="U288" s="3"/>
      <c r="V288" s="3"/>
      <c r="W288" s="3"/>
      <c r="X288" s="3"/>
      <c r="Y288" s="3"/>
      <c r="Z288" s="3"/>
    </row>
    <row r="289" hidden="1">
      <c r="A289" s="27" t="s">
        <v>1924</v>
      </c>
      <c r="B289" s="29" t="s">
        <v>376</v>
      </c>
      <c r="C289" s="3"/>
      <c r="D289" s="3"/>
      <c r="E289" s="3"/>
      <c r="F289" s="3"/>
      <c r="G289" s="3"/>
      <c r="H289" s="3"/>
      <c r="I289" s="3"/>
      <c r="J289" s="3"/>
      <c r="K289" s="3"/>
      <c r="L289" s="3"/>
      <c r="M289" s="3"/>
      <c r="N289" s="3"/>
      <c r="O289" s="3"/>
      <c r="P289" s="3"/>
      <c r="Q289" s="3"/>
      <c r="R289" s="3"/>
      <c r="S289" s="3"/>
      <c r="T289" s="3"/>
      <c r="U289" s="3"/>
      <c r="V289" s="3"/>
      <c r="W289" s="3"/>
      <c r="X289" s="3"/>
      <c r="Y289" s="3"/>
      <c r="Z289" s="3"/>
    </row>
    <row r="290" hidden="1">
      <c r="A290" s="27" t="s">
        <v>1930</v>
      </c>
      <c r="B290" s="29" t="s">
        <v>378</v>
      </c>
      <c r="C290" s="3"/>
      <c r="D290" s="3"/>
      <c r="E290" s="3"/>
      <c r="F290" s="3"/>
      <c r="G290" s="3"/>
      <c r="H290" s="3"/>
      <c r="I290" s="3"/>
      <c r="J290" s="3"/>
      <c r="K290" s="3"/>
      <c r="L290" s="3"/>
      <c r="M290" s="3"/>
      <c r="N290" s="3"/>
      <c r="O290" s="3"/>
      <c r="P290" s="3"/>
      <c r="Q290" s="3"/>
      <c r="R290" s="3"/>
      <c r="S290" s="3"/>
      <c r="T290" s="3"/>
      <c r="U290" s="3"/>
      <c r="V290" s="3"/>
      <c r="W290" s="3"/>
      <c r="X290" s="3"/>
      <c r="Y290" s="3"/>
      <c r="Z290" s="3"/>
    </row>
    <row r="291" hidden="1">
      <c r="A291" s="27" t="s">
        <v>1936</v>
      </c>
      <c r="B291" s="29" t="s">
        <v>379</v>
      </c>
      <c r="C291" s="3"/>
      <c r="D291" s="3"/>
      <c r="E291" s="3"/>
      <c r="F291" s="3"/>
      <c r="G291" s="3"/>
      <c r="H291" s="3"/>
      <c r="I291" s="3"/>
      <c r="J291" s="3"/>
      <c r="K291" s="3"/>
      <c r="L291" s="3"/>
      <c r="M291" s="3"/>
      <c r="N291" s="3"/>
      <c r="O291" s="3"/>
      <c r="P291" s="3"/>
      <c r="Q291" s="3"/>
      <c r="R291" s="3"/>
      <c r="S291" s="3"/>
      <c r="T291" s="3"/>
      <c r="U291" s="3"/>
      <c r="V291" s="3"/>
      <c r="W291" s="3"/>
      <c r="X291" s="3"/>
      <c r="Y291" s="3"/>
      <c r="Z291" s="3"/>
    </row>
    <row r="292" hidden="1">
      <c r="A292" s="27" t="s">
        <v>1943</v>
      </c>
      <c r="B292" s="29" t="s">
        <v>380</v>
      </c>
      <c r="C292" s="3"/>
      <c r="D292" s="3"/>
      <c r="E292" s="3"/>
      <c r="F292" s="3"/>
      <c r="G292" s="3"/>
      <c r="H292" s="3"/>
      <c r="I292" s="3"/>
      <c r="J292" s="3"/>
      <c r="K292" s="3"/>
      <c r="L292" s="3"/>
      <c r="M292" s="3"/>
      <c r="N292" s="3"/>
      <c r="O292" s="3"/>
      <c r="P292" s="3"/>
      <c r="Q292" s="3"/>
      <c r="R292" s="3"/>
      <c r="S292" s="3"/>
      <c r="T292" s="3"/>
      <c r="U292" s="3"/>
      <c r="V292" s="3"/>
      <c r="W292" s="3"/>
      <c r="X292" s="3"/>
      <c r="Y292" s="3"/>
      <c r="Z292" s="3"/>
    </row>
    <row r="293" hidden="1">
      <c r="A293" s="27" t="s">
        <v>1956</v>
      </c>
      <c r="B293" s="29" t="s">
        <v>382</v>
      </c>
      <c r="C293" s="3"/>
      <c r="D293" s="3"/>
      <c r="E293" s="3"/>
      <c r="F293" s="3"/>
      <c r="G293" s="3"/>
      <c r="H293" s="3"/>
      <c r="I293" s="3"/>
      <c r="J293" s="3"/>
      <c r="K293" s="3"/>
      <c r="L293" s="3"/>
      <c r="M293" s="3"/>
      <c r="N293" s="3"/>
      <c r="O293" s="3"/>
      <c r="P293" s="3"/>
      <c r="Q293" s="3"/>
      <c r="R293" s="3"/>
      <c r="S293" s="3"/>
      <c r="T293" s="3"/>
      <c r="U293" s="3"/>
      <c r="V293" s="3"/>
      <c r="W293" s="3"/>
      <c r="X293" s="3"/>
      <c r="Y293" s="3"/>
      <c r="Z293" s="3"/>
    </row>
    <row r="294" hidden="1">
      <c r="A294" s="27" t="s">
        <v>1962</v>
      </c>
      <c r="B294" s="29" t="s">
        <v>383</v>
      </c>
      <c r="C294" s="3"/>
      <c r="D294" s="3"/>
      <c r="E294" s="3"/>
      <c r="F294" s="3"/>
      <c r="G294" s="3"/>
      <c r="H294" s="3"/>
      <c r="I294" s="3"/>
      <c r="J294" s="3"/>
      <c r="K294" s="3"/>
      <c r="L294" s="3"/>
      <c r="M294" s="3"/>
      <c r="N294" s="3"/>
      <c r="O294" s="3"/>
      <c r="P294" s="3"/>
      <c r="Q294" s="3"/>
      <c r="R294" s="3"/>
      <c r="S294" s="3"/>
      <c r="T294" s="3"/>
      <c r="U294" s="3"/>
      <c r="V294" s="3"/>
      <c r="W294" s="3"/>
      <c r="X294" s="3"/>
      <c r="Y294" s="3"/>
      <c r="Z294" s="3"/>
    </row>
    <row r="295" hidden="1">
      <c r="A295" s="27" t="s">
        <v>1967</v>
      </c>
      <c r="B295" s="29" t="s">
        <v>385</v>
      </c>
      <c r="C295" s="3"/>
      <c r="D295" s="3"/>
      <c r="E295" s="3"/>
      <c r="F295" s="3"/>
      <c r="G295" s="3"/>
      <c r="H295" s="3"/>
      <c r="I295" s="3"/>
      <c r="J295" s="3"/>
      <c r="K295" s="3"/>
      <c r="L295" s="3"/>
      <c r="M295" s="3"/>
      <c r="N295" s="3"/>
      <c r="O295" s="3"/>
      <c r="P295" s="3"/>
      <c r="Q295" s="3"/>
      <c r="R295" s="3"/>
      <c r="S295" s="3"/>
      <c r="T295" s="3"/>
      <c r="U295" s="3"/>
      <c r="V295" s="3"/>
      <c r="W295" s="3"/>
      <c r="X295" s="3"/>
      <c r="Y295" s="3"/>
      <c r="Z295" s="3"/>
    </row>
    <row r="296" hidden="1">
      <c r="A296" s="27" t="s">
        <v>1972</v>
      </c>
      <c r="B296" s="29" t="s">
        <v>386</v>
      </c>
      <c r="C296" s="3"/>
      <c r="D296" s="3"/>
      <c r="E296" s="3"/>
      <c r="F296" s="3"/>
      <c r="G296" s="3"/>
      <c r="H296" s="3"/>
      <c r="I296" s="3"/>
      <c r="J296" s="3"/>
      <c r="K296" s="3"/>
      <c r="L296" s="3"/>
      <c r="M296" s="3"/>
      <c r="N296" s="3"/>
      <c r="O296" s="3"/>
      <c r="P296" s="3"/>
      <c r="Q296" s="3"/>
      <c r="R296" s="3"/>
      <c r="S296" s="3"/>
      <c r="T296" s="3"/>
      <c r="U296" s="3"/>
      <c r="V296" s="3"/>
      <c r="W296" s="3"/>
      <c r="X296" s="3"/>
      <c r="Y296" s="3"/>
      <c r="Z296" s="3"/>
    </row>
    <row r="297" hidden="1">
      <c r="A297" s="27" t="s">
        <v>1976</v>
      </c>
      <c r="B297" s="29" t="s">
        <v>387</v>
      </c>
      <c r="C297" s="3"/>
      <c r="D297" s="3"/>
      <c r="E297" s="3"/>
      <c r="F297" s="3"/>
      <c r="G297" s="3"/>
      <c r="H297" s="3"/>
      <c r="I297" s="3"/>
      <c r="J297" s="3"/>
      <c r="K297" s="3"/>
      <c r="L297" s="3"/>
      <c r="M297" s="3"/>
      <c r="N297" s="3"/>
      <c r="O297" s="3"/>
      <c r="P297" s="3"/>
      <c r="Q297" s="3"/>
      <c r="R297" s="3"/>
      <c r="S297" s="3"/>
      <c r="T297" s="3"/>
      <c r="U297" s="3"/>
      <c r="V297" s="3"/>
      <c r="W297" s="3"/>
      <c r="X297" s="3"/>
      <c r="Y297" s="3"/>
      <c r="Z297" s="3"/>
    </row>
    <row r="298" hidden="1">
      <c r="A298" s="27" t="s">
        <v>1981</v>
      </c>
      <c r="B298" s="29" t="s">
        <v>389</v>
      </c>
      <c r="C298" s="3"/>
      <c r="D298" s="3"/>
      <c r="E298" s="3"/>
      <c r="F298" s="3"/>
      <c r="G298" s="3"/>
      <c r="H298" s="3"/>
      <c r="I298" s="3"/>
      <c r="J298" s="3"/>
      <c r="K298" s="3"/>
      <c r="L298" s="3"/>
      <c r="M298" s="3"/>
      <c r="N298" s="3"/>
      <c r="O298" s="3"/>
      <c r="P298" s="3"/>
      <c r="Q298" s="3"/>
      <c r="R298" s="3"/>
      <c r="S298" s="3"/>
      <c r="T298" s="3"/>
      <c r="U298" s="3"/>
      <c r="V298" s="3"/>
      <c r="W298" s="3"/>
      <c r="X298" s="3"/>
      <c r="Y298" s="3"/>
      <c r="Z298" s="3"/>
    </row>
    <row r="299" hidden="1">
      <c r="A299" s="27" t="s">
        <v>1986</v>
      </c>
      <c r="B299" s="29" t="s">
        <v>390</v>
      </c>
      <c r="C299" s="3"/>
      <c r="D299" s="3"/>
      <c r="E299" s="3"/>
      <c r="F299" s="3"/>
      <c r="G299" s="3"/>
      <c r="H299" s="3"/>
      <c r="I299" s="3"/>
      <c r="J299" s="3"/>
      <c r="K299" s="3"/>
      <c r="L299" s="3"/>
      <c r="M299" s="3"/>
      <c r="N299" s="3"/>
      <c r="O299" s="3"/>
      <c r="P299" s="3"/>
      <c r="Q299" s="3"/>
      <c r="R299" s="3"/>
      <c r="S299" s="3"/>
      <c r="T299" s="3"/>
      <c r="U299" s="3"/>
      <c r="V299" s="3"/>
      <c r="W299" s="3"/>
      <c r="X299" s="3"/>
      <c r="Y299" s="3"/>
      <c r="Z299" s="3"/>
    </row>
    <row r="300" hidden="1">
      <c r="A300" s="27" t="s">
        <v>1990</v>
      </c>
      <c r="B300" s="29" t="s">
        <v>392</v>
      </c>
      <c r="C300" s="3"/>
      <c r="D300" s="3"/>
      <c r="E300" s="3"/>
      <c r="F300" s="3"/>
      <c r="G300" s="3"/>
      <c r="H300" s="3"/>
      <c r="I300" s="3"/>
      <c r="J300" s="3"/>
      <c r="K300" s="3"/>
      <c r="L300" s="3"/>
      <c r="M300" s="3"/>
      <c r="N300" s="3"/>
      <c r="O300" s="3"/>
      <c r="P300" s="3"/>
      <c r="Q300" s="3"/>
      <c r="R300" s="3"/>
      <c r="S300" s="3"/>
      <c r="T300" s="3"/>
      <c r="U300" s="3"/>
      <c r="V300" s="3"/>
      <c r="W300" s="3"/>
      <c r="X300" s="3"/>
      <c r="Y300" s="3"/>
      <c r="Z300" s="3"/>
    </row>
    <row r="301" hidden="1">
      <c r="A301" s="27" t="s">
        <v>1995</v>
      </c>
      <c r="B301" s="29" t="s">
        <v>394</v>
      </c>
      <c r="C301" s="3"/>
      <c r="D301" s="3"/>
      <c r="E301" s="3"/>
      <c r="F301" s="3"/>
      <c r="G301" s="3"/>
      <c r="H301" s="3"/>
      <c r="I301" s="3"/>
      <c r="J301" s="3"/>
      <c r="K301" s="3"/>
      <c r="L301" s="3"/>
      <c r="M301" s="3"/>
      <c r="N301" s="3"/>
      <c r="O301" s="3"/>
      <c r="P301" s="3"/>
      <c r="Q301" s="3"/>
      <c r="R301" s="3"/>
      <c r="S301" s="3"/>
      <c r="T301" s="3"/>
      <c r="U301" s="3"/>
      <c r="V301" s="3"/>
      <c r="W301" s="3"/>
      <c r="X301" s="3"/>
      <c r="Y301" s="3"/>
      <c r="Z301" s="3"/>
    </row>
    <row r="302" hidden="1">
      <c r="A302" s="27" t="s">
        <v>1999</v>
      </c>
      <c r="B302" s="29" t="s">
        <v>395</v>
      </c>
      <c r="C302" s="3"/>
      <c r="D302" s="3"/>
      <c r="E302" s="3"/>
      <c r="F302" s="3"/>
      <c r="G302" s="3"/>
      <c r="H302" s="3"/>
      <c r="I302" s="3"/>
      <c r="J302" s="3"/>
      <c r="K302" s="3"/>
      <c r="L302" s="3"/>
      <c r="M302" s="3"/>
      <c r="N302" s="3"/>
      <c r="O302" s="3"/>
      <c r="P302" s="3"/>
      <c r="Q302" s="3"/>
      <c r="R302" s="3"/>
      <c r="S302" s="3"/>
      <c r="T302" s="3"/>
      <c r="U302" s="3"/>
      <c r="V302" s="3"/>
      <c r="W302" s="3"/>
      <c r="X302" s="3"/>
      <c r="Y302" s="3"/>
      <c r="Z302" s="3"/>
    </row>
    <row r="303" hidden="1">
      <c r="A303" s="27" t="s">
        <v>2005</v>
      </c>
      <c r="B303" s="29" t="s">
        <v>396</v>
      </c>
      <c r="C303" s="3"/>
      <c r="D303" s="3"/>
      <c r="E303" s="3"/>
      <c r="F303" s="3"/>
      <c r="G303" s="3"/>
      <c r="H303" s="3"/>
      <c r="I303" s="3"/>
      <c r="J303" s="3"/>
      <c r="K303" s="3"/>
      <c r="L303" s="3"/>
      <c r="M303" s="3"/>
      <c r="N303" s="3"/>
      <c r="O303" s="3"/>
      <c r="P303" s="3"/>
      <c r="Q303" s="3"/>
      <c r="R303" s="3"/>
      <c r="S303" s="3"/>
      <c r="T303" s="3"/>
      <c r="U303" s="3"/>
      <c r="V303" s="3"/>
      <c r="W303" s="3"/>
      <c r="X303" s="3"/>
      <c r="Y303" s="3"/>
      <c r="Z303" s="3"/>
    </row>
    <row r="304" hidden="1">
      <c r="A304" s="27" t="s">
        <v>2012</v>
      </c>
      <c r="B304" s="29" t="s">
        <v>397</v>
      </c>
      <c r="C304" s="3"/>
      <c r="D304" s="3"/>
      <c r="E304" s="3"/>
      <c r="F304" s="3"/>
      <c r="G304" s="3"/>
      <c r="H304" s="3"/>
      <c r="I304" s="3"/>
      <c r="J304" s="3"/>
      <c r="K304" s="3"/>
      <c r="L304" s="3"/>
      <c r="M304" s="3"/>
      <c r="N304" s="3"/>
      <c r="O304" s="3"/>
      <c r="P304" s="3"/>
      <c r="Q304" s="3"/>
      <c r="R304" s="3"/>
      <c r="S304" s="3"/>
      <c r="T304" s="3"/>
      <c r="U304" s="3"/>
      <c r="V304" s="3"/>
      <c r="W304" s="3"/>
      <c r="X304" s="3"/>
      <c r="Y304" s="3"/>
      <c r="Z304" s="3"/>
    </row>
    <row r="305" hidden="1">
      <c r="A305" s="27" t="s">
        <v>2018</v>
      </c>
      <c r="B305" s="29" t="s">
        <v>399</v>
      </c>
      <c r="C305" s="3"/>
      <c r="D305" s="3"/>
      <c r="E305" s="3"/>
      <c r="F305" s="3"/>
      <c r="G305" s="3"/>
      <c r="H305" s="3"/>
      <c r="I305" s="3"/>
      <c r="J305" s="3"/>
      <c r="K305" s="3"/>
      <c r="L305" s="3"/>
      <c r="M305" s="3"/>
      <c r="N305" s="3"/>
      <c r="O305" s="3"/>
      <c r="P305" s="3"/>
      <c r="Q305" s="3"/>
      <c r="R305" s="3"/>
      <c r="S305" s="3"/>
      <c r="T305" s="3"/>
      <c r="U305" s="3"/>
      <c r="V305" s="3"/>
      <c r="W305" s="3"/>
      <c r="X305" s="3"/>
      <c r="Y305" s="3"/>
      <c r="Z305" s="3"/>
    </row>
    <row r="306" hidden="1">
      <c r="A306" s="27" t="s">
        <v>2024</v>
      </c>
      <c r="B306" s="29" t="s">
        <v>400</v>
      </c>
      <c r="C306" s="3"/>
      <c r="D306" s="3"/>
      <c r="E306" s="3"/>
      <c r="F306" s="3"/>
      <c r="G306" s="3"/>
      <c r="H306" s="3"/>
      <c r="I306" s="3"/>
      <c r="J306" s="3"/>
      <c r="K306" s="3"/>
      <c r="L306" s="3"/>
      <c r="M306" s="3"/>
      <c r="N306" s="3"/>
      <c r="O306" s="3"/>
      <c r="P306" s="3"/>
      <c r="Q306" s="3"/>
      <c r="R306" s="3"/>
      <c r="S306" s="3"/>
      <c r="T306" s="3"/>
      <c r="U306" s="3"/>
      <c r="V306" s="3"/>
      <c r="W306" s="3"/>
      <c r="X306" s="3"/>
      <c r="Y306" s="3"/>
      <c r="Z306" s="3"/>
    </row>
    <row r="307" hidden="1">
      <c r="A307" s="27" t="s">
        <v>2030</v>
      </c>
      <c r="B307" s="29" t="s">
        <v>401</v>
      </c>
      <c r="C307" s="3"/>
      <c r="D307" s="3"/>
      <c r="E307" s="3"/>
      <c r="F307" s="3"/>
      <c r="G307" s="3"/>
      <c r="H307" s="3"/>
      <c r="I307" s="3"/>
      <c r="J307" s="3"/>
      <c r="K307" s="3"/>
      <c r="L307" s="3"/>
      <c r="M307" s="3"/>
      <c r="N307" s="3"/>
      <c r="O307" s="3"/>
      <c r="P307" s="3"/>
      <c r="Q307" s="3"/>
      <c r="R307" s="3"/>
      <c r="S307" s="3"/>
      <c r="T307" s="3"/>
      <c r="U307" s="3"/>
      <c r="V307" s="3"/>
      <c r="W307" s="3"/>
      <c r="X307" s="3"/>
      <c r="Y307" s="3"/>
      <c r="Z307" s="3"/>
    </row>
    <row r="308" hidden="1">
      <c r="A308" s="27" t="s">
        <v>2037</v>
      </c>
      <c r="B308" s="29" t="s">
        <v>402</v>
      </c>
      <c r="C308" s="3"/>
      <c r="D308" s="3"/>
      <c r="E308" s="3"/>
      <c r="F308" s="3"/>
      <c r="G308" s="3"/>
      <c r="H308" s="3"/>
      <c r="I308" s="3"/>
      <c r="J308" s="3"/>
      <c r="K308" s="3"/>
      <c r="L308" s="3"/>
      <c r="M308" s="3"/>
      <c r="N308" s="3"/>
      <c r="O308" s="3"/>
      <c r="P308" s="3"/>
      <c r="Q308" s="3"/>
      <c r="R308" s="3"/>
      <c r="S308" s="3"/>
      <c r="T308" s="3"/>
      <c r="U308" s="3"/>
      <c r="V308" s="3"/>
      <c r="W308" s="3"/>
      <c r="X308" s="3"/>
      <c r="Y308" s="3"/>
      <c r="Z308" s="3"/>
    </row>
    <row r="309" hidden="1">
      <c r="A309" s="27" t="s">
        <v>2044</v>
      </c>
      <c r="B309" s="29" t="s">
        <v>404</v>
      </c>
      <c r="C309" s="3"/>
      <c r="D309" s="3"/>
      <c r="E309" s="3"/>
      <c r="F309" s="3"/>
      <c r="G309" s="3"/>
      <c r="H309" s="3"/>
      <c r="I309" s="3"/>
      <c r="J309" s="3"/>
      <c r="K309" s="3"/>
      <c r="L309" s="3"/>
      <c r="M309" s="3"/>
      <c r="N309" s="3"/>
      <c r="O309" s="3"/>
      <c r="P309" s="3"/>
      <c r="Q309" s="3"/>
      <c r="R309" s="3"/>
      <c r="S309" s="3"/>
      <c r="T309" s="3"/>
      <c r="U309" s="3"/>
      <c r="V309" s="3"/>
      <c r="W309" s="3"/>
      <c r="X309" s="3"/>
      <c r="Y309" s="3"/>
      <c r="Z309" s="3"/>
    </row>
    <row r="310" hidden="1">
      <c r="A310" s="27" t="s">
        <v>2049</v>
      </c>
      <c r="B310" s="29" t="s">
        <v>405</v>
      </c>
      <c r="C310" s="3"/>
      <c r="D310" s="3"/>
      <c r="E310" s="3"/>
      <c r="F310" s="3"/>
      <c r="G310" s="3"/>
      <c r="H310" s="3"/>
      <c r="I310" s="3"/>
      <c r="J310" s="3"/>
      <c r="K310" s="3"/>
      <c r="L310" s="3"/>
      <c r="M310" s="3"/>
      <c r="N310" s="3"/>
      <c r="O310" s="3"/>
      <c r="P310" s="3"/>
      <c r="Q310" s="3"/>
      <c r="R310" s="3"/>
      <c r="S310" s="3"/>
      <c r="T310" s="3"/>
      <c r="U310" s="3"/>
      <c r="V310" s="3"/>
      <c r="W310" s="3"/>
      <c r="X310" s="3"/>
      <c r="Y310" s="3"/>
      <c r="Z310" s="3"/>
    </row>
    <row r="311" hidden="1">
      <c r="A311" s="27" t="s">
        <v>2055</v>
      </c>
      <c r="B311" s="29" t="s">
        <v>406</v>
      </c>
      <c r="C311" s="3"/>
      <c r="D311" s="3"/>
      <c r="E311" s="3"/>
      <c r="F311" s="3"/>
      <c r="G311" s="3"/>
      <c r="H311" s="3"/>
      <c r="I311" s="3"/>
      <c r="J311" s="3"/>
      <c r="K311" s="3"/>
      <c r="L311" s="3"/>
      <c r="M311" s="3"/>
      <c r="N311" s="3"/>
      <c r="O311" s="3"/>
      <c r="P311" s="3"/>
      <c r="Q311" s="3"/>
      <c r="R311" s="3"/>
      <c r="S311" s="3"/>
      <c r="T311" s="3"/>
      <c r="U311" s="3"/>
      <c r="V311" s="3"/>
      <c r="W311" s="3"/>
      <c r="X311" s="3"/>
      <c r="Y311" s="3"/>
      <c r="Z311" s="3"/>
    </row>
    <row r="312" hidden="1">
      <c r="A312" s="27" t="s">
        <v>2058</v>
      </c>
      <c r="B312" s="29" t="s">
        <v>407</v>
      </c>
      <c r="C312" s="3"/>
      <c r="D312" s="3"/>
      <c r="E312" s="3"/>
      <c r="F312" s="3"/>
      <c r="G312" s="3"/>
      <c r="H312" s="3"/>
      <c r="I312" s="3"/>
      <c r="J312" s="3"/>
      <c r="K312" s="3"/>
      <c r="L312" s="3"/>
      <c r="M312" s="3"/>
      <c r="N312" s="3"/>
      <c r="O312" s="3"/>
      <c r="P312" s="3"/>
      <c r="Q312" s="3"/>
      <c r="R312" s="3"/>
      <c r="S312" s="3"/>
      <c r="T312" s="3"/>
      <c r="U312" s="3"/>
      <c r="V312" s="3"/>
      <c r="W312" s="3"/>
      <c r="X312" s="3"/>
      <c r="Y312" s="3"/>
      <c r="Z312" s="3"/>
    </row>
    <row r="313" hidden="1">
      <c r="A313" s="27" t="s">
        <v>2062</v>
      </c>
      <c r="B313" s="29" t="s">
        <v>408</v>
      </c>
      <c r="C313" s="3"/>
      <c r="D313" s="3"/>
      <c r="E313" s="3"/>
      <c r="F313" s="3"/>
      <c r="G313" s="3"/>
      <c r="H313" s="3"/>
      <c r="I313" s="3"/>
      <c r="J313" s="3"/>
      <c r="K313" s="3"/>
      <c r="L313" s="3"/>
      <c r="M313" s="3"/>
      <c r="N313" s="3"/>
      <c r="O313" s="3"/>
      <c r="P313" s="3"/>
      <c r="Q313" s="3"/>
      <c r="R313" s="3"/>
      <c r="S313" s="3"/>
      <c r="T313" s="3"/>
      <c r="U313" s="3"/>
      <c r="V313" s="3"/>
      <c r="W313" s="3"/>
      <c r="X313" s="3"/>
      <c r="Y313" s="3"/>
      <c r="Z313" s="3"/>
    </row>
    <row r="314" hidden="1">
      <c r="A314" s="27" t="s">
        <v>2067</v>
      </c>
      <c r="B314" s="29" t="s">
        <v>410</v>
      </c>
      <c r="C314" s="3"/>
      <c r="D314" s="3"/>
      <c r="E314" s="3"/>
      <c r="F314" s="3"/>
      <c r="G314" s="3"/>
      <c r="H314" s="3"/>
      <c r="I314" s="3"/>
      <c r="J314" s="3"/>
      <c r="K314" s="3"/>
      <c r="L314" s="3"/>
      <c r="M314" s="3"/>
      <c r="N314" s="3"/>
      <c r="O314" s="3"/>
      <c r="P314" s="3"/>
      <c r="Q314" s="3"/>
      <c r="R314" s="3"/>
      <c r="S314" s="3"/>
      <c r="T314" s="3"/>
      <c r="U314" s="3"/>
      <c r="V314" s="3"/>
      <c r="W314" s="3"/>
      <c r="X314" s="3"/>
      <c r="Y314" s="3"/>
      <c r="Z314" s="3"/>
    </row>
    <row r="315" hidden="1">
      <c r="A315" s="27" t="s">
        <v>2070</v>
      </c>
      <c r="B315" s="29" t="s">
        <v>412</v>
      </c>
      <c r="C315" s="3"/>
      <c r="D315" s="3"/>
      <c r="E315" s="3"/>
      <c r="F315" s="3"/>
      <c r="G315" s="3"/>
      <c r="H315" s="3"/>
      <c r="I315" s="3"/>
      <c r="J315" s="3"/>
      <c r="K315" s="3"/>
      <c r="L315" s="3"/>
      <c r="M315" s="3"/>
      <c r="N315" s="3"/>
      <c r="O315" s="3"/>
      <c r="P315" s="3"/>
      <c r="Q315" s="3"/>
      <c r="R315" s="3"/>
      <c r="S315" s="3"/>
      <c r="T315" s="3"/>
      <c r="U315" s="3"/>
      <c r="V315" s="3"/>
      <c r="W315" s="3"/>
      <c r="X315" s="3"/>
      <c r="Y315" s="3"/>
      <c r="Z315" s="3"/>
    </row>
    <row r="316" hidden="1">
      <c r="A316" s="27" t="s">
        <v>2072</v>
      </c>
      <c r="B316" s="29" t="s">
        <v>413</v>
      </c>
      <c r="C316" s="3"/>
      <c r="D316" s="3"/>
      <c r="E316" s="3"/>
      <c r="F316" s="3"/>
      <c r="G316" s="3"/>
      <c r="H316" s="3"/>
      <c r="I316" s="3"/>
      <c r="J316" s="3"/>
      <c r="K316" s="3"/>
      <c r="L316" s="3"/>
      <c r="M316" s="3"/>
      <c r="N316" s="3"/>
      <c r="O316" s="3"/>
      <c r="P316" s="3"/>
      <c r="Q316" s="3"/>
      <c r="R316" s="3"/>
      <c r="S316" s="3"/>
      <c r="T316" s="3"/>
      <c r="U316" s="3"/>
      <c r="V316" s="3"/>
      <c r="W316" s="3"/>
      <c r="X316" s="3"/>
      <c r="Y316" s="3"/>
      <c r="Z316" s="3"/>
    </row>
    <row r="317" hidden="1">
      <c r="A317" s="27" t="s">
        <v>2076</v>
      </c>
      <c r="B317" s="29" t="s">
        <v>414</v>
      </c>
      <c r="C317" s="3"/>
      <c r="D317" s="3"/>
      <c r="E317" s="3"/>
      <c r="F317" s="3"/>
      <c r="G317" s="3"/>
      <c r="H317" s="3"/>
      <c r="I317" s="3"/>
      <c r="J317" s="3"/>
      <c r="K317" s="3"/>
      <c r="L317" s="3"/>
      <c r="M317" s="3"/>
      <c r="N317" s="3"/>
      <c r="O317" s="3"/>
      <c r="P317" s="3"/>
      <c r="Q317" s="3"/>
      <c r="R317" s="3"/>
      <c r="S317" s="3"/>
      <c r="T317" s="3"/>
      <c r="U317" s="3"/>
      <c r="V317" s="3"/>
      <c r="W317" s="3"/>
      <c r="X317" s="3"/>
      <c r="Y317" s="3"/>
      <c r="Z317" s="3"/>
    </row>
    <row r="318" hidden="1">
      <c r="A318" s="27" t="s">
        <v>2081</v>
      </c>
      <c r="B318" s="29" t="s">
        <v>415</v>
      </c>
      <c r="C318" s="3"/>
      <c r="D318" s="3"/>
      <c r="E318" s="3"/>
      <c r="F318" s="3"/>
      <c r="G318" s="3"/>
      <c r="H318" s="3"/>
      <c r="I318" s="3"/>
      <c r="J318" s="3"/>
      <c r="K318" s="3"/>
      <c r="L318" s="3"/>
      <c r="M318" s="3"/>
      <c r="N318" s="3"/>
      <c r="O318" s="3"/>
      <c r="P318" s="3"/>
      <c r="Q318" s="3"/>
      <c r="R318" s="3"/>
      <c r="S318" s="3"/>
      <c r="T318" s="3"/>
      <c r="U318" s="3"/>
      <c r="V318" s="3"/>
      <c r="W318" s="3"/>
      <c r="X318" s="3"/>
      <c r="Y318" s="3"/>
      <c r="Z318" s="3"/>
    </row>
    <row r="319" hidden="1">
      <c r="A319" s="27" t="s">
        <v>2085</v>
      </c>
      <c r="B319" s="29" t="s">
        <v>416</v>
      </c>
      <c r="C319" s="3"/>
      <c r="D319" s="3"/>
      <c r="E319" s="3"/>
      <c r="F319" s="3"/>
      <c r="G319" s="3"/>
      <c r="H319" s="3"/>
      <c r="I319" s="3"/>
      <c r="J319" s="3"/>
      <c r="K319" s="3"/>
      <c r="L319" s="3"/>
      <c r="M319" s="3"/>
      <c r="N319" s="3"/>
      <c r="O319" s="3"/>
      <c r="P319" s="3"/>
      <c r="Q319" s="3"/>
      <c r="R319" s="3"/>
      <c r="S319" s="3"/>
      <c r="T319" s="3"/>
      <c r="U319" s="3"/>
      <c r="V319" s="3"/>
      <c r="W319" s="3"/>
      <c r="X319" s="3"/>
      <c r="Y319" s="3"/>
      <c r="Z319" s="3"/>
    </row>
    <row r="320" hidden="1">
      <c r="A320" s="27" t="s">
        <v>2089</v>
      </c>
      <c r="B320" s="29" t="s">
        <v>417</v>
      </c>
      <c r="C320" s="3"/>
      <c r="D320" s="3"/>
      <c r="E320" s="3"/>
      <c r="F320" s="3"/>
      <c r="G320" s="3"/>
      <c r="H320" s="3"/>
      <c r="I320" s="3"/>
      <c r="J320" s="3"/>
      <c r="K320" s="3"/>
      <c r="L320" s="3"/>
      <c r="M320" s="3"/>
      <c r="N320" s="3"/>
      <c r="O320" s="3"/>
      <c r="P320" s="3"/>
      <c r="Q320" s="3"/>
      <c r="R320" s="3"/>
      <c r="S320" s="3"/>
      <c r="T320" s="3"/>
      <c r="U320" s="3"/>
      <c r="V320" s="3"/>
      <c r="W320" s="3"/>
      <c r="X320" s="3"/>
      <c r="Y320" s="3"/>
      <c r="Z320" s="3"/>
    </row>
    <row r="321" hidden="1">
      <c r="A321" s="27" t="s">
        <v>2094</v>
      </c>
      <c r="B321" s="29" t="s">
        <v>419</v>
      </c>
      <c r="C321" s="3"/>
      <c r="D321" s="3"/>
      <c r="E321" s="3"/>
      <c r="F321" s="3"/>
      <c r="G321" s="3"/>
      <c r="H321" s="3"/>
      <c r="I321" s="3"/>
      <c r="J321" s="3"/>
      <c r="K321" s="3"/>
      <c r="L321" s="3"/>
      <c r="M321" s="3"/>
      <c r="N321" s="3"/>
      <c r="O321" s="3"/>
      <c r="P321" s="3"/>
      <c r="Q321" s="3"/>
      <c r="R321" s="3"/>
      <c r="S321" s="3"/>
      <c r="T321" s="3"/>
      <c r="U321" s="3"/>
      <c r="V321" s="3"/>
      <c r="W321" s="3"/>
      <c r="X321" s="3"/>
      <c r="Y321" s="3"/>
      <c r="Z321" s="3"/>
    </row>
    <row r="322" hidden="1">
      <c r="A322" s="27" t="s">
        <v>2099</v>
      </c>
      <c r="B322" s="29" t="s">
        <v>420</v>
      </c>
      <c r="C322" s="3"/>
      <c r="D322" s="3"/>
      <c r="E322" s="3"/>
      <c r="F322" s="3"/>
      <c r="G322" s="3"/>
      <c r="H322" s="3"/>
      <c r="I322" s="3"/>
      <c r="J322" s="3"/>
      <c r="K322" s="3"/>
      <c r="L322" s="3"/>
      <c r="M322" s="3"/>
      <c r="N322" s="3"/>
      <c r="O322" s="3"/>
      <c r="P322" s="3"/>
      <c r="Q322" s="3"/>
      <c r="R322" s="3"/>
      <c r="S322" s="3"/>
      <c r="T322" s="3"/>
      <c r="U322" s="3"/>
      <c r="V322" s="3"/>
      <c r="W322" s="3"/>
      <c r="X322" s="3"/>
      <c r="Y322" s="3"/>
      <c r="Z322" s="3"/>
    </row>
    <row r="323" hidden="1">
      <c r="A323" s="27" t="s">
        <v>2104</v>
      </c>
      <c r="B323" s="29" t="s">
        <v>421</v>
      </c>
      <c r="C323" s="3"/>
      <c r="D323" s="3"/>
      <c r="E323" s="3"/>
      <c r="F323" s="3"/>
      <c r="G323" s="3"/>
      <c r="H323" s="3"/>
      <c r="I323" s="3"/>
      <c r="J323" s="3"/>
      <c r="K323" s="3"/>
      <c r="L323" s="3"/>
      <c r="M323" s="3"/>
      <c r="N323" s="3"/>
      <c r="O323" s="3"/>
      <c r="P323" s="3"/>
      <c r="Q323" s="3"/>
      <c r="R323" s="3"/>
      <c r="S323" s="3"/>
      <c r="T323" s="3"/>
      <c r="U323" s="3"/>
      <c r="V323" s="3"/>
      <c r="W323" s="3"/>
      <c r="X323" s="3"/>
      <c r="Y323" s="3"/>
      <c r="Z323" s="3"/>
    </row>
    <row r="324" hidden="1">
      <c r="A324" s="27" t="s">
        <v>2109</v>
      </c>
      <c r="B324" s="29" t="s">
        <v>422</v>
      </c>
      <c r="C324" s="3"/>
      <c r="D324" s="3"/>
      <c r="E324" s="3"/>
      <c r="F324" s="3"/>
      <c r="G324" s="3"/>
      <c r="H324" s="3"/>
      <c r="I324" s="3"/>
      <c r="J324" s="3"/>
      <c r="K324" s="3"/>
      <c r="L324" s="3"/>
      <c r="M324" s="3"/>
      <c r="N324" s="3"/>
      <c r="O324" s="3"/>
      <c r="P324" s="3"/>
      <c r="Q324" s="3"/>
      <c r="R324" s="3"/>
      <c r="S324" s="3"/>
      <c r="T324" s="3"/>
      <c r="U324" s="3"/>
      <c r="V324" s="3"/>
      <c r="W324" s="3"/>
      <c r="X324" s="3"/>
      <c r="Y324" s="3"/>
      <c r="Z324" s="3"/>
    </row>
    <row r="325" hidden="1">
      <c r="A325" s="27" t="s">
        <v>2114</v>
      </c>
      <c r="B325" s="29" t="s">
        <v>423</v>
      </c>
      <c r="C325" s="3"/>
      <c r="D325" s="3"/>
      <c r="E325" s="3"/>
      <c r="F325" s="3"/>
      <c r="G325" s="3"/>
      <c r="H325" s="3"/>
      <c r="I325" s="3"/>
      <c r="J325" s="3"/>
      <c r="K325" s="3"/>
      <c r="L325" s="3"/>
      <c r="M325" s="3"/>
      <c r="N325" s="3"/>
      <c r="O325" s="3"/>
      <c r="P325" s="3"/>
      <c r="Q325" s="3"/>
      <c r="R325" s="3"/>
      <c r="S325" s="3"/>
      <c r="T325" s="3"/>
      <c r="U325" s="3"/>
      <c r="V325" s="3"/>
      <c r="W325" s="3"/>
      <c r="X325" s="3"/>
      <c r="Y325" s="3"/>
      <c r="Z325" s="3"/>
    </row>
    <row r="326" hidden="1">
      <c r="A326" s="27" t="s">
        <v>2119</v>
      </c>
      <c r="B326" s="29" t="s">
        <v>425</v>
      </c>
      <c r="C326" s="3"/>
      <c r="D326" s="3"/>
      <c r="E326" s="3"/>
      <c r="F326" s="3"/>
      <c r="G326" s="3"/>
      <c r="H326" s="3"/>
      <c r="I326" s="3"/>
      <c r="J326" s="3"/>
      <c r="K326" s="3"/>
      <c r="L326" s="3"/>
      <c r="M326" s="3"/>
      <c r="N326" s="3"/>
      <c r="O326" s="3"/>
      <c r="P326" s="3"/>
      <c r="Q326" s="3"/>
      <c r="R326" s="3"/>
      <c r="S326" s="3"/>
      <c r="T326" s="3"/>
      <c r="U326" s="3"/>
      <c r="V326" s="3"/>
      <c r="W326" s="3"/>
      <c r="X326" s="3"/>
      <c r="Y326" s="3"/>
      <c r="Z326" s="3"/>
    </row>
    <row r="327" hidden="1">
      <c r="A327" s="27" t="s">
        <v>2124</v>
      </c>
      <c r="B327" s="29" t="s">
        <v>426</v>
      </c>
      <c r="C327" s="3"/>
      <c r="D327" s="3"/>
      <c r="E327" s="3"/>
      <c r="F327" s="3"/>
      <c r="G327" s="3"/>
      <c r="H327" s="3"/>
      <c r="I327" s="3"/>
      <c r="J327" s="3"/>
      <c r="K327" s="3"/>
      <c r="L327" s="3"/>
      <c r="M327" s="3"/>
      <c r="N327" s="3"/>
      <c r="O327" s="3"/>
      <c r="P327" s="3"/>
      <c r="Q327" s="3"/>
      <c r="R327" s="3"/>
      <c r="S327" s="3"/>
      <c r="T327" s="3"/>
      <c r="U327" s="3"/>
      <c r="V327" s="3"/>
      <c r="W327" s="3"/>
      <c r="X327" s="3"/>
      <c r="Y327" s="3"/>
      <c r="Z327" s="3"/>
    </row>
    <row r="328" hidden="1">
      <c r="A328" s="27" t="s">
        <v>2129</v>
      </c>
      <c r="B328" s="29" t="s">
        <v>428</v>
      </c>
      <c r="C328" s="3"/>
      <c r="D328" s="3"/>
      <c r="E328" s="3"/>
      <c r="F328" s="3"/>
      <c r="G328" s="3"/>
      <c r="H328" s="3"/>
      <c r="I328" s="3"/>
      <c r="J328" s="3"/>
      <c r="K328" s="3"/>
      <c r="L328" s="3"/>
      <c r="M328" s="3"/>
      <c r="N328" s="3"/>
      <c r="O328" s="3"/>
      <c r="P328" s="3"/>
      <c r="Q328" s="3"/>
      <c r="R328" s="3"/>
      <c r="S328" s="3"/>
      <c r="T328" s="3"/>
      <c r="U328" s="3"/>
      <c r="V328" s="3"/>
      <c r="W328" s="3"/>
      <c r="X328" s="3"/>
      <c r="Y328" s="3"/>
      <c r="Z328" s="3"/>
    </row>
    <row r="329" hidden="1">
      <c r="A329" s="27" t="s">
        <v>2135</v>
      </c>
      <c r="B329" s="29" t="s">
        <v>429</v>
      </c>
      <c r="C329" s="3"/>
      <c r="D329" s="3"/>
      <c r="E329" s="3"/>
      <c r="F329" s="3"/>
      <c r="G329" s="3"/>
      <c r="H329" s="3"/>
      <c r="I329" s="3"/>
      <c r="J329" s="3"/>
      <c r="K329" s="3"/>
      <c r="L329" s="3"/>
      <c r="M329" s="3"/>
      <c r="N329" s="3"/>
      <c r="O329" s="3"/>
      <c r="P329" s="3"/>
      <c r="Q329" s="3"/>
      <c r="R329" s="3"/>
      <c r="S329" s="3"/>
      <c r="T329" s="3"/>
      <c r="U329" s="3"/>
      <c r="V329" s="3"/>
      <c r="W329" s="3"/>
      <c r="X329" s="3"/>
      <c r="Y329" s="3"/>
      <c r="Z329" s="3"/>
    </row>
    <row r="330" hidden="1">
      <c r="A330" s="27" t="s">
        <v>2140</v>
      </c>
      <c r="B330" s="29" t="s">
        <v>430</v>
      </c>
      <c r="C330" s="3"/>
      <c r="D330" s="3"/>
      <c r="E330" s="3"/>
      <c r="F330" s="3"/>
      <c r="G330" s="3"/>
      <c r="H330" s="3"/>
      <c r="I330" s="3"/>
      <c r="J330" s="3"/>
      <c r="K330" s="3"/>
      <c r="L330" s="3"/>
      <c r="M330" s="3"/>
      <c r="N330" s="3"/>
      <c r="O330" s="3"/>
      <c r="P330" s="3"/>
      <c r="Q330" s="3"/>
      <c r="R330" s="3"/>
      <c r="S330" s="3"/>
      <c r="T330" s="3"/>
      <c r="U330" s="3"/>
      <c r="V330" s="3"/>
      <c r="W330" s="3"/>
      <c r="X330" s="3"/>
      <c r="Y330" s="3"/>
      <c r="Z330" s="3"/>
    </row>
    <row r="331" hidden="1">
      <c r="A331" s="27" t="s">
        <v>2146</v>
      </c>
      <c r="B331" s="29" t="s">
        <v>431</v>
      </c>
      <c r="C331" s="3"/>
      <c r="D331" s="3"/>
      <c r="E331" s="3"/>
      <c r="F331" s="3"/>
      <c r="G331" s="3"/>
      <c r="H331" s="3"/>
      <c r="I331" s="3"/>
      <c r="J331" s="3"/>
      <c r="K331" s="3"/>
      <c r="L331" s="3"/>
      <c r="M331" s="3"/>
      <c r="N331" s="3"/>
      <c r="O331" s="3"/>
      <c r="P331" s="3"/>
      <c r="Q331" s="3"/>
      <c r="R331" s="3"/>
      <c r="S331" s="3"/>
      <c r="T331" s="3"/>
      <c r="U331" s="3"/>
      <c r="V331" s="3"/>
      <c r="W331" s="3"/>
      <c r="X331" s="3"/>
      <c r="Y331" s="3"/>
      <c r="Z331" s="3"/>
    </row>
    <row r="332" hidden="1">
      <c r="A332" s="27" t="s">
        <v>2152</v>
      </c>
      <c r="B332" s="29" t="s">
        <v>433</v>
      </c>
      <c r="C332" s="3"/>
      <c r="D332" s="3"/>
      <c r="E332" s="3"/>
      <c r="F332" s="3"/>
      <c r="G332" s="3"/>
      <c r="H332" s="3"/>
      <c r="I332" s="3"/>
      <c r="J332" s="3"/>
      <c r="K332" s="3"/>
      <c r="L332" s="3"/>
      <c r="M332" s="3"/>
      <c r="N332" s="3"/>
      <c r="O332" s="3"/>
      <c r="P332" s="3"/>
      <c r="Q332" s="3"/>
      <c r="R332" s="3"/>
      <c r="S332" s="3"/>
      <c r="T332" s="3"/>
      <c r="U332" s="3"/>
      <c r="V332" s="3"/>
      <c r="W332" s="3"/>
      <c r="X332" s="3"/>
      <c r="Y332" s="3"/>
      <c r="Z332" s="3"/>
    </row>
    <row r="333" hidden="1">
      <c r="A333" s="27" t="s">
        <v>2158</v>
      </c>
      <c r="B333" s="29" t="s">
        <v>434</v>
      </c>
      <c r="C333" s="3"/>
      <c r="D333" s="3"/>
      <c r="E333" s="3"/>
      <c r="F333" s="3"/>
      <c r="G333" s="3"/>
      <c r="H333" s="3"/>
      <c r="I333" s="3"/>
      <c r="J333" s="3"/>
      <c r="K333" s="3"/>
      <c r="L333" s="3"/>
      <c r="M333" s="3"/>
      <c r="N333" s="3"/>
      <c r="O333" s="3"/>
      <c r="P333" s="3"/>
      <c r="Q333" s="3"/>
      <c r="R333" s="3"/>
      <c r="S333" s="3"/>
      <c r="T333" s="3"/>
      <c r="U333" s="3"/>
      <c r="V333" s="3"/>
      <c r="W333" s="3"/>
      <c r="X333" s="3"/>
      <c r="Y333" s="3"/>
      <c r="Z333" s="3"/>
    </row>
    <row r="334" hidden="1">
      <c r="A334" s="27" t="s">
        <v>2163</v>
      </c>
      <c r="B334" s="29" t="s">
        <v>435</v>
      </c>
      <c r="C334" s="3"/>
      <c r="D334" s="3"/>
      <c r="E334" s="3"/>
      <c r="F334" s="3"/>
      <c r="G334" s="3"/>
      <c r="H334" s="3"/>
      <c r="I334" s="3"/>
      <c r="J334" s="3"/>
      <c r="K334" s="3"/>
      <c r="L334" s="3"/>
      <c r="M334" s="3"/>
      <c r="N334" s="3"/>
      <c r="O334" s="3"/>
      <c r="P334" s="3"/>
      <c r="Q334" s="3"/>
      <c r="R334" s="3"/>
      <c r="S334" s="3"/>
      <c r="T334" s="3"/>
      <c r="U334" s="3"/>
      <c r="V334" s="3"/>
      <c r="W334" s="3"/>
      <c r="X334" s="3"/>
      <c r="Y334" s="3"/>
      <c r="Z334" s="3"/>
    </row>
    <row r="335" hidden="1">
      <c r="A335" s="27" t="s">
        <v>2169</v>
      </c>
      <c r="B335" s="29" t="s">
        <v>436</v>
      </c>
      <c r="C335" s="3"/>
      <c r="D335" s="3"/>
      <c r="E335" s="3"/>
      <c r="F335" s="3"/>
      <c r="G335" s="3"/>
      <c r="H335" s="3"/>
      <c r="I335" s="3"/>
      <c r="J335" s="3"/>
      <c r="K335" s="3"/>
      <c r="L335" s="3"/>
      <c r="M335" s="3"/>
      <c r="N335" s="3"/>
      <c r="O335" s="3"/>
      <c r="P335" s="3"/>
      <c r="Q335" s="3"/>
      <c r="R335" s="3"/>
      <c r="S335" s="3"/>
      <c r="T335" s="3"/>
      <c r="U335" s="3"/>
      <c r="V335" s="3"/>
      <c r="W335" s="3"/>
      <c r="X335" s="3"/>
      <c r="Y335" s="3"/>
      <c r="Z335" s="3"/>
    </row>
    <row r="336" hidden="1">
      <c r="A336" s="27" t="s">
        <v>2175</v>
      </c>
      <c r="B336" s="29" t="s">
        <v>437</v>
      </c>
      <c r="C336" s="3"/>
      <c r="D336" s="3"/>
      <c r="E336" s="3"/>
      <c r="F336" s="3"/>
      <c r="G336" s="3"/>
      <c r="H336" s="3"/>
      <c r="I336" s="3"/>
      <c r="J336" s="3"/>
      <c r="K336" s="3"/>
      <c r="L336" s="3"/>
      <c r="M336" s="3"/>
      <c r="N336" s="3"/>
      <c r="O336" s="3"/>
      <c r="P336" s="3"/>
      <c r="Q336" s="3"/>
      <c r="R336" s="3"/>
      <c r="S336" s="3"/>
      <c r="T336" s="3"/>
      <c r="U336" s="3"/>
      <c r="V336" s="3"/>
      <c r="W336" s="3"/>
      <c r="X336" s="3"/>
      <c r="Y336" s="3"/>
      <c r="Z336" s="3"/>
    </row>
    <row r="337" hidden="1">
      <c r="A337" s="27" t="s">
        <v>2180</v>
      </c>
      <c r="B337" s="29" t="s">
        <v>438</v>
      </c>
      <c r="C337" s="3"/>
      <c r="D337" s="3"/>
      <c r="E337" s="3"/>
      <c r="F337" s="3"/>
      <c r="G337" s="3"/>
      <c r="H337" s="3"/>
      <c r="I337" s="3"/>
      <c r="J337" s="3"/>
      <c r="K337" s="3"/>
      <c r="L337" s="3"/>
      <c r="M337" s="3"/>
      <c r="N337" s="3"/>
      <c r="O337" s="3"/>
      <c r="P337" s="3"/>
      <c r="Q337" s="3"/>
      <c r="R337" s="3"/>
      <c r="S337" s="3"/>
      <c r="T337" s="3"/>
      <c r="U337" s="3"/>
      <c r="V337" s="3"/>
      <c r="W337" s="3"/>
      <c r="X337" s="3"/>
      <c r="Y337" s="3"/>
      <c r="Z337" s="3"/>
    </row>
    <row r="338" hidden="1">
      <c r="A338" s="27" t="s">
        <v>2185</v>
      </c>
      <c r="B338" s="29" t="s">
        <v>440</v>
      </c>
      <c r="C338" s="3"/>
      <c r="D338" s="3"/>
      <c r="E338" s="3"/>
      <c r="F338" s="3"/>
      <c r="G338" s="3"/>
      <c r="H338" s="3"/>
      <c r="I338" s="3"/>
      <c r="J338" s="3"/>
      <c r="K338" s="3"/>
      <c r="L338" s="3"/>
      <c r="M338" s="3"/>
      <c r="N338" s="3"/>
      <c r="O338" s="3"/>
      <c r="P338" s="3"/>
      <c r="Q338" s="3"/>
      <c r="R338" s="3"/>
      <c r="S338" s="3"/>
      <c r="T338" s="3"/>
      <c r="U338" s="3"/>
      <c r="V338" s="3"/>
      <c r="W338" s="3"/>
      <c r="X338" s="3"/>
      <c r="Y338" s="3"/>
      <c r="Z338" s="3"/>
    </row>
    <row r="339" hidden="1">
      <c r="A339" s="27" t="s">
        <v>2190</v>
      </c>
      <c r="B339" s="29" t="s">
        <v>441</v>
      </c>
      <c r="C339" s="3"/>
      <c r="D339" s="3"/>
      <c r="E339" s="3"/>
      <c r="F339" s="3"/>
      <c r="G339" s="3"/>
      <c r="H339" s="3"/>
      <c r="I339" s="3"/>
      <c r="J339" s="3"/>
      <c r="K339" s="3"/>
      <c r="L339" s="3"/>
      <c r="M339" s="3"/>
      <c r="N339" s="3"/>
      <c r="O339" s="3"/>
      <c r="P339" s="3"/>
      <c r="Q339" s="3"/>
      <c r="R339" s="3"/>
      <c r="S339" s="3"/>
      <c r="T339" s="3"/>
      <c r="U339" s="3"/>
      <c r="V339" s="3"/>
      <c r="W339" s="3"/>
      <c r="X339" s="3"/>
      <c r="Y339" s="3"/>
      <c r="Z339" s="3"/>
    </row>
    <row r="340" hidden="1">
      <c r="A340" s="27" t="s">
        <v>2194</v>
      </c>
      <c r="B340" s="29" t="s">
        <v>442</v>
      </c>
      <c r="C340" s="3"/>
      <c r="D340" s="3"/>
      <c r="E340" s="3"/>
      <c r="F340" s="3"/>
      <c r="G340" s="3"/>
      <c r="H340" s="3"/>
      <c r="I340" s="3"/>
      <c r="J340" s="3"/>
      <c r="K340" s="3"/>
      <c r="L340" s="3"/>
      <c r="M340" s="3"/>
      <c r="N340" s="3"/>
      <c r="O340" s="3"/>
      <c r="P340" s="3"/>
      <c r="Q340" s="3"/>
      <c r="R340" s="3"/>
      <c r="S340" s="3"/>
      <c r="T340" s="3"/>
      <c r="U340" s="3"/>
      <c r="V340" s="3"/>
      <c r="W340" s="3"/>
      <c r="X340" s="3"/>
      <c r="Y340" s="3"/>
      <c r="Z340" s="3"/>
    </row>
    <row r="341" hidden="1">
      <c r="A341" s="27" t="s">
        <v>2200</v>
      </c>
      <c r="B341" s="29" t="s">
        <v>443</v>
      </c>
      <c r="C341" s="3"/>
      <c r="D341" s="3"/>
      <c r="E341" s="3"/>
      <c r="F341" s="3"/>
      <c r="G341" s="3"/>
      <c r="H341" s="3"/>
      <c r="I341" s="3"/>
      <c r="J341" s="3"/>
      <c r="K341" s="3"/>
      <c r="L341" s="3"/>
      <c r="M341" s="3"/>
      <c r="N341" s="3"/>
      <c r="O341" s="3"/>
      <c r="P341" s="3"/>
      <c r="Q341" s="3"/>
      <c r="R341" s="3"/>
      <c r="S341" s="3"/>
      <c r="T341" s="3"/>
      <c r="U341" s="3"/>
      <c r="V341" s="3"/>
      <c r="W341" s="3"/>
      <c r="X341" s="3"/>
      <c r="Y341" s="3"/>
      <c r="Z341" s="3"/>
    </row>
    <row r="342" hidden="1">
      <c r="A342" s="27" t="s">
        <v>2205</v>
      </c>
      <c r="B342" s="29" t="s">
        <v>444</v>
      </c>
      <c r="C342" s="3"/>
      <c r="D342" s="3"/>
      <c r="E342" s="3"/>
      <c r="F342" s="3"/>
      <c r="G342" s="3"/>
      <c r="H342" s="3"/>
      <c r="I342" s="3"/>
      <c r="J342" s="3"/>
      <c r="K342" s="3"/>
      <c r="L342" s="3"/>
      <c r="M342" s="3"/>
      <c r="N342" s="3"/>
      <c r="O342" s="3"/>
      <c r="P342" s="3"/>
      <c r="Q342" s="3"/>
      <c r="R342" s="3"/>
      <c r="S342" s="3"/>
      <c r="T342" s="3"/>
      <c r="U342" s="3"/>
      <c r="V342" s="3"/>
      <c r="W342" s="3"/>
      <c r="X342" s="3"/>
      <c r="Y342" s="3"/>
      <c r="Z342" s="3"/>
    </row>
    <row r="343" hidden="1">
      <c r="A343" s="27" t="s">
        <v>2210</v>
      </c>
      <c r="B343" s="29" t="s">
        <v>445</v>
      </c>
      <c r="C343" s="3"/>
      <c r="D343" s="3"/>
      <c r="E343" s="3"/>
      <c r="F343" s="3"/>
      <c r="G343" s="3"/>
      <c r="H343" s="3"/>
      <c r="I343" s="3"/>
      <c r="J343" s="3"/>
      <c r="K343" s="3"/>
      <c r="L343" s="3"/>
      <c r="M343" s="3"/>
      <c r="N343" s="3"/>
      <c r="O343" s="3"/>
      <c r="P343" s="3"/>
      <c r="Q343" s="3"/>
      <c r="R343" s="3"/>
      <c r="S343" s="3"/>
      <c r="T343" s="3"/>
      <c r="U343" s="3"/>
      <c r="V343" s="3"/>
      <c r="W343" s="3"/>
      <c r="X343" s="3"/>
      <c r="Y343" s="3"/>
      <c r="Z343" s="3"/>
    </row>
    <row r="344" hidden="1">
      <c r="A344" s="27" t="s">
        <v>2218</v>
      </c>
      <c r="B344" s="29" t="s">
        <v>447</v>
      </c>
      <c r="C344" s="3"/>
      <c r="D344" s="3"/>
      <c r="E344" s="3"/>
      <c r="F344" s="3"/>
      <c r="G344" s="3"/>
      <c r="H344" s="3"/>
      <c r="I344" s="3"/>
      <c r="J344" s="3"/>
      <c r="K344" s="3"/>
      <c r="L344" s="3"/>
      <c r="M344" s="3"/>
      <c r="N344" s="3"/>
      <c r="O344" s="3"/>
      <c r="P344" s="3"/>
      <c r="Q344" s="3"/>
      <c r="R344" s="3"/>
      <c r="S344" s="3"/>
      <c r="T344" s="3"/>
      <c r="U344" s="3"/>
      <c r="V344" s="3"/>
      <c r="W344" s="3"/>
      <c r="X344" s="3"/>
      <c r="Y344" s="3"/>
      <c r="Z344" s="3"/>
    </row>
    <row r="345" hidden="1">
      <c r="A345" s="27" t="s">
        <v>2225</v>
      </c>
      <c r="B345" s="29" t="s">
        <v>449</v>
      </c>
      <c r="C345" s="3"/>
      <c r="D345" s="3"/>
      <c r="E345" s="3"/>
      <c r="F345" s="3"/>
      <c r="G345" s="3"/>
      <c r="H345" s="3"/>
      <c r="I345" s="3"/>
      <c r="J345" s="3"/>
      <c r="K345" s="3"/>
      <c r="L345" s="3"/>
      <c r="M345" s="3"/>
      <c r="N345" s="3"/>
      <c r="O345" s="3"/>
      <c r="P345" s="3"/>
      <c r="Q345" s="3"/>
      <c r="R345" s="3"/>
      <c r="S345" s="3"/>
      <c r="T345" s="3"/>
      <c r="U345" s="3"/>
      <c r="V345" s="3"/>
      <c r="W345" s="3"/>
      <c r="X345" s="3"/>
      <c r="Y345" s="3"/>
      <c r="Z345" s="3"/>
    </row>
    <row r="346" hidden="1">
      <c r="A346" s="27" t="s">
        <v>2232</v>
      </c>
      <c r="B346" s="29" t="s">
        <v>450</v>
      </c>
      <c r="C346" s="3"/>
      <c r="D346" s="3"/>
      <c r="E346" s="3"/>
      <c r="F346" s="3"/>
      <c r="G346" s="3"/>
      <c r="H346" s="3"/>
      <c r="I346" s="3"/>
      <c r="J346" s="3"/>
      <c r="K346" s="3"/>
      <c r="L346" s="3"/>
      <c r="M346" s="3"/>
      <c r="N346" s="3"/>
      <c r="O346" s="3"/>
      <c r="P346" s="3"/>
      <c r="Q346" s="3"/>
      <c r="R346" s="3"/>
      <c r="S346" s="3"/>
      <c r="T346" s="3"/>
      <c r="U346" s="3"/>
      <c r="V346" s="3"/>
      <c r="W346" s="3"/>
      <c r="X346" s="3"/>
      <c r="Y346" s="3"/>
      <c r="Z346" s="3"/>
    </row>
    <row r="347" hidden="1">
      <c r="A347" s="27" t="s">
        <v>2239</v>
      </c>
      <c r="B347" s="29" t="s">
        <v>451</v>
      </c>
      <c r="C347" s="3"/>
      <c r="D347" s="3"/>
      <c r="E347" s="3"/>
      <c r="F347" s="3"/>
      <c r="G347" s="3"/>
      <c r="H347" s="3"/>
      <c r="I347" s="3"/>
      <c r="J347" s="3"/>
      <c r="K347" s="3"/>
      <c r="L347" s="3"/>
      <c r="M347" s="3"/>
      <c r="N347" s="3"/>
      <c r="O347" s="3"/>
      <c r="P347" s="3"/>
      <c r="Q347" s="3"/>
      <c r="R347" s="3"/>
      <c r="S347" s="3"/>
      <c r="T347" s="3"/>
      <c r="U347" s="3"/>
      <c r="V347" s="3"/>
      <c r="W347" s="3"/>
      <c r="X347" s="3"/>
      <c r="Y347" s="3"/>
      <c r="Z347" s="3"/>
    </row>
    <row r="348" hidden="1">
      <c r="A348" s="27" t="s">
        <v>2244</v>
      </c>
      <c r="B348" s="29" t="s">
        <v>452</v>
      </c>
      <c r="C348" s="3"/>
      <c r="D348" s="3"/>
      <c r="E348" s="3"/>
      <c r="F348" s="3"/>
      <c r="G348" s="3"/>
      <c r="H348" s="3"/>
      <c r="I348" s="3"/>
      <c r="J348" s="3"/>
      <c r="K348" s="3"/>
      <c r="L348" s="3"/>
      <c r="M348" s="3"/>
      <c r="N348" s="3"/>
      <c r="O348" s="3"/>
      <c r="P348" s="3"/>
      <c r="Q348" s="3"/>
      <c r="R348" s="3"/>
      <c r="S348" s="3"/>
      <c r="T348" s="3"/>
      <c r="U348" s="3"/>
      <c r="V348" s="3"/>
      <c r="W348" s="3"/>
      <c r="X348" s="3"/>
      <c r="Y348" s="3"/>
      <c r="Z348" s="3"/>
    </row>
    <row r="349" hidden="1">
      <c r="A349" s="27" t="s">
        <v>2250</v>
      </c>
      <c r="B349" s="29" t="s">
        <v>454</v>
      </c>
      <c r="C349" s="3"/>
      <c r="D349" s="3"/>
      <c r="E349" s="3"/>
      <c r="F349" s="3"/>
      <c r="G349" s="3"/>
      <c r="H349" s="3"/>
      <c r="I349" s="3"/>
      <c r="J349" s="3"/>
      <c r="K349" s="3"/>
      <c r="L349" s="3"/>
      <c r="M349" s="3"/>
      <c r="N349" s="3"/>
      <c r="O349" s="3"/>
      <c r="P349" s="3"/>
      <c r="Q349" s="3"/>
      <c r="R349" s="3"/>
      <c r="S349" s="3"/>
      <c r="T349" s="3"/>
      <c r="U349" s="3"/>
      <c r="V349" s="3"/>
      <c r="W349" s="3"/>
      <c r="X349" s="3"/>
      <c r="Y349" s="3"/>
      <c r="Z349" s="3"/>
    </row>
    <row r="350" hidden="1">
      <c r="A350" s="27" t="s">
        <v>2255</v>
      </c>
      <c r="B350" s="29" t="s">
        <v>456</v>
      </c>
      <c r="C350" s="3"/>
      <c r="D350" s="3"/>
      <c r="E350" s="3"/>
      <c r="F350" s="3"/>
      <c r="G350" s="3"/>
      <c r="H350" s="3"/>
      <c r="I350" s="3"/>
      <c r="J350" s="3"/>
      <c r="K350" s="3"/>
      <c r="L350" s="3"/>
      <c r="M350" s="3"/>
      <c r="N350" s="3"/>
      <c r="O350" s="3"/>
      <c r="P350" s="3"/>
      <c r="Q350" s="3"/>
      <c r="R350" s="3"/>
      <c r="S350" s="3"/>
      <c r="T350" s="3"/>
      <c r="U350" s="3"/>
      <c r="V350" s="3"/>
      <c r="W350" s="3"/>
      <c r="X350" s="3"/>
      <c r="Y350" s="3"/>
      <c r="Z350" s="3"/>
    </row>
    <row r="351" hidden="1">
      <c r="A351" s="27" t="s">
        <v>2261</v>
      </c>
      <c r="B351" s="29" t="s">
        <v>457</v>
      </c>
      <c r="C351" s="3"/>
      <c r="D351" s="3"/>
      <c r="E351" s="3"/>
      <c r="F351" s="3"/>
      <c r="G351" s="3"/>
      <c r="H351" s="3"/>
      <c r="I351" s="3"/>
      <c r="J351" s="3"/>
      <c r="K351" s="3"/>
      <c r="L351" s="3"/>
      <c r="M351" s="3"/>
      <c r="N351" s="3"/>
      <c r="O351" s="3"/>
      <c r="P351" s="3"/>
      <c r="Q351" s="3"/>
      <c r="R351" s="3"/>
      <c r="S351" s="3"/>
      <c r="T351" s="3"/>
      <c r="U351" s="3"/>
      <c r="V351" s="3"/>
      <c r="W351" s="3"/>
      <c r="X351" s="3"/>
      <c r="Y351" s="3"/>
      <c r="Z351" s="3"/>
    </row>
    <row r="352" hidden="1">
      <c r="A352" s="27" t="s">
        <v>2267</v>
      </c>
      <c r="B352" s="29" t="s">
        <v>459</v>
      </c>
      <c r="C352" s="3"/>
      <c r="D352" s="3"/>
      <c r="E352" s="3"/>
      <c r="F352" s="3"/>
      <c r="G352" s="3"/>
      <c r="H352" s="3"/>
      <c r="I352" s="3"/>
      <c r="J352" s="3"/>
      <c r="K352" s="3"/>
      <c r="L352" s="3"/>
      <c r="M352" s="3"/>
      <c r="N352" s="3"/>
      <c r="O352" s="3"/>
      <c r="P352" s="3"/>
      <c r="Q352" s="3"/>
      <c r="R352" s="3"/>
      <c r="S352" s="3"/>
      <c r="T352" s="3"/>
      <c r="U352" s="3"/>
      <c r="V352" s="3"/>
      <c r="W352" s="3"/>
      <c r="X352" s="3"/>
      <c r="Y352" s="3"/>
      <c r="Z352" s="3"/>
    </row>
    <row r="353" hidden="1">
      <c r="A353" s="27" t="s">
        <v>2273</v>
      </c>
      <c r="B353" s="29" t="s">
        <v>460</v>
      </c>
      <c r="C353" s="3"/>
      <c r="D353" s="3"/>
      <c r="E353" s="3"/>
      <c r="F353" s="3"/>
      <c r="G353" s="3"/>
      <c r="H353" s="3"/>
      <c r="I353" s="3"/>
      <c r="J353" s="3"/>
      <c r="K353" s="3"/>
      <c r="L353" s="3"/>
      <c r="M353" s="3"/>
      <c r="N353" s="3"/>
      <c r="O353" s="3"/>
      <c r="P353" s="3"/>
      <c r="Q353" s="3"/>
      <c r="R353" s="3"/>
      <c r="S353" s="3"/>
      <c r="T353" s="3"/>
      <c r="U353" s="3"/>
      <c r="V353" s="3"/>
      <c r="W353" s="3"/>
      <c r="X353" s="3"/>
      <c r="Y353" s="3"/>
      <c r="Z353" s="3"/>
    </row>
    <row r="354" hidden="1">
      <c r="A354" s="27" t="s">
        <v>2279</v>
      </c>
      <c r="B354" s="29" t="s">
        <v>461</v>
      </c>
      <c r="C354" s="3"/>
      <c r="D354" s="3"/>
      <c r="E354" s="3"/>
      <c r="F354" s="3"/>
      <c r="G354" s="3"/>
      <c r="H354" s="3"/>
      <c r="I354" s="3"/>
      <c r="J354" s="3"/>
      <c r="K354" s="3"/>
      <c r="L354" s="3"/>
      <c r="M354" s="3"/>
      <c r="N354" s="3"/>
      <c r="O354" s="3"/>
      <c r="P354" s="3"/>
      <c r="Q354" s="3"/>
      <c r="R354" s="3"/>
      <c r="S354" s="3"/>
      <c r="T354" s="3"/>
      <c r="U354" s="3"/>
      <c r="V354" s="3"/>
      <c r="W354" s="3"/>
      <c r="X354" s="3"/>
      <c r="Y354" s="3"/>
      <c r="Z354" s="3"/>
    </row>
    <row r="355" hidden="1">
      <c r="A355" s="27" t="s">
        <v>2285</v>
      </c>
      <c r="B355" s="29" t="s">
        <v>463</v>
      </c>
      <c r="C355" s="3"/>
      <c r="D355" s="3"/>
      <c r="E355" s="3"/>
      <c r="F355" s="3"/>
      <c r="G355" s="3"/>
      <c r="H355" s="3"/>
      <c r="I355" s="3"/>
      <c r="J355" s="3"/>
      <c r="K355" s="3"/>
      <c r="L355" s="3"/>
      <c r="M355" s="3"/>
      <c r="N355" s="3"/>
      <c r="O355" s="3"/>
      <c r="P355" s="3"/>
      <c r="Q355" s="3"/>
      <c r="R355" s="3"/>
      <c r="S355" s="3"/>
      <c r="T355" s="3"/>
      <c r="U355" s="3"/>
      <c r="V355" s="3"/>
      <c r="W355" s="3"/>
      <c r="X355" s="3"/>
      <c r="Y355" s="3"/>
      <c r="Z355" s="3"/>
    </row>
    <row r="356" hidden="1">
      <c r="A356" s="27" t="s">
        <v>2290</v>
      </c>
      <c r="B356" s="29" t="s">
        <v>465</v>
      </c>
      <c r="C356" s="3"/>
      <c r="D356" s="3"/>
      <c r="E356" s="3"/>
      <c r="F356" s="3"/>
      <c r="G356" s="3"/>
      <c r="H356" s="3"/>
      <c r="I356" s="3"/>
      <c r="J356" s="3"/>
      <c r="K356" s="3"/>
      <c r="L356" s="3"/>
      <c r="M356" s="3"/>
      <c r="N356" s="3"/>
      <c r="O356" s="3"/>
      <c r="P356" s="3"/>
      <c r="Q356" s="3"/>
      <c r="R356" s="3"/>
      <c r="S356" s="3"/>
      <c r="T356" s="3"/>
      <c r="U356" s="3"/>
      <c r="V356" s="3"/>
      <c r="W356" s="3"/>
      <c r="X356" s="3"/>
      <c r="Y356" s="3"/>
      <c r="Z356" s="3"/>
    </row>
    <row r="357" hidden="1">
      <c r="A357" s="27" t="s">
        <v>2296</v>
      </c>
      <c r="B357" s="29" t="s">
        <v>466</v>
      </c>
      <c r="C357" s="3"/>
      <c r="D357" s="3"/>
      <c r="E357" s="3"/>
      <c r="F357" s="3"/>
      <c r="G357" s="3"/>
      <c r="H357" s="3"/>
      <c r="I357" s="3"/>
      <c r="J357" s="3"/>
      <c r="K357" s="3"/>
      <c r="L357" s="3"/>
      <c r="M357" s="3"/>
      <c r="N357" s="3"/>
      <c r="O357" s="3"/>
      <c r="P357" s="3"/>
      <c r="Q357" s="3"/>
      <c r="R357" s="3"/>
      <c r="S357" s="3"/>
      <c r="T357" s="3"/>
      <c r="U357" s="3"/>
      <c r="V357" s="3"/>
      <c r="W357" s="3"/>
      <c r="X357" s="3"/>
      <c r="Y357" s="3"/>
      <c r="Z357" s="3"/>
    </row>
    <row r="358" hidden="1">
      <c r="A358" s="27" t="s">
        <v>2301</v>
      </c>
      <c r="B358" s="29" t="s">
        <v>467</v>
      </c>
      <c r="C358" s="3"/>
      <c r="D358" s="3"/>
      <c r="E358" s="3"/>
      <c r="F358" s="3"/>
      <c r="G358" s="3"/>
      <c r="H358" s="3"/>
      <c r="I358" s="3"/>
      <c r="J358" s="3"/>
      <c r="K358" s="3"/>
      <c r="L358" s="3"/>
      <c r="M358" s="3"/>
      <c r="N358" s="3"/>
      <c r="O358" s="3"/>
      <c r="P358" s="3"/>
      <c r="Q358" s="3"/>
      <c r="R358" s="3"/>
      <c r="S358" s="3"/>
      <c r="T358" s="3"/>
      <c r="U358" s="3"/>
      <c r="V358" s="3"/>
      <c r="W358" s="3"/>
      <c r="X358" s="3"/>
      <c r="Y358" s="3"/>
      <c r="Z358" s="3"/>
    </row>
    <row r="359" hidden="1">
      <c r="A359" s="27" t="s">
        <v>2307</v>
      </c>
      <c r="B359" s="29" t="s">
        <v>468</v>
      </c>
      <c r="C359" s="3"/>
      <c r="D359" s="3"/>
      <c r="E359" s="3"/>
      <c r="F359" s="3"/>
      <c r="G359" s="3"/>
      <c r="H359" s="3"/>
      <c r="I359" s="3"/>
      <c r="J359" s="3"/>
      <c r="K359" s="3"/>
      <c r="L359" s="3"/>
      <c r="M359" s="3"/>
      <c r="N359" s="3"/>
      <c r="O359" s="3"/>
      <c r="P359" s="3"/>
      <c r="Q359" s="3"/>
      <c r="R359" s="3"/>
      <c r="S359" s="3"/>
      <c r="T359" s="3"/>
      <c r="U359" s="3"/>
      <c r="V359" s="3"/>
      <c r="W359" s="3"/>
      <c r="X359" s="3"/>
      <c r="Y359" s="3"/>
      <c r="Z359" s="3"/>
    </row>
    <row r="360" hidden="1">
      <c r="A360" s="27" t="s">
        <v>2312</v>
      </c>
      <c r="B360" s="29" t="s">
        <v>469</v>
      </c>
      <c r="C360" s="3"/>
      <c r="D360" s="3"/>
      <c r="E360" s="3"/>
      <c r="F360" s="3"/>
      <c r="G360" s="3"/>
      <c r="H360" s="3"/>
      <c r="I360" s="3"/>
      <c r="J360" s="3"/>
      <c r="K360" s="3"/>
      <c r="L360" s="3"/>
      <c r="M360" s="3"/>
      <c r="N360" s="3"/>
      <c r="O360" s="3"/>
      <c r="P360" s="3"/>
      <c r="Q360" s="3"/>
      <c r="R360" s="3"/>
      <c r="S360" s="3"/>
      <c r="T360" s="3"/>
      <c r="U360" s="3"/>
      <c r="V360" s="3"/>
      <c r="W360" s="3"/>
      <c r="X360" s="3"/>
      <c r="Y360" s="3"/>
      <c r="Z360" s="3"/>
    </row>
    <row r="361" hidden="1">
      <c r="A361" s="27" t="s">
        <v>2318</v>
      </c>
      <c r="B361" s="29" t="s">
        <v>470</v>
      </c>
      <c r="C361" s="3"/>
      <c r="D361" s="3"/>
      <c r="E361" s="3"/>
      <c r="F361" s="3"/>
      <c r="G361" s="3"/>
      <c r="H361" s="3"/>
      <c r="I361" s="3"/>
      <c r="J361" s="3"/>
      <c r="K361" s="3"/>
      <c r="L361" s="3"/>
      <c r="M361" s="3"/>
      <c r="N361" s="3"/>
      <c r="O361" s="3"/>
      <c r="P361" s="3"/>
      <c r="Q361" s="3"/>
      <c r="R361" s="3"/>
      <c r="S361" s="3"/>
      <c r="T361" s="3"/>
      <c r="U361" s="3"/>
      <c r="V361" s="3"/>
      <c r="W361" s="3"/>
      <c r="X361" s="3"/>
      <c r="Y361" s="3"/>
      <c r="Z361" s="3"/>
    </row>
    <row r="362" hidden="1">
      <c r="A362" s="27" t="s">
        <v>2324</v>
      </c>
      <c r="B362" s="29" t="s">
        <v>472</v>
      </c>
      <c r="C362" s="3"/>
      <c r="D362" s="3"/>
      <c r="E362" s="3"/>
      <c r="F362" s="3"/>
      <c r="G362" s="3"/>
      <c r="H362" s="3"/>
      <c r="I362" s="3"/>
      <c r="J362" s="3"/>
      <c r="K362" s="3"/>
      <c r="L362" s="3"/>
      <c r="M362" s="3"/>
      <c r="N362" s="3"/>
      <c r="O362" s="3"/>
      <c r="P362" s="3"/>
      <c r="Q362" s="3"/>
      <c r="R362" s="3"/>
      <c r="S362" s="3"/>
      <c r="T362" s="3"/>
      <c r="U362" s="3"/>
      <c r="V362" s="3"/>
      <c r="W362" s="3"/>
      <c r="X362" s="3"/>
      <c r="Y362" s="3"/>
      <c r="Z362" s="3"/>
    </row>
    <row r="363" hidden="1">
      <c r="A363" s="27" t="s">
        <v>2330</v>
      </c>
      <c r="B363" s="29" t="s">
        <v>473</v>
      </c>
      <c r="C363" s="3"/>
      <c r="D363" s="3"/>
      <c r="E363" s="3"/>
      <c r="F363" s="3"/>
      <c r="G363" s="3"/>
      <c r="H363" s="3"/>
      <c r="I363" s="3"/>
      <c r="J363" s="3"/>
      <c r="K363" s="3"/>
      <c r="L363" s="3"/>
      <c r="M363" s="3"/>
      <c r="N363" s="3"/>
      <c r="O363" s="3"/>
      <c r="P363" s="3"/>
      <c r="Q363" s="3"/>
      <c r="R363" s="3"/>
      <c r="S363" s="3"/>
      <c r="T363" s="3"/>
      <c r="U363" s="3"/>
      <c r="V363" s="3"/>
      <c r="W363" s="3"/>
      <c r="X363" s="3"/>
      <c r="Y363" s="3"/>
      <c r="Z363" s="3"/>
    </row>
    <row r="364" hidden="1">
      <c r="A364" s="27" t="s">
        <v>2336</v>
      </c>
      <c r="B364" s="29" t="s">
        <v>474</v>
      </c>
      <c r="C364" s="3"/>
      <c r="D364" s="3"/>
      <c r="E364" s="3"/>
      <c r="F364" s="3"/>
      <c r="G364" s="3"/>
      <c r="H364" s="3"/>
      <c r="I364" s="3"/>
      <c r="J364" s="3"/>
      <c r="K364" s="3"/>
      <c r="L364" s="3"/>
      <c r="M364" s="3"/>
      <c r="N364" s="3"/>
      <c r="O364" s="3"/>
      <c r="P364" s="3"/>
      <c r="Q364" s="3"/>
      <c r="R364" s="3"/>
      <c r="S364" s="3"/>
      <c r="T364" s="3"/>
      <c r="U364" s="3"/>
      <c r="V364" s="3"/>
      <c r="W364" s="3"/>
      <c r="X364" s="3"/>
      <c r="Y364" s="3"/>
      <c r="Z364" s="3"/>
    </row>
    <row r="365" hidden="1">
      <c r="A365" s="27" t="s">
        <v>2342</v>
      </c>
      <c r="B365" s="29" t="s">
        <v>475</v>
      </c>
      <c r="C365" s="3"/>
      <c r="D365" s="3"/>
      <c r="E365" s="3"/>
      <c r="F365" s="3"/>
      <c r="G365" s="3"/>
      <c r="H365" s="3"/>
      <c r="I365" s="3"/>
      <c r="J365" s="3"/>
      <c r="K365" s="3"/>
      <c r="L365" s="3"/>
      <c r="M365" s="3"/>
      <c r="N365" s="3"/>
      <c r="O365" s="3"/>
      <c r="P365" s="3"/>
      <c r="Q365" s="3"/>
      <c r="R365" s="3"/>
      <c r="S365" s="3"/>
      <c r="T365" s="3"/>
      <c r="U365" s="3"/>
      <c r="V365" s="3"/>
      <c r="W365" s="3"/>
      <c r="X365" s="3"/>
      <c r="Y365" s="3"/>
      <c r="Z365" s="3"/>
    </row>
    <row r="366" hidden="1">
      <c r="A366" s="27" t="s">
        <v>2348</v>
      </c>
      <c r="B366" s="29" t="s">
        <v>476</v>
      </c>
      <c r="C366" s="3"/>
      <c r="D366" s="3"/>
      <c r="E366" s="3"/>
      <c r="F366" s="3"/>
      <c r="G366" s="3"/>
      <c r="H366" s="3"/>
      <c r="I366" s="3"/>
      <c r="J366" s="3"/>
      <c r="K366" s="3"/>
      <c r="L366" s="3"/>
      <c r="M366" s="3"/>
      <c r="N366" s="3"/>
      <c r="O366" s="3"/>
      <c r="P366" s="3"/>
      <c r="Q366" s="3"/>
      <c r="R366" s="3"/>
      <c r="S366" s="3"/>
      <c r="T366" s="3"/>
      <c r="U366" s="3"/>
      <c r="V366" s="3"/>
      <c r="W366" s="3"/>
      <c r="X366" s="3"/>
      <c r="Y366" s="3"/>
      <c r="Z366" s="3"/>
    </row>
    <row r="367" hidden="1">
      <c r="A367" s="27" t="s">
        <v>2355</v>
      </c>
      <c r="B367" s="29" t="s">
        <v>478</v>
      </c>
      <c r="C367" s="3"/>
      <c r="D367" s="3"/>
      <c r="E367" s="3"/>
      <c r="F367" s="3"/>
      <c r="G367" s="3"/>
      <c r="H367" s="3"/>
      <c r="I367" s="3"/>
      <c r="J367" s="3"/>
      <c r="K367" s="3"/>
      <c r="L367" s="3"/>
      <c r="M367" s="3"/>
      <c r="N367" s="3"/>
      <c r="O367" s="3"/>
      <c r="P367" s="3"/>
      <c r="Q367" s="3"/>
      <c r="R367" s="3"/>
      <c r="S367" s="3"/>
      <c r="T367" s="3"/>
      <c r="U367" s="3"/>
      <c r="V367" s="3"/>
      <c r="W367" s="3"/>
      <c r="X367" s="3"/>
      <c r="Y367" s="3"/>
      <c r="Z367" s="3"/>
    </row>
    <row r="368" hidden="1">
      <c r="A368" s="27" t="s">
        <v>2361</v>
      </c>
      <c r="B368" s="29" t="s">
        <v>479</v>
      </c>
      <c r="C368" s="3"/>
      <c r="D368" s="3"/>
      <c r="E368" s="3"/>
      <c r="F368" s="3"/>
      <c r="G368" s="3"/>
      <c r="H368" s="3"/>
      <c r="I368" s="3"/>
      <c r="J368" s="3"/>
      <c r="K368" s="3"/>
      <c r="L368" s="3"/>
      <c r="M368" s="3"/>
      <c r="N368" s="3"/>
      <c r="O368" s="3"/>
      <c r="P368" s="3"/>
      <c r="Q368" s="3"/>
      <c r="R368" s="3"/>
      <c r="S368" s="3"/>
      <c r="T368" s="3"/>
      <c r="U368" s="3"/>
      <c r="V368" s="3"/>
      <c r="W368" s="3"/>
      <c r="X368" s="3"/>
      <c r="Y368" s="3"/>
      <c r="Z368" s="3"/>
    </row>
    <row r="369" hidden="1">
      <c r="A369" s="27" t="s">
        <v>2367</v>
      </c>
      <c r="B369" s="29" t="s">
        <v>480</v>
      </c>
      <c r="C369" s="3"/>
      <c r="D369" s="3"/>
      <c r="E369" s="3"/>
      <c r="F369" s="3"/>
      <c r="G369" s="3"/>
      <c r="H369" s="3"/>
      <c r="I369" s="3"/>
      <c r="J369" s="3"/>
      <c r="K369" s="3"/>
      <c r="L369" s="3"/>
      <c r="M369" s="3"/>
      <c r="N369" s="3"/>
      <c r="O369" s="3"/>
      <c r="P369" s="3"/>
      <c r="Q369" s="3"/>
      <c r="R369" s="3"/>
      <c r="S369" s="3"/>
      <c r="T369" s="3"/>
      <c r="U369" s="3"/>
      <c r="V369" s="3"/>
      <c r="W369" s="3"/>
      <c r="X369" s="3"/>
      <c r="Y369" s="3"/>
      <c r="Z369" s="3"/>
    </row>
    <row r="370" hidden="1">
      <c r="A370" s="27" t="s">
        <v>2372</v>
      </c>
      <c r="B370" s="29" t="s">
        <v>481</v>
      </c>
      <c r="C370" s="3"/>
      <c r="D370" s="3"/>
      <c r="E370" s="3"/>
      <c r="F370" s="3"/>
      <c r="G370" s="3"/>
      <c r="H370" s="3"/>
      <c r="I370" s="3"/>
      <c r="J370" s="3"/>
      <c r="K370" s="3"/>
      <c r="L370" s="3"/>
      <c r="M370" s="3"/>
      <c r="N370" s="3"/>
      <c r="O370" s="3"/>
      <c r="P370" s="3"/>
      <c r="Q370" s="3"/>
      <c r="R370" s="3"/>
      <c r="S370" s="3"/>
      <c r="T370" s="3"/>
      <c r="U370" s="3"/>
      <c r="V370" s="3"/>
      <c r="W370" s="3"/>
      <c r="X370" s="3"/>
      <c r="Y370" s="3"/>
      <c r="Z370" s="3"/>
    </row>
    <row r="371" hidden="1">
      <c r="A371" s="27" t="s">
        <v>2378</v>
      </c>
      <c r="B371" s="29" t="s">
        <v>482</v>
      </c>
      <c r="C371" s="3"/>
      <c r="D371" s="3"/>
      <c r="E371" s="3"/>
      <c r="F371" s="3"/>
      <c r="G371" s="3"/>
      <c r="H371" s="3"/>
      <c r="I371" s="3"/>
      <c r="J371" s="3"/>
      <c r="K371" s="3"/>
      <c r="L371" s="3"/>
      <c r="M371" s="3"/>
      <c r="N371" s="3"/>
      <c r="O371" s="3"/>
      <c r="P371" s="3"/>
      <c r="Q371" s="3"/>
      <c r="R371" s="3"/>
      <c r="S371" s="3"/>
      <c r="T371" s="3"/>
      <c r="U371" s="3"/>
      <c r="V371" s="3"/>
      <c r="W371" s="3"/>
      <c r="X371" s="3"/>
      <c r="Y371" s="3"/>
      <c r="Z371" s="3"/>
    </row>
    <row r="372" hidden="1">
      <c r="A372" s="27" t="s">
        <v>2382</v>
      </c>
      <c r="B372" s="29" t="s">
        <v>483</v>
      </c>
      <c r="C372" s="3"/>
      <c r="D372" s="3"/>
      <c r="E372" s="3"/>
      <c r="F372" s="3"/>
      <c r="G372" s="3"/>
      <c r="H372" s="3"/>
      <c r="I372" s="3"/>
      <c r="J372" s="3"/>
      <c r="K372" s="3"/>
      <c r="L372" s="3"/>
      <c r="M372" s="3"/>
      <c r="N372" s="3"/>
      <c r="O372" s="3"/>
      <c r="P372" s="3"/>
      <c r="Q372" s="3"/>
      <c r="R372" s="3"/>
      <c r="S372" s="3"/>
      <c r="T372" s="3"/>
      <c r="U372" s="3"/>
      <c r="V372" s="3"/>
      <c r="W372" s="3"/>
      <c r="X372" s="3"/>
      <c r="Y372" s="3"/>
      <c r="Z372" s="3"/>
    </row>
    <row r="373" hidden="1">
      <c r="A373" s="27" t="s">
        <v>2388</v>
      </c>
      <c r="B373" s="29" t="s">
        <v>485</v>
      </c>
      <c r="C373" s="3"/>
      <c r="D373" s="3"/>
      <c r="E373" s="3"/>
      <c r="F373" s="3"/>
      <c r="G373" s="3"/>
      <c r="H373" s="3"/>
      <c r="I373" s="3"/>
      <c r="J373" s="3"/>
      <c r="K373" s="3"/>
      <c r="L373" s="3"/>
      <c r="M373" s="3"/>
      <c r="N373" s="3"/>
      <c r="O373" s="3"/>
      <c r="P373" s="3"/>
      <c r="Q373" s="3"/>
      <c r="R373" s="3"/>
      <c r="S373" s="3"/>
      <c r="T373" s="3"/>
      <c r="U373" s="3"/>
      <c r="V373" s="3"/>
      <c r="W373" s="3"/>
      <c r="X373" s="3"/>
      <c r="Y373" s="3"/>
      <c r="Z373" s="3"/>
    </row>
    <row r="374" hidden="1">
      <c r="A374" s="27" t="s">
        <v>2393</v>
      </c>
      <c r="B374" s="29" t="s">
        <v>486</v>
      </c>
      <c r="C374" s="3"/>
      <c r="D374" s="3"/>
      <c r="E374" s="3"/>
      <c r="F374" s="3"/>
      <c r="G374" s="3"/>
      <c r="H374" s="3"/>
      <c r="I374" s="3"/>
      <c r="J374" s="3"/>
      <c r="K374" s="3"/>
      <c r="L374" s="3"/>
      <c r="M374" s="3"/>
      <c r="N374" s="3"/>
      <c r="O374" s="3"/>
      <c r="P374" s="3"/>
      <c r="Q374" s="3"/>
      <c r="R374" s="3"/>
      <c r="S374" s="3"/>
      <c r="T374" s="3"/>
      <c r="U374" s="3"/>
      <c r="V374" s="3"/>
      <c r="W374" s="3"/>
      <c r="X374" s="3"/>
      <c r="Y374" s="3"/>
      <c r="Z374" s="3"/>
    </row>
    <row r="375" hidden="1">
      <c r="A375" s="27" t="s">
        <v>2398</v>
      </c>
      <c r="B375" s="29" t="s">
        <v>487</v>
      </c>
      <c r="C375" s="3"/>
      <c r="D375" s="3"/>
      <c r="E375" s="3"/>
      <c r="F375" s="3"/>
      <c r="G375" s="3"/>
      <c r="H375" s="3"/>
      <c r="I375" s="3"/>
      <c r="J375" s="3"/>
      <c r="K375" s="3"/>
      <c r="L375" s="3"/>
      <c r="M375" s="3"/>
      <c r="N375" s="3"/>
      <c r="O375" s="3"/>
      <c r="P375" s="3"/>
      <c r="Q375" s="3"/>
      <c r="R375" s="3"/>
      <c r="S375" s="3"/>
      <c r="T375" s="3"/>
      <c r="U375" s="3"/>
      <c r="V375" s="3"/>
      <c r="W375" s="3"/>
      <c r="X375" s="3"/>
      <c r="Y375" s="3"/>
      <c r="Z375" s="3"/>
    </row>
    <row r="376" hidden="1">
      <c r="A376" s="27" t="s">
        <v>2403</v>
      </c>
      <c r="B376" s="29" t="s">
        <v>488</v>
      </c>
      <c r="C376" s="3"/>
      <c r="D376" s="3"/>
      <c r="E376" s="3"/>
      <c r="F376" s="3"/>
      <c r="G376" s="3"/>
      <c r="H376" s="3"/>
      <c r="I376" s="3"/>
      <c r="J376" s="3"/>
      <c r="K376" s="3"/>
      <c r="L376" s="3"/>
      <c r="M376" s="3"/>
      <c r="N376" s="3"/>
      <c r="O376" s="3"/>
      <c r="P376" s="3"/>
      <c r="Q376" s="3"/>
      <c r="R376" s="3"/>
      <c r="S376" s="3"/>
      <c r="T376" s="3"/>
      <c r="U376" s="3"/>
      <c r="V376" s="3"/>
      <c r="W376" s="3"/>
      <c r="X376" s="3"/>
      <c r="Y376" s="3"/>
      <c r="Z376" s="3"/>
    </row>
    <row r="377" hidden="1">
      <c r="A377" s="27" t="s">
        <v>2407</v>
      </c>
      <c r="B377" s="29" t="s">
        <v>489</v>
      </c>
      <c r="C377" s="3"/>
      <c r="D377" s="3"/>
      <c r="E377" s="3"/>
      <c r="F377" s="3"/>
      <c r="G377" s="3"/>
      <c r="H377" s="3"/>
      <c r="I377" s="3"/>
      <c r="J377" s="3"/>
      <c r="K377" s="3"/>
      <c r="L377" s="3"/>
      <c r="M377" s="3"/>
      <c r="N377" s="3"/>
      <c r="O377" s="3"/>
      <c r="P377" s="3"/>
      <c r="Q377" s="3"/>
      <c r="R377" s="3"/>
      <c r="S377" s="3"/>
      <c r="T377" s="3"/>
      <c r="U377" s="3"/>
      <c r="V377" s="3"/>
      <c r="W377" s="3"/>
      <c r="X377" s="3"/>
      <c r="Y377" s="3"/>
      <c r="Z377" s="3"/>
    </row>
    <row r="378" hidden="1">
      <c r="A378" s="27" t="s">
        <v>2412</v>
      </c>
      <c r="B378" s="29" t="s">
        <v>490</v>
      </c>
      <c r="C378" s="3"/>
      <c r="D378" s="3"/>
      <c r="E378" s="3"/>
      <c r="F378" s="3"/>
      <c r="G378" s="3"/>
      <c r="H378" s="3"/>
      <c r="I378" s="3"/>
      <c r="J378" s="3"/>
      <c r="K378" s="3"/>
      <c r="L378" s="3"/>
      <c r="M378" s="3"/>
      <c r="N378" s="3"/>
      <c r="O378" s="3"/>
      <c r="P378" s="3"/>
      <c r="Q378" s="3"/>
      <c r="R378" s="3"/>
      <c r="S378" s="3"/>
      <c r="T378" s="3"/>
      <c r="U378" s="3"/>
      <c r="V378" s="3"/>
      <c r="W378" s="3"/>
      <c r="X378" s="3"/>
      <c r="Y378" s="3"/>
      <c r="Z378" s="3"/>
    </row>
    <row r="379" hidden="1">
      <c r="A379" s="27" t="s">
        <v>2417</v>
      </c>
      <c r="B379" s="29" t="s">
        <v>492</v>
      </c>
      <c r="C379" s="3"/>
      <c r="D379" s="3"/>
      <c r="E379" s="3"/>
      <c r="F379" s="3"/>
      <c r="G379" s="3"/>
      <c r="H379" s="3"/>
      <c r="I379" s="3"/>
      <c r="J379" s="3"/>
      <c r="K379" s="3"/>
      <c r="L379" s="3"/>
      <c r="M379" s="3"/>
      <c r="N379" s="3"/>
      <c r="O379" s="3"/>
      <c r="P379" s="3"/>
      <c r="Q379" s="3"/>
      <c r="R379" s="3"/>
      <c r="S379" s="3"/>
      <c r="T379" s="3"/>
      <c r="U379" s="3"/>
      <c r="V379" s="3"/>
      <c r="W379" s="3"/>
      <c r="X379" s="3"/>
      <c r="Y379" s="3"/>
      <c r="Z379" s="3"/>
    </row>
    <row r="380" hidden="1">
      <c r="A380" s="27" t="s">
        <v>2419</v>
      </c>
      <c r="B380" s="29" t="s">
        <v>493</v>
      </c>
      <c r="C380" s="3"/>
      <c r="D380" s="3"/>
      <c r="E380" s="3"/>
      <c r="F380" s="3"/>
      <c r="G380" s="3"/>
      <c r="H380" s="3"/>
      <c r="I380" s="3"/>
      <c r="J380" s="3"/>
      <c r="K380" s="3"/>
      <c r="L380" s="3"/>
      <c r="M380" s="3"/>
      <c r="N380" s="3"/>
      <c r="O380" s="3"/>
      <c r="P380" s="3"/>
      <c r="Q380" s="3"/>
      <c r="R380" s="3"/>
      <c r="S380" s="3"/>
      <c r="T380" s="3"/>
      <c r="U380" s="3"/>
      <c r="V380" s="3"/>
      <c r="W380" s="3"/>
      <c r="X380" s="3"/>
      <c r="Y380" s="3"/>
      <c r="Z380" s="3"/>
    </row>
    <row r="381" hidden="1">
      <c r="A381" s="27" t="s">
        <v>2423</v>
      </c>
      <c r="B381" s="29" t="s">
        <v>494</v>
      </c>
      <c r="C381" s="3"/>
      <c r="D381" s="3"/>
      <c r="E381" s="3"/>
      <c r="F381" s="3"/>
      <c r="G381" s="3"/>
      <c r="H381" s="3"/>
      <c r="I381" s="3"/>
      <c r="J381" s="3"/>
      <c r="K381" s="3"/>
      <c r="L381" s="3"/>
      <c r="M381" s="3"/>
      <c r="N381" s="3"/>
      <c r="O381" s="3"/>
      <c r="P381" s="3"/>
      <c r="Q381" s="3"/>
      <c r="R381" s="3"/>
      <c r="S381" s="3"/>
      <c r="T381" s="3"/>
      <c r="U381" s="3"/>
      <c r="V381" s="3"/>
      <c r="W381" s="3"/>
      <c r="X381" s="3"/>
      <c r="Y381" s="3"/>
      <c r="Z381" s="3"/>
    </row>
    <row r="382" hidden="1">
      <c r="A382" s="27" t="s">
        <v>2429</v>
      </c>
      <c r="B382" s="29" t="s">
        <v>495</v>
      </c>
      <c r="C382" s="3"/>
      <c r="D382" s="3"/>
      <c r="E382" s="3"/>
      <c r="F382" s="3"/>
      <c r="G382" s="3"/>
      <c r="H382" s="3"/>
      <c r="I382" s="3"/>
      <c r="J382" s="3"/>
      <c r="K382" s="3"/>
      <c r="L382" s="3"/>
      <c r="M382" s="3"/>
      <c r="N382" s="3"/>
      <c r="O382" s="3"/>
      <c r="P382" s="3"/>
      <c r="Q382" s="3"/>
      <c r="R382" s="3"/>
      <c r="S382" s="3"/>
      <c r="T382" s="3"/>
      <c r="U382" s="3"/>
      <c r="V382" s="3"/>
      <c r="W382" s="3"/>
      <c r="X382" s="3"/>
      <c r="Y382" s="3"/>
      <c r="Z382" s="3"/>
    </row>
    <row r="383" hidden="1">
      <c r="A383" s="27" t="s">
        <v>2435</v>
      </c>
      <c r="B383" s="29" t="s">
        <v>500</v>
      </c>
      <c r="C383" s="3"/>
      <c r="D383" s="3"/>
      <c r="E383" s="3"/>
      <c r="F383" s="3"/>
      <c r="G383" s="3"/>
      <c r="H383" s="3"/>
      <c r="I383" s="3"/>
      <c r="J383" s="3"/>
      <c r="K383" s="3"/>
      <c r="L383" s="3"/>
      <c r="M383" s="3"/>
      <c r="N383" s="3"/>
      <c r="O383" s="3"/>
      <c r="P383" s="3"/>
      <c r="Q383" s="3"/>
      <c r="R383" s="3"/>
      <c r="S383" s="3"/>
      <c r="T383" s="3"/>
      <c r="U383" s="3"/>
      <c r="V383" s="3"/>
      <c r="W383" s="3"/>
      <c r="X383" s="3"/>
      <c r="Y383" s="3"/>
      <c r="Z383" s="3"/>
    </row>
    <row r="384" hidden="1">
      <c r="A384" s="27" t="s">
        <v>2440</v>
      </c>
      <c r="B384" s="29" t="s">
        <v>501</v>
      </c>
      <c r="C384" s="3"/>
      <c r="D384" s="3"/>
      <c r="E384" s="3"/>
      <c r="F384" s="3"/>
      <c r="G384" s="3"/>
      <c r="H384" s="3"/>
      <c r="I384" s="3"/>
      <c r="J384" s="3"/>
      <c r="K384" s="3"/>
      <c r="L384" s="3"/>
      <c r="M384" s="3"/>
      <c r="N384" s="3"/>
      <c r="O384" s="3"/>
      <c r="P384" s="3"/>
      <c r="Q384" s="3"/>
      <c r="R384" s="3"/>
      <c r="S384" s="3"/>
      <c r="T384" s="3"/>
      <c r="U384" s="3"/>
      <c r="V384" s="3"/>
      <c r="W384" s="3"/>
      <c r="X384" s="3"/>
      <c r="Y384" s="3"/>
      <c r="Z384" s="3"/>
    </row>
    <row r="385" hidden="1">
      <c r="A385" s="27" t="s">
        <v>2445</v>
      </c>
      <c r="B385" s="29" t="s">
        <v>502</v>
      </c>
      <c r="C385" s="3"/>
      <c r="D385" s="3"/>
      <c r="E385" s="3"/>
      <c r="F385" s="3"/>
      <c r="G385" s="3"/>
      <c r="H385" s="3"/>
      <c r="I385" s="3"/>
      <c r="J385" s="3"/>
      <c r="K385" s="3"/>
      <c r="L385" s="3"/>
      <c r="M385" s="3"/>
      <c r="N385" s="3"/>
      <c r="O385" s="3"/>
      <c r="P385" s="3"/>
      <c r="Q385" s="3"/>
      <c r="R385" s="3"/>
      <c r="S385" s="3"/>
      <c r="T385" s="3"/>
      <c r="U385" s="3"/>
      <c r="V385" s="3"/>
      <c r="W385" s="3"/>
      <c r="X385" s="3"/>
      <c r="Y385" s="3"/>
      <c r="Z385" s="3"/>
    </row>
    <row r="386" hidden="1">
      <c r="A386" s="27" t="s">
        <v>2448</v>
      </c>
      <c r="B386" s="29" t="s">
        <v>504</v>
      </c>
      <c r="C386" s="3"/>
      <c r="D386" s="3"/>
      <c r="E386" s="3"/>
      <c r="F386" s="3"/>
      <c r="G386" s="3"/>
      <c r="H386" s="3"/>
      <c r="I386" s="3"/>
      <c r="J386" s="3"/>
      <c r="K386" s="3"/>
      <c r="L386" s="3"/>
      <c r="M386" s="3"/>
      <c r="N386" s="3"/>
      <c r="O386" s="3"/>
      <c r="P386" s="3"/>
      <c r="Q386" s="3"/>
      <c r="R386" s="3"/>
      <c r="S386" s="3"/>
      <c r="T386" s="3"/>
      <c r="U386" s="3"/>
      <c r="V386" s="3"/>
      <c r="W386" s="3"/>
      <c r="X386" s="3"/>
      <c r="Y386" s="3"/>
      <c r="Z386" s="3"/>
    </row>
    <row r="387" hidden="1">
      <c r="A387" s="27" t="s">
        <v>2451</v>
      </c>
      <c r="B387" s="29" t="s">
        <v>505</v>
      </c>
      <c r="C387" s="3"/>
      <c r="D387" s="3"/>
      <c r="E387" s="3"/>
      <c r="F387" s="3"/>
      <c r="G387" s="3"/>
      <c r="H387" s="3"/>
      <c r="I387" s="3"/>
      <c r="J387" s="3"/>
      <c r="K387" s="3"/>
      <c r="L387" s="3"/>
      <c r="M387" s="3"/>
      <c r="N387" s="3"/>
      <c r="O387" s="3"/>
      <c r="P387" s="3"/>
      <c r="Q387" s="3"/>
      <c r="R387" s="3"/>
      <c r="S387" s="3"/>
      <c r="T387" s="3"/>
      <c r="U387" s="3"/>
      <c r="V387" s="3"/>
      <c r="W387" s="3"/>
      <c r="X387" s="3"/>
      <c r="Y387" s="3"/>
      <c r="Z387" s="3"/>
    </row>
    <row r="388" hidden="1">
      <c r="A388" s="27" t="s">
        <v>2455</v>
      </c>
      <c r="B388" s="29" t="s">
        <v>506</v>
      </c>
      <c r="C388" s="3"/>
      <c r="D388" s="3"/>
      <c r="E388" s="3"/>
      <c r="F388" s="3"/>
      <c r="G388" s="3"/>
      <c r="H388" s="3"/>
      <c r="I388" s="3"/>
      <c r="J388" s="3"/>
      <c r="K388" s="3"/>
      <c r="L388" s="3"/>
      <c r="M388" s="3"/>
      <c r="N388" s="3"/>
      <c r="O388" s="3"/>
      <c r="P388" s="3"/>
      <c r="Q388" s="3"/>
      <c r="R388" s="3"/>
      <c r="S388" s="3"/>
      <c r="T388" s="3"/>
      <c r="U388" s="3"/>
      <c r="V388" s="3"/>
      <c r="W388" s="3"/>
      <c r="X388" s="3"/>
      <c r="Y388" s="3"/>
      <c r="Z388" s="3"/>
    </row>
    <row r="389" hidden="1">
      <c r="A389" s="27" t="s">
        <v>2460</v>
      </c>
      <c r="B389" s="29" t="s">
        <v>507</v>
      </c>
      <c r="C389" s="3"/>
      <c r="D389" s="3"/>
      <c r="E389" s="3"/>
      <c r="F389" s="3"/>
      <c r="G389" s="3"/>
      <c r="H389" s="3"/>
      <c r="I389" s="3"/>
      <c r="J389" s="3"/>
      <c r="K389" s="3"/>
      <c r="L389" s="3"/>
      <c r="M389" s="3"/>
      <c r="N389" s="3"/>
      <c r="O389" s="3"/>
      <c r="P389" s="3"/>
      <c r="Q389" s="3"/>
      <c r="R389" s="3"/>
      <c r="S389" s="3"/>
      <c r="T389" s="3"/>
      <c r="U389" s="3"/>
      <c r="V389" s="3"/>
      <c r="W389" s="3"/>
      <c r="X389" s="3"/>
      <c r="Y389" s="3"/>
      <c r="Z389" s="3"/>
    </row>
    <row r="390" hidden="1">
      <c r="A390" s="27" t="s">
        <v>2466</v>
      </c>
      <c r="B390" s="29" t="s">
        <v>508</v>
      </c>
      <c r="C390" s="3"/>
      <c r="D390" s="3"/>
      <c r="E390" s="3"/>
      <c r="F390" s="3"/>
      <c r="G390" s="3"/>
      <c r="H390" s="3"/>
      <c r="I390" s="3"/>
      <c r="J390" s="3"/>
      <c r="K390" s="3"/>
      <c r="L390" s="3"/>
      <c r="M390" s="3"/>
      <c r="N390" s="3"/>
      <c r="O390" s="3"/>
      <c r="P390" s="3"/>
      <c r="Q390" s="3"/>
      <c r="R390" s="3"/>
      <c r="S390" s="3"/>
      <c r="T390" s="3"/>
      <c r="U390" s="3"/>
      <c r="V390" s="3"/>
      <c r="W390" s="3"/>
      <c r="X390" s="3"/>
      <c r="Y390" s="3"/>
      <c r="Z390" s="3"/>
    </row>
    <row r="391" hidden="1">
      <c r="A391" s="27" t="s">
        <v>2471</v>
      </c>
      <c r="B391" s="29" t="s">
        <v>509</v>
      </c>
      <c r="C391" s="3"/>
      <c r="D391" s="3"/>
      <c r="E391" s="3"/>
      <c r="F391" s="3"/>
      <c r="G391" s="3"/>
      <c r="H391" s="3"/>
      <c r="I391" s="3"/>
      <c r="J391" s="3"/>
      <c r="K391" s="3"/>
      <c r="L391" s="3"/>
      <c r="M391" s="3"/>
      <c r="N391" s="3"/>
      <c r="O391" s="3"/>
      <c r="P391" s="3"/>
      <c r="Q391" s="3"/>
      <c r="R391" s="3"/>
      <c r="S391" s="3"/>
      <c r="T391" s="3"/>
      <c r="U391" s="3"/>
      <c r="V391" s="3"/>
      <c r="W391" s="3"/>
      <c r="X391" s="3"/>
      <c r="Y391" s="3"/>
      <c r="Z391" s="3"/>
    </row>
    <row r="392" hidden="1">
      <c r="A392" s="27" t="s">
        <v>2479</v>
      </c>
      <c r="B392" s="29" t="s">
        <v>511</v>
      </c>
      <c r="C392" s="3"/>
      <c r="D392" s="3"/>
      <c r="E392" s="3"/>
      <c r="F392" s="3"/>
      <c r="G392" s="3"/>
      <c r="H392" s="3"/>
      <c r="I392" s="3"/>
      <c r="J392" s="3"/>
      <c r="K392" s="3"/>
      <c r="L392" s="3"/>
      <c r="M392" s="3"/>
      <c r="N392" s="3"/>
      <c r="O392" s="3"/>
      <c r="P392" s="3"/>
      <c r="Q392" s="3"/>
      <c r="R392" s="3"/>
      <c r="S392" s="3"/>
      <c r="T392" s="3"/>
      <c r="U392" s="3"/>
      <c r="V392" s="3"/>
      <c r="W392" s="3"/>
      <c r="X392" s="3"/>
      <c r="Y392" s="3"/>
      <c r="Z392" s="3"/>
    </row>
    <row r="393" hidden="1">
      <c r="A393" s="27" t="s">
        <v>2484</v>
      </c>
      <c r="B393" s="29" t="s">
        <v>512</v>
      </c>
      <c r="C393" s="3"/>
      <c r="D393" s="3"/>
      <c r="E393" s="3"/>
      <c r="F393" s="3"/>
      <c r="G393" s="3"/>
      <c r="H393" s="3"/>
      <c r="I393" s="3"/>
      <c r="J393" s="3"/>
      <c r="K393" s="3"/>
      <c r="L393" s="3"/>
      <c r="M393" s="3"/>
      <c r="N393" s="3"/>
      <c r="O393" s="3"/>
      <c r="P393" s="3"/>
      <c r="Q393" s="3"/>
      <c r="R393" s="3"/>
      <c r="S393" s="3"/>
      <c r="T393" s="3"/>
      <c r="U393" s="3"/>
      <c r="V393" s="3"/>
      <c r="W393" s="3"/>
      <c r="X393" s="3"/>
      <c r="Y393" s="3"/>
      <c r="Z393" s="3"/>
    </row>
    <row r="394" hidden="1">
      <c r="A394" s="27" t="s">
        <v>2492</v>
      </c>
      <c r="B394" s="29" t="s">
        <v>513</v>
      </c>
      <c r="C394" s="3"/>
      <c r="D394" s="3"/>
      <c r="E394" s="3"/>
      <c r="F394" s="3"/>
      <c r="G394" s="3"/>
      <c r="H394" s="3"/>
      <c r="I394" s="3"/>
      <c r="J394" s="3"/>
      <c r="K394" s="3"/>
      <c r="L394" s="3"/>
      <c r="M394" s="3"/>
      <c r="N394" s="3"/>
      <c r="O394" s="3"/>
      <c r="P394" s="3"/>
      <c r="Q394" s="3"/>
      <c r="R394" s="3"/>
      <c r="S394" s="3"/>
      <c r="T394" s="3"/>
      <c r="U394" s="3"/>
      <c r="V394" s="3"/>
      <c r="W394" s="3"/>
      <c r="X394" s="3"/>
      <c r="Y394" s="3"/>
      <c r="Z394" s="3"/>
    </row>
    <row r="395" hidden="1">
      <c r="A395" s="27" t="s">
        <v>2500</v>
      </c>
      <c r="B395" s="29" t="s">
        <v>514</v>
      </c>
      <c r="C395" s="3"/>
      <c r="D395" s="3"/>
      <c r="E395" s="3"/>
      <c r="F395" s="3"/>
      <c r="G395" s="3"/>
      <c r="H395" s="3"/>
      <c r="I395" s="3"/>
      <c r="J395" s="3"/>
      <c r="K395" s="3"/>
      <c r="L395" s="3"/>
      <c r="M395" s="3"/>
      <c r="N395" s="3"/>
      <c r="O395" s="3"/>
      <c r="P395" s="3"/>
      <c r="Q395" s="3"/>
      <c r="R395" s="3"/>
      <c r="S395" s="3"/>
      <c r="T395" s="3"/>
      <c r="U395" s="3"/>
      <c r="V395" s="3"/>
      <c r="W395" s="3"/>
      <c r="X395" s="3"/>
      <c r="Y395" s="3"/>
      <c r="Z395" s="3"/>
    </row>
    <row r="396" hidden="1">
      <c r="A396" s="27" t="s">
        <v>2507</v>
      </c>
      <c r="B396" s="29" t="s">
        <v>515</v>
      </c>
      <c r="C396" s="3"/>
      <c r="D396" s="3"/>
      <c r="E396" s="3"/>
      <c r="F396" s="3"/>
      <c r="G396" s="3"/>
      <c r="H396" s="3"/>
      <c r="I396" s="3"/>
      <c r="J396" s="3"/>
      <c r="K396" s="3"/>
      <c r="L396" s="3"/>
      <c r="M396" s="3"/>
      <c r="N396" s="3"/>
      <c r="O396" s="3"/>
      <c r="P396" s="3"/>
      <c r="Q396" s="3"/>
      <c r="R396" s="3"/>
      <c r="S396" s="3"/>
      <c r="T396" s="3"/>
      <c r="U396" s="3"/>
      <c r="V396" s="3"/>
      <c r="W396" s="3"/>
      <c r="X396" s="3"/>
      <c r="Y396" s="3"/>
      <c r="Z396" s="3"/>
    </row>
    <row r="397" hidden="1">
      <c r="A397" s="27" t="s">
        <v>2513</v>
      </c>
      <c r="B397" s="29" t="s">
        <v>517</v>
      </c>
      <c r="C397" s="3"/>
      <c r="D397" s="3"/>
      <c r="E397" s="3"/>
      <c r="F397" s="3"/>
      <c r="G397" s="3"/>
      <c r="H397" s="3"/>
      <c r="I397" s="3"/>
      <c r="J397" s="3"/>
      <c r="K397" s="3"/>
      <c r="L397" s="3"/>
      <c r="M397" s="3"/>
      <c r="N397" s="3"/>
      <c r="O397" s="3"/>
      <c r="P397" s="3"/>
      <c r="Q397" s="3"/>
      <c r="R397" s="3"/>
      <c r="S397" s="3"/>
      <c r="T397" s="3"/>
      <c r="U397" s="3"/>
      <c r="V397" s="3"/>
      <c r="W397" s="3"/>
      <c r="X397" s="3"/>
      <c r="Y397" s="3"/>
      <c r="Z397" s="3"/>
    </row>
    <row r="398" hidden="1">
      <c r="A398" s="27" t="s">
        <v>2518</v>
      </c>
      <c r="B398" s="29" t="s">
        <v>518</v>
      </c>
      <c r="C398" s="3"/>
      <c r="D398" s="3"/>
      <c r="E398" s="3"/>
      <c r="F398" s="3"/>
      <c r="G398" s="3"/>
      <c r="H398" s="3"/>
      <c r="I398" s="3"/>
      <c r="J398" s="3"/>
      <c r="K398" s="3"/>
      <c r="L398" s="3"/>
      <c r="M398" s="3"/>
      <c r="N398" s="3"/>
      <c r="O398" s="3"/>
      <c r="P398" s="3"/>
      <c r="Q398" s="3"/>
      <c r="R398" s="3"/>
      <c r="S398" s="3"/>
      <c r="T398" s="3"/>
      <c r="U398" s="3"/>
      <c r="V398" s="3"/>
      <c r="W398" s="3"/>
      <c r="X398" s="3"/>
      <c r="Y398" s="3"/>
      <c r="Z398" s="3"/>
    </row>
    <row r="399" hidden="1">
      <c r="A399" s="27" t="s">
        <v>2528</v>
      </c>
      <c r="B399" s="29" t="s">
        <v>519</v>
      </c>
      <c r="C399" s="3"/>
      <c r="D399" s="3"/>
      <c r="E399" s="3"/>
      <c r="F399" s="3"/>
      <c r="G399" s="3"/>
      <c r="H399" s="3"/>
      <c r="I399" s="3"/>
      <c r="J399" s="3"/>
      <c r="K399" s="3"/>
      <c r="L399" s="3"/>
      <c r="M399" s="3"/>
      <c r="N399" s="3"/>
      <c r="O399" s="3"/>
      <c r="P399" s="3"/>
      <c r="Q399" s="3"/>
      <c r="R399" s="3"/>
      <c r="S399" s="3"/>
      <c r="T399" s="3"/>
      <c r="U399" s="3"/>
      <c r="V399" s="3"/>
      <c r="W399" s="3"/>
      <c r="X399" s="3"/>
      <c r="Y399" s="3"/>
      <c r="Z399" s="3"/>
    </row>
    <row r="400" hidden="1">
      <c r="A400" s="27" t="s">
        <v>2535</v>
      </c>
      <c r="B400" s="29" t="s">
        <v>520</v>
      </c>
      <c r="C400" s="3"/>
      <c r="D400" s="3"/>
      <c r="E400" s="3"/>
      <c r="F400" s="3"/>
      <c r="G400" s="3"/>
      <c r="H400" s="3"/>
      <c r="I400" s="3"/>
      <c r="J400" s="3"/>
      <c r="K400" s="3"/>
      <c r="L400" s="3"/>
      <c r="M400" s="3"/>
      <c r="N400" s="3"/>
      <c r="O400" s="3"/>
      <c r="P400" s="3"/>
      <c r="Q400" s="3"/>
      <c r="R400" s="3"/>
      <c r="S400" s="3"/>
      <c r="T400" s="3"/>
      <c r="U400" s="3"/>
      <c r="V400" s="3"/>
      <c r="W400" s="3"/>
      <c r="X400" s="3"/>
      <c r="Y400" s="3"/>
      <c r="Z400" s="3"/>
    </row>
    <row r="401" hidden="1">
      <c r="A401" s="27" t="s">
        <v>2544</v>
      </c>
      <c r="B401" s="29" t="s">
        <v>521</v>
      </c>
      <c r="C401" s="3"/>
      <c r="D401" s="3"/>
      <c r="E401" s="3"/>
      <c r="F401" s="3"/>
      <c r="G401" s="3"/>
      <c r="H401" s="3"/>
      <c r="I401" s="3"/>
      <c r="J401" s="3"/>
      <c r="K401" s="3"/>
      <c r="L401" s="3"/>
      <c r="M401" s="3"/>
      <c r="N401" s="3"/>
      <c r="O401" s="3"/>
      <c r="P401" s="3"/>
      <c r="Q401" s="3"/>
      <c r="R401" s="3"/>
      <c r="S401" s="3"/>
      <c r="T401" s="3"/>
      <c r="U401" s="3"/>
      <c r="V401" s="3"/>
      <c r="W401" s="3"/>
      <c r="X401" s="3"/>
      <c r="Y401" s="3"/>
      <c r="Z401" s="3"/>
    </row>
    <row r="402" hidden="1">
      <c r="A402" s="27" t="s">
        <v>2553</v>
      </c>
      <c r="B402" s="29" t="s">
        <v>522</v>
      </c>
      <c r="C402" s="3"/>
      <c r="D402" s="3"/>
      <c r="E402" s="3"/>
      <c r="F402" s="3"/>
      <c r="G402" s="3"/>
      <c r="H402" s="3"/>
      <c r="I402" s="3"/>
      <c r="J402" s="3"/>
      <c r="K402" s="3"/>
      <c r="L402" s="3"/>
      <c r="M402" s="3"/>
      <c r="N402" s="3"/>
      <c r="O402" s="3"/>
      <c r="P402" s="3"/>
      <c r="Q402" s="3"/>
      <c r="R402" s="3"/>
      <c r="S402" s="3"/>
      <c r="T402" s="3"/>
      <c r="U402" s="3"/>
      <c r="V402" s="3"/>
      <c r="W402" s="3"/>
      <c r="X402" s="3"/>
      <c r="Y402" s="3"/>
      <c r="Z402" s="3"/>
    </row>
    <row r="403" hidden="1">
      <c r="A403" s="27" t="s">
        <v>2561</v>
      </c>
      <c r="B403" s="29" t="s">
        <v>525</v>
      </c>
      <c r="C403" s="3"/>
      <c r="D403" s="3"/>
      <c r="E403" s="3"/>
      <c r="F403" s="3"/>
      <c r="G403" s="3"/>
      <c r="H403" s="3"/>
      <c r="I403" s="3"/>
      <c r="J403" s="3"/>
      <c r="K403" s="3"/>
      <c r="L403" s="3"/>
      <c r="M403" s="3"/>
      <c r="N403" s="3"/>
      <c r="O403" s="3"/>
      <c r="P403" s="3"/>
      <c r="Q403" s="3"/>
      <c r="R403" s="3"/>
      <c r="S403" s="3"/>
      <c r="T403" s="3"/>
      <c r="U403" s="3"/>
      <c r="V403" s="3"/>
      <c r="W403" s="3"/>
      <c r="X403" s="3"/>
      <c r="Y403" s="3"/>
      <c r="Z403" s="3"/>
    </row>
    <row r="404" hidden="1">
      <c r="A404" s="27" t="s">
        <v>2570</v>
      </c>
      <c r="B404" s="29" t="s">
        <v>526</v>
      </c>
      <c r="C404" s="3"/>
      <c r="D404" s="3"/>
      <c r="E404" s="3"/>
      <c r="F404" s="3"/>
      <c r="G404" s="3"/>
      <c r="H404" s="3"/>
      <c r="I404" s="3"/>
      <c r="J404" s="3"/>
      <c r="K404" s="3"/>
      <c r="L404" s="3"/>
      <c r="M404" s="3"/>
      <c r="N404" s="3"/>
      <c r="O404" s="3"/>
      <c r="P404" s="3"/>
      <c r="Q404" s="3"/>
      <c r="R404" s="3"/>
      <c r="S404" s="3"/>
      <c r="T404" s="3"/>
      <c r="U404" s="3"/>
      <c r="V404" s="3"/>
      <c r="W404" s="3"/>
      <c r="X404" s="3"/>
      <c r="Y404" s="3"/>
      <c r="Z404" s="3"/>
    </row>
    <row r="405" hidden="1">
      <c r="A405" s="27" t="s">
        <v>2578</v>
      </c>
      <c r="B405" s="29" t="s">
        <v>528</v>
      </c>
      <c r="C405" s="3"/>
      <c r="D405" s="3"/>
      <c r="E405" s="3"/>
      <c r="F405" s="3"/>
      <c r="G405" s="3"/>
      <c r="H405" s="3"/>
      <c r="I405" s="3"/>
      <c r="J405" s="3"/>
      <c r="K405" s="3"/>
      <c r="L405" s="3"/>
      <c r="M405" s="3"/>
      <c r="N405" s="3"/>
      <c r="O405" s="3"/>
      <c r="P405" s="3"/>
      <c r="Q405" s="3"/>
      <c r="R405" s="3"/>
      <c r="S405" s="3"/>
      <c r="T405" s="3"/>
      <c r="U405" s="3"/>
      <c r="V405" s="3"/>
      <c r="W405" s="3"/>
      <c r="X405" s="3"/>
      <c r="Y405" s="3"/>
      <c r="Z405" s="3"/>
    </row>
    <row r="406" hidden="1">
      <c r="A406" s="27" t="s">
        <v>2587</v>
      </c>
      <c r="B406" s="29" t="s">
        <v>530</v>
      </c>
      <c r="C406" s="3"/>
      <c r="D406" s="3"/>
      <c r="E406" s="3"/>
      <c r="F406" s="3"/>
      <c r="G406" s="3"/>
      <c r="H406" s="3"/>
      <c r="I406" s="3"/>
      <c r="J406" s="3"/>
      <c r="K406" s="3"/>
      <c r="L406" s="3"/>
      <c r="M406" s="3"/>
      <c r="N406" s="3"/>
      <c r="O406" s="3"/>
      <c r="P406" s="3"/>
      <c r="Q406" s="3"/>
      <c r="R406" s="3"/>
      <c r="S406" s="3"/>
      <c r="T406" s="3"/>
      <c r="U406" s="3"/>
      <c r="V406" s="3"/>
      <c r="W406" s="3"/>
      <c r="X406" s="3"/>
      <c r="Y406" s="3"/>
      <c r="Z406" s="3"/>
    </row>
    <row r="407" hidden="1">
      <c r="A407" s="27" t="s">
        <v>2599</v>
      </c>
      <c r="B407" s="29" t="s">
        <v>532</v>
      </c>
      <c r="C407" s="3"/>
      <c r="D407" s="3"/>
      <c r="E407" s="3"/>
      <c r="F407" s="3"/>
      <c r="G407" s="3"/>
      <c r="H407" s="3"/>
      <c r="I407" s="3"/>
      <c r="J407" s="3"/>
      <c r="K407" s="3"/>
      <c r="L407" s="3"/>
      <c r="M407" s="3"/>
      <c r="N407" s="3"/>
      <c r="O407" s="3"/>
      <c r="P407" s="3"/>
      <c r="Q407" s="3"/>
      <c r="R407" s="3"/>
      <c r="S407" s="3"/>
      <c r="T407" s="3"/>
      <c r="U407" s="3"/>
      <c r="V407" s="3"/>
      <c r="W407" s="3"/>
      <c r="X407" s="3"/>
      <c r="Y407" s="3"/>
      <c r="Z407" s="3"/>
    </row>
    <row r="408" hidden="1">
      <c r="A408" s="27" t="s">
        <v>2607</v>
      </c>
      <c r="B408" s="29" t="s">
        <v>533</v>
      </c>
      <c r="C408" s="3"/>
      <c r="D408" s="3"/>
      <c r="E408" s="3"/>
      <c r="F408" s="3"/>
      <c r="G408" s="3"/>
      <c r="H408" s="3"/>
      <c r="I408" s="3"/>
      <c r="J408" s="3"/>
      <c r="K408" s="3"/>
      <c r="L408" s="3"/>
      <c r="M408" s="3"/>
      <c r="N408" s="3"/>
      <c r="O408" s="3"/>
      <c r="P408" s="3"/>
      <c r="Q408" s="3"/>
      <c r="R408" s="3"/>
      <c r="S408" s="3"/>
      <c r="T408" s="3"/>
      <c r="U408" s="3"/>
      <c r="V408" s="3"/>
      <c r="W408" s="3"/>
      <c r="X408" s="3"/>
      <c r="Y408" s="3"/>
      <c r="Z408" s="3"/>
    </row>
    <row r="409" hidden="1">
      <c r="A409" s="27" t="s">
        <v>2616</v>
      </c>
      <c r="B409" s="29" t="s">
        <v>535</v>
      </c>
      <c r="C409" s="3"/>
      <c r="D409" s="3"/>
      <c r="E409" s="3"/>
      <c r="F409" s="3"/>
      <c r="G409" s="3"/>
      <c r="H409" s="3"/>
      <c r="I409" s="3"/>
      <c r="J409" s="3"/>
      <c r="K409" s="3"/>
      <c r="L409" s="3"/>
      <c r="M409" s="3"/>
      <c r="N409" s="3"/>
      <c r="O409" s="3"/>
      <c r="P409" s="3"/>
      <c r="Q409" s="3"/>
      <c r="R409" s="3"/>
      <c r="S409" s="3"/>
      <c r="T409" s="3"/>
      <c r="U409" s="3"/>
      <c r="V409" s="3"/>
      <c r="W409" s="3"/>
      <c r="X409" s="3"/>
      <c r="Y409" s="3"/>
      <c r="Z409" s="3"/>
    </row>
    <row r="410" hidden="1">
      <c r="A410" s="27" t="s">
        <v>2624</v>
      </c>
      <c r="B410" s="29" t="s">
        <v>536</v>
      </c>
      <c r="C410" s="3"/>
      <c r="D410" s="3"/>
      <c r="E410" s="3"/>
      <c r="F410" s="3"/>
      <c r="G410" s="3"/>
      <c r="H410" s="3"/>
      <c r="I410" s="3"/>
      <c r="J410" s="3"/>
      <c r="K410" s="3"/>
      <c r="L410" s="3"/>
      <c r="M410" s="3"/>
      <c r="N410" s="3"/>
      <c r="O410" s="3"/>
      <c r="P410" s="3"/>
      <c r="Q410" s="3"/>
      <c r="R410" s="3"/>
      <c r="S410" s="3"/>
      <c r="T410" s="3"/>
      <c r="U410" s="3"/>
      <c r="V410" s="3"/>
      <c r="W410" s="3"/>
      <c r="X410" s="3"/>
      <c r="Y410" s="3"/>
      <c r="Z410" s="3"/>
    </row>
    <row r="411" hidden="1">
      <c r="A411" s="27" t="s">
        <v>2632</v>
      </c>
      <c r="B411" s="29" t="s">
        <v>537</v>
      </c>
      <c r="C411" s="3"/>
      <c r="D411" s="3"/>
      <c r="E411" s="3"/>
      <c r="F411" s="3"/>
      <c r="G411" s="3"/>
      <c r="H411" s="3"/>
      <c r="I411" s="3"/>
      <c r="J411" s="3"/>
      <c r="K411" s="3"/>
      <c r="L411" s="3"/>
      <c r="M411" s="3"/>
      <c r="N411" s="3"/>
      <c r="O411" s="3"/>
      <c r="P411" s="3"/>
      <c r="Q411" s="3"/>
      <c r="R411" s="3"/>
      <c r="S411" s="3"/>
      <c r="T411" s="3"/>
      <c r="U411" s="3"/>
      <c r="V411" s="3"/>
      <c r="W411" s="3"/>
      <c r="X411" s="3"/>
      <c r="Y411" s="3"/>
      <c r="Z411" s="3"/>
    </row>
    <row r="412" hidden="1">
      <c r="A412" s="27" t="s">
        <v>2639</v>
      </c>
      <c r="B412" s="29" t="s">
        <v>539</v>
      </c>
      <c r="C412" s="3"/>
      <c r="D412" s="3"/>
      <c r="E412" s="3"/>
      <c r="F412" s="3"/>
      <c r="G412" s="3"/>
      <c r="H412" s="3"/>
      <c r="I412" s="3"/>
      <c r="J412" s="3"/>
      <c r="K412" s="3"/>
      <c r="L412" s="3"/>
      <c r="M412" s="3"/>
      <c r="N412" s="3"/>
      <c r="O412" s="3"/>
      <c r="P412" s="3"/>
      <c r="Q412" s="3"/>
      <c r="R412" s="3"/>
      <c r="S412" s="3"/>
      <c r="T412" s="3"/>
      <c r="U412" s="3"/>
      <c r="V412" s="3"/>
      <c r="W412" s="3"/>
      <c r="X412" s="3"/>
      <c r="Y412" s="3"/>
      <c r="Z412" s="3"/>
    </row>
    <row r="413" hidden="1">
      <c r="A413" s="27" t="s">
        <v>2645</v>
      </c>
      <c r="B413" s="29" t="s">
        <v>540</v>
      </c>
      <c r="C413" s="3"/>
      <c r="D413" s="3"/>
      <c r="E413" s="3"/>
      <c r="F413" s="3"/>
      <c r="G413" s="3"/>
      <c r="H413" s="3"/>
      <c r="I413" s="3"/>
      <c r="J413" s="3"/>
      <c r="K413" s="3"/>
      <c r="L413" s="3"/>
      <c r="M413" s="3"/>
      <c r="N413" s="3"/>
      <c r="O413" s="3"/>
      <c r="P413" s="3"/>
      <c r="Q413" s="3"/>
      <c r="R413" s="3"/>
      <c r="S413" s="3"/>
      <c r="T413" s="3"/>
      <c r="U413" s="3"/>
      <c r="V413" s="3"/>
      <c r="W413" s="3"/>
      <c r="X413" s="3"/>
      <c r="Y413" s="3"/>
      <c r="Z413" s="3"/>
    </row>
    <row r="414" hidden="1">
      <c r="A414" s="27" t="s">
        <v>2649</v>
      </c>
      <c r="B414" s="29" t="s">
        <v>541</v>
      </c>
      <c r="C414" s="3"/>
      <c r="D414" s="3"/>
      <c r="E414" s="3"/>
      <c r="F414" s="3"/>
      <c r="G414" s="3"/>
      <c r="H414" s="3"/>
      <c r="I414" s="3"/>
      <c r="J414" s="3"/>
      <c r="K414" s="3"/>
      <c r="L414" s="3"/>
      <c r="M414" s="3"/>
      <c r="N414" s="3"/>
      <c r="O414" s="3"/>
      <c r="P414" s="3"/>
      <c r="Q414" s="3"/>
      <c r="R414" s="3"/>
      <c r="S414" s="3"/>
      <c r="T414" s="3"/>
      <c r="U414" s="3"/>
      <c r="V414" s="3"/>
      <c r="W414" s="3"/>
      <c r="X414" s="3"/>
      <c r="Y414" s="3"/>
      <c r="Z414" s="3"/>
    </row>
    <row r="415" hidden="1">
      <c r="A415" s="27" t="s">
        <v>2651</v>
      </c>
      <c r="B415" s="29" t="s">
        <v>542</v>
      </c>
      <c r="C415" s="3"/>
      <c r="D415" s="3"/>
      <c r="E415" s="3"/>
      <c r="F415" s="3"/>
      <c r="G415" s="3"/>
      <c r="H415" s="3"/>
      <c r="I415" s="3"/>
      <c r="J415" s="3"/>
      <c r="K415" s="3"/>
      <c r="L415" s="3"/>
      <c r="M415" s="3"/>
      <c r="N415" s="3"/>
      <c r="O415" s="3"/>
      <c r="P415" s="3"/>
      <c r="Q415" s="3"/>
      <c r="R415" s="3"/>
      <c r="S415" s="3"/>
      <c r="T415" s="3"/>
      <c r="U415" s="3"/>
      <c r="V415" s="3"/>
      <c r="W415" s="3"/>
      <c r="X415" s="3"/>
      <c r="Y415" s="3"/>
      <c r="Z415" s="3"/>
    </row>
    <row r="416" hidden="1">
      <c r="A416" s="27" t="s">
        <v>2657</v>
      </c>
      <c r="B416" s="29" t="s">
        <v>543</v>
      </c>
      <c r="C416" s="3"/>
      <c r="D416" s="3"/>
      <c r="E416" s="3"/>
      <c r="F416" s="3"/>
      <c r="G416" s="3"/>
      <c r="H416" s="3"/>
      <c r="I416" s="3"/>
      <c r="J416" s="3"/>
      <c r="K416" s="3"/>
      <c r="L416" s="3"/>
      <c r="M416" s="3"/>
      <c r="N416" s="3"/>
      <c r="O416" s="3"/>
      <c r="P416" s="3"/>
      <c r="Q416" s="3"/>
      <c r="R416" s="3"/>
      <c r="S416" s="3"/>
      <c r="T416" s="3"/>
      <c r="U416" s="3"/>
      <c r="V416" s="3"/>
      <c r="W416" s="3"/>
      <c r="X416" s="3"/>
      <c r="Y416" s="3"/>
      <c r="Z416" s="3"/>
    </row>
    <row r="417" hidden="1">
      <c r="A417" s="27" t="s">
        <v>2659</v>
      </c>
      <c r="B417" s="29" t="s">
        <v>546</v>
      </c>
      <c r="C417" s="3"/>
      <c r="D417" s="3"/>
      <c r="E417" s="3"/>
      <c r="F417" s="3"/>
      <c r="G417" s="3"/>
      <c r="H417" s="3"/>
      <c r="I417" s="3"/>
      <c r="J417" s="3"/>
      <c r="K417" s="3"/>
      <c r="L417" s="3"/>
      <c r="M417" s="3"/>
      <c r="N417" s="3"/>
      <c r="O417" s="3"/>
      <c r="P417" s="3"/>
      <c r="Q417" s="3"/>
      <c r="R417" s="3"/>
      <c r="S417" s="3"/>
      <c r="T417" s="3"/>
      <c r="U417" s="3"/>
      <c r="V417" s="3"/>
      <c r="W417" s="3"/>
      <c r="X417" s="3"/>
      <c r="Y417" s="3"/>
      <c r="Z417" s="3"/>
    </row>
    <row r="418" hidden="1">
      <c r="A418" s="27" t="s">
        <v>2660</v>
      </c>
      <c r="B418" s="29" t="s">
        <v>547</v>
      </c>
      <c r="C418" s="3"/>
      <c r="D418" s="3"/>
      <c r="E418" s="3"/>
      <c r="F418" s="3"/>
      <c r="G418" s="3"/>
      <c r="H418" s="3"/>
      <c r="I418" s="3"/>
      <c r="J418" s="3"/>
      <c r="K418" s="3"/>
      <c r="L418" s="3"/>
      <c r="M418" s="3"/>
      <c r="N418" s="3"/>
      <c r="O418" s="3"/>
      <c r="P418" s="3"/>
      <c r="Q418" s="3"/>
      <c r="R418" s="3"/>
      <c r="S418" s="3"/>
      <c r="T418" s="3"/>
      <c r="U418" s="3"/>
      <c r="V418" s="3"/>
      <c r="W418" s="3"/>
      <c r="X418" s="3"/>
      <c r="Y418" s="3"/>
      <c r="Z418" s="3"/>
    </row>
    <row r="419" hidden="1">
      <c r="A419" s="27" t="s">
        <v>2661</v>
      </c>
      <c r="B419" s="29" t="s">
        <v>549</v>
      </c>
      <c r="C419" s="3"/>
      <c r="D419" s="3"/>
      <c r="E419" s="3"/>
      <c r="F419" s="3"/>
      <c r="G419" s="3"/>
      <c r="H419" s="3"/>
      <c r="I419" s="3"/>
      <c r="J419" s="3"/>
      <c r="K419" s="3"/>
      <c r="L419" s="3"/>
      <c r="M419" s="3"/>
      <c r="N419" s="3"/>
      <c r="O419" s="3"/>
      <c r="P419" s="3"/>
      <c r="Q419" s="3"/>
      <c r="R419" s="3"/>
      <c r="S419" s="3"/>
      <c r="T419" s="3"/>
      <c r="U419" s="3"/>
      <c r="V419" s="3"/>
      <c r="W419" s="3"/>
      <c r="X419" s="3"/>
      <c r="Y419" s="3"/>
      <c r="Z419" s="3"/>
    </row>
    <row r="420" hidden="1">
      <c r="A420" s="27" t="s">
        <v>2662</v>
      </c>
      <c r="B420" s="29" t="s">
        <v>550</v>
      </c>
      <c r="C420" s="3"/>
      <c r="D420" s="3"/>
      <c r="E420" s="3"/>
      <c r="F420" s="3"/>
      <c r="G420" s="3"/>
      <c r="H420" s="3"/>
      <c r="I420" s="3"/>
      <c r="J420" s="3"/>
      <c r="K420" s="3"/>
      <c r="L420" s="3"/>
      <c r="M420" s="3"/>
      <c r="N420" s="3"/>
      <c r="O420" s="3"/>
      <c r="P420" s="3"/>
      <c r="Q420" s="3"/>
      <c r="R420" s="3"/>
      <c r="S420" s="3"/>
      <c r="T420" s="3"/>
      <c r="U420" s="3"/>
      <c r="V420" s="3"/>
      <c r="W420" s="3"/>
      <c r="X420" s="3"/>
      <c r="Y420" s="3"/>
      <c r="Z420" s="3"/>
    </row>
    <row r="421" hidden="1">
      <c r="A421" s="27" t="s">
        <v>2663</v>
      </c>
      <c r="B421" s="29" t="s">
        <v>552</v>
      </c>
      <c r="C421" s="3"/>
      <c r="D421" s="3"/>
      <c r="E421" s="3"/>
      <c r="F421" s="3"/>
      <c r="G421" s="3"/>
      <c r="H421" s="3"/>
      <c r="I421" s="3"/>
      <c r="J421" s="3"/>
      <c r="K421" s="3"/>
      <c r="L421" s="3"/>
      <c r="M421" s="3"/>
      <c r="N421" s="3"/>
      <c r="O421" s="3"/>
      <c r="P421" s="3"/>
      <c r="Q421" s="3"/>
      <c r="R421" s="3"/>
      <c r="S421" s="3"/>
      <c r="T421" s="3"/>
      <c r="U421" s="3"/>
      <c r="V421" s="3"/>
      <c r="W421" s="3"/>
      <c r="X421" s="3"/>
      <c r="Y421" s="3"/>
      <c r="Z421" s="3"/>
    </row>
    <row r="422" hidden="1">
      <c r="A422" s="27" t="s">
        <v>2664</v>
      </c>
      <c r="B422" s="29" t="s">
        <v>553</v>
      </c>
      <c r="C422" s="3"/>
      <c r="D422" s="3"/>
      <c r="E422" s="3"/>
      <c r="F422" s="3"/>
      <c r="G422" s="3"/>
      <c r="H422" s="3"/>
      <c r="I422" s="3"/>
      <c r="J422" s="3"/>
      <c r="K422" s="3"/>
      <c r="L422" s="3"/>
      <c r="M422" s="3"/>
      <c r="N422" s="3"/>
      <c r="O422" s="3"/>
      <c r="P422" s="3"/>
      <c r="Q422" s="3"/>
      <c r="R422" s="3"/>
      <c r="S422" s="3"/>
      <c r="T422" s="3"/>
      <c r="U422" s="3"/>
      <c r="V422" s="3"/>
      <c r="W422" s="3"/>
      <c r="X422" s="3"/>
      <c r="Y422" s="3"/>
      <c r="Z422" s="3"/>
    </row>
    <row r="423" hidden="1">
      <c r="A423" s="27" t="s">
        <v>2665</v>
      </c>
      <c r="B423" s="29" t="s">
        <v>555</v>
      </c>
      <c r="C423" s="3"/>
      <c r="D423" s="3"/>
      <c r="E423" s="3"/>
      <c r="F423" s="3"/>
      <c r="G423" s="3"/>
      <c r="H423" s="3"/>
      <c r="I423" s="3"/>
      <c r="J423" s="3"/>
      <c r="K423" s="3"/>
      <c r="L423" s="3"/>
      <c r="M423" s="3"/>
      <c r="N423" s="3"/>
      <c r="O423" s="3"/>
      <c r="P423" s="3"/>
      <c r="Q423" s="3"/>
      <c r="R423" s="3"/>
      <c r="S423" s="3"/>
      <c r="T423" s="3"/>
      <c r="U423" s="3"/>
      <c r="V423" s="3"/>
      <c r="W423" s="3"/>
      <c r="X423" s="3"/>
      <c r="Y423" s="3"/>
      <c r="Z423" s="3"/>
    </row>
    <row r="424" hidden="1">
      <c r="A424" s="27" t="s">
        <v>2666</v>
      </c>
      <c r="B424" s="29" t="s">
        <v>556</v>
      </c>
      <c r="C424" s="3"/>
      <c r="D424" s="3"/>
      <c r="E424" s="3"/>
      <c r="F424" s="3"/>
      <c r="G424" s="3"/>
      <c r="H424" s="3"/>
      <c r="I424" s="3"/>
      <c r="J424" s="3"/>
      <c r="K424" s="3"/>
      <c r="L424" s="3"/>
      <c r="M424" s="3"/>
      <c r="N424" s="3"/>
      <c r="O424" s="3"/>
      <c r="P424" s="3"/>
      <c r="Q424" s="3"/>
      <c r="R424" s="3"/>
      <c r="S424" s="3"/>
      <c r="T424" s="3"/>
      <c r="U424" s="3"/>
      <c r="V424" s="3"/>
      <c r="W424" s="3"/>
      <c r="X424" s="3"/>
      <c r="Y424" s="3"/>
      <c r="Z424" s="3"/>
    </row>
    <row r="425" hidden="1">
      <c r="A425" s="27" t="s">
        <v>2667</v>
      </c>
      <c r="B425" s="29" t="s">
        <v>557</v>
      </c>
      <c r="C425" s="3"/>
      <c r="D425" s="3"/>
      <c r="E425" s="3"/>
      <c r="F425" s="3"/>
      <c r="G425" s="3"/>
      <c r="H425" s="3"/>
      <c r="I425" s="3"/>
      <c r="J425" s="3"/>
      <c r="K425" s="3"/>
      <c r="L425" s="3"/>
      <c r="M425" s="3"/>
      <c r="N425" s="3"/>
      <c r="O425" s="3"/>
      <c r="P425" s="3"/>
      <c r="Q425" s="3"/>
      <c r="R425" s="3"/>
      <c r="S425" s="3"/>
      <c r="T425" s="3"/>
      <c r="U425" s="3"/>
      <c r="V425" s="3"/>
      <c r="W425" s="3"/>
      <c r="X425" s="3"/>
      <c r="Y425" s="3"/>
      <c r="Z425" s="3"/>
    </row>
    <row r="426" hidden="1">
      <c r="A426" s="27" t="s">
        <v>2668</v>
      </c>
      <c r="B426" s="29" t="s">
        <v>558</v>
      </c>
      <c r="C426" s="3"/>
      <c r="D426" s="3"/>
      <c r="E426" s="3"/>
      <c r="F426" s="3"/>
      <c r="G426" s="3"/>
      <c r="H426" s="3"/>
      <c r="I426" s="3"/>
      <c r="J426" s="3"/>
      <c r="K426" s="3"/>
      <c r="L426" s="3"/>
      <c r="M426" s="3"/>
      <c r="N426" s="3"/>
      <c r="O426" s="3"/>
      <c r="P426" s="3"/>
      <c r="Q426" s="3"/>
      <c r="R426" s="3"/>
      <c r="S426" s="3"/>
      <c r="T426" s="3"/>
      <c r="U426" s="3"/>
      <c r="V426" s="3"/>
      <c r="W426" s="3"/>
      <c r="X426" s="3"/>
      <c r="Y426" s="3"/>
      <c r="Z426" s="3"/>
    </row>
    <row r="427" hidden="1">
      <c r="A427" s="27" t="s">
        <v>2669</v>
      </c>
      <c r="B427" s="29" t="s">
        <v>559</v>
      </c>
      <c r="C427" s="3"/>
      <c r="D427" s="3"/>
      <c r="E427" s="3"/>
      <c r="F427" s="3"/>
      <c r="G427" s="3"/>
      <c r="H427" s="3"/>
      <c r="I427" s="3"/>
      <c r="J427" s="3"/>
      <c r="K427" s="3"/>
      <c r="L427" s="3"/>
      <c r="M427" s="3"/>
      <c r="N427" s="3"/>
      <c r="O427" s="3"/>
      <c r="P427" s="3"/>
      <c r="Q427" s="3"/>
      <c r="R427" s="3"/>
      <c r="S427" s="3"/>
      <c r="T427" s="3"/>
      <c r="U427" s="3"/>
      <c r="V427" s="3"/>
      <c r="W427" s="3"/>
      <c r="X427" s="3"/>
      <c r="Y427" s="3"/>
      <c r="Z427" s="3"/>
    </row>
    <row r="428" hidden="1">
      <c r="A428" s="27" t="s">
        <v>2670</v>
      </c>
      <c r="B428" s="29" t="s">
        <v>560</v>
      </c>
      <c r="C428" s="3"/>
      <c r="D428" s="3"/>
      <c r="E428" s="3"/>
      <c r="F428" s="3"/>
      <c r="G428" s="3"/>
      <c r="H428" s="3"/>
      <c r="I428" s="3"/>
      <c r="J428" s="3"/>
      <c r="K428" s="3"/>
      <c r="L428" s="3"/>
      <c r="M428" s="3"/>
      <c r="N428" s="3"/>
      <c r="O428" s="3"/>
      <c r="P428" s="3"/>
      <c r="Q428" s="3"/>
      <c r="R428" s="3"/>
      <c r="S428" s="3"/>
      <c r="T428" s="3"/>
      <c r="U428" s="3"/>
      <c r="V428" s="3"/>
      <c r="W428" s="3"/>
      <c r="X428" s="3"/>
      <c r="Y428" s="3"/>
      <c r="Z428" s="3"/>
    </row>
    <row r="429" hidden="1">
      <c r="A429" s="27" t="s">
        <v>2671</v>
      </c>
      <c r="B429" s="29" t="s">
        <v>563</v>
      </c>
      <c r="C429" s="3"/>
      <c r="D429" s="3"/>
      <c r="E429" s="3"/>
      <c r="F429" s="3"/>
      <c r="G429" s="3"/>
      <c r="H429" s="3"/>
      <c r="I429" s="3"/>
      <c r="J429" s="3"/>
      <c r="K429" s="3"/>
      <c r="L429" s="3"/>
      <c r="M429" s="3"/>
      <c r="N429" s="3"/>
      <c r="O429" s="3"/>
      <c r="P429" s="3"/>
      <c r="Q429" s="3"/>
      <c r="R429" s="3"/>
      <c r="S429" s="3"/>
      <c r="T429" s="3"/>
      <c r="U429" s="3"/>
      <c r="V429" s="3"/>
      <c r="W429" s="3"/>
      <c r="X429" s="3"/>
      <c r="Y429" s="3"/>
      <c r="Z429" s="3"/>
    </row>
    <row r="430" hidden="1">
      <c r="A430" s="27" t="s">
        <v>2672</v>
      </c>
      <c r="B430" s="29" t="s">
        <v>564</v>
      </c>
      <c r="C430" s="3"/>
      <c r="D430" s="3"/>
      <c r="E430" s="3"/>
      <c r="F430" s="3"/>
      <c r="G430" s="3"/>
      <c r="H430" s="3"/>
      <c r="I430" s="3"/>
      <c r="J430" s="3"/>
      <c r="K430" s="3"/>
      <c r="L430" s="3"/>
      <c r="M430" s="3"/>
      <c r="N430" s="3"/>
      <c r="O430" s="3"/>
      <c r="P430" s="3"/>
      <c r="Q430" s="3"/>
      <c r="R430" s="3"/>
      <c r="S430" s="3"/>
      <c r="T430" s="3"/>
      <c r="U430" s="3"/>
      <c r="V430" s="3"/>
      <c r="W430" s="3"/>
      <c r="X430" s="3"/>
      <c r="Y430" s="3"/>
      <c r="Z430" s="3"/>
    </row>
    <row r="431" hidden="1">
      <c r="A431" s="27" t="s">
        <v>2673</v>
      </c>
      <c r="B431" s="29" t="s">
        <v>565</v>
      </c>
      <c r="C431" s="3"/>
      <c r="D431" s="3"/>
      <c r="E431" s="3"/>
      <c r="F431" s="3"/>
      <c r="G431" s="3"/>
      <c r="H431" s="3"/>
      <c r="I431" s="3"/>
      <c r="J431" s="3"/>
      <c r="K431" s="3"/>
      <c r="L431" s="3"/>
      <c r="M431" s="3"/>
      <c r="N431" s="3"/>
      <c r="O431" s="3"/>
      <c r="P431" s="3"/>
      <c r="Q431" s="3"/>
      <c r="R431" s="3"/>
      <c r="S431" s="3"/>
      <c r="T431" s="3"/>
      <c r="U431" s="3"/>
      <c r="V431" s="3"/>
      <c r="W431" s="3"/>
      <c r="X431" s="3"/>
      <c r="Y431" s="3"/>
      <c r="Z431" s="3"/>
    </row>
    <row r="432" hidden="1">
      <c r="A432" s="27" t="s">
        <v>2674</v>
      </c>
      <c r="B432" s="29" t="s">
        <v>566</v>
      </c>
      <c r="C432" s="3"/>
      <c r="D432" s="3"/>
      <c r="E432" s="3"/>
      <c r="F432" s="3"/>
      <c r="G432" s="3"/>
      <c r="H432" s="3"/>
      <c r="I432" s="3"/>
      <c r="J432" s="3"/>
      <c r="K432" s="3"/>
      <c r="L432" s="3"/>
      <c r="M432" s="3"/>
      <c r="N432" s="3"/>
      <c r="O432" s="3"/>
      <c r="P432" s="3"/>
      <c r="Q432" s="3"/>
      <c r="R432" s="3"/>
      <c r="S432" s="3"/>
      <c r="T432" s="3"/>
      <c r="U432" s="3"/>
      <c r="V432" s="3"/>
      <c r="W432" s="3"/>
      <c r="X432" s="3"/>
      <c r="Y432" s="3"/>
      <c r="Z432" s="3"/>
    </row>
    <row r="433" hidden="1">
      <c r="A433" s="27" t="s">
        <v>2675</v>
      </c>
      <c r="B433" s="29" t="s">
        <v>568</v>
      </c>
      <c r="C433" s="3"/>
      <c r="D433" s="3"/>
      <c r="E433" s="3"/>
      <c r="F433" s="3"/>
      <c r="G433" s="3"/>
      <c r="H433" s="3"/>
      <c r="I433" s="3"/>
      <c r="J433" s="3"/>
      <c r="K433" s="3"/>
      <c r="L433" s="3"/>
      <c r="M433" s="3"/>
      <c r="N433" s="3"/>
      <c r="O433" s="3"/>
      <c r="P433" s="3"/>
      <c r="Q433" s="3"/>
      <c r="R433" s="3"/>
      <c r="S433" s="3"/>
      <c r="T433" s="3"/>
      <c r="U433" s="3"/>
      <c r="V433" s="3"/>
      <c r="W433" s="3"/>
      <c r="X433" s="3"/>
      <c r="Y433" s="3"/>
      <c r="Z433" s="3"/>
    </row>
    <row r="434" hidden="1">
      <c r="A434" s="27" t="s">
        <v>2676</v>
      </c>
      <c r="B434" s="29" t="s">
        <v>569</v>
      </c>
      <c r="C434" s="3"/>
      <c r="D434" s="3"/>
      <c r="E434" s="3"/>
      <c r="F434" s="3"/>
      <c r="G434" s="3"/>
      <c r="H434" s="3"/>
      <c r="I434" s="3"/>
      <c r="J434" s="3"/>
      <c r="K434" s="3"/>
      <c r="L434" s="3"/>
      <c r="M434" s="3"/>
      <c r="N434" s="3"/>
      <c r="O434" s="3"/>
      <c r="P434" s="3"/>
      <c r="Q434" s="3"/>
      <c r="R434" s="3"/>
      <c r="S434" s="3"/>
      <c r="T434" s="3"/>
      <c r="U434" s="3"/>
      <c r="V434" s="3"/>
      <c r="W434" s="3"/>
      <c r="X434" s="3"/>
      <c r="Y434" s="3"/>
      <c r="Z434" s="3"/>
    </row>
    <row r="435" hidden="1">
      <c r="A435" s="27" t="s">
        <v>2677</v>
      </c>
      <c r="B435" s="29" t="s">
        <v>571</v>
      </c>
      <c r="C435" s="3"/>
      <c r="D435" s="3"/>
      <c r="E435" s="3"/>
      <c r="F435" s="3"/>
      <c r="G435" s="3"/>
      <c r="H435" s="3"/>
      <c r="I435" s="3"/>
      <c r="J435" s="3"/>
      <c r="K435" s="3"/>
      <c r="L435" s="3"/>
      <c r="M435" s="3"/>
      <c r="N435" s="3"/>
      <c r="O435" s="3"/>
      <c r="P435" s="3"/>
      <c r="Q435" s="3"/>
      <c r="R435" s="3"/>
      <c r="S435" s="3"/>
      <c r="T435" s="3"/>
      <c r="U435" s="3"/>
      <c r="V435" s="3"/>
      <c r="W435" s="3"/>
      <c r="X435" s="3"/>
      <c r="Y435" s="3"/>
      <c r="Z435" s="3"/>
    </row>
    <row r="436" hidden="1">
      <c r="A436" s="27" t="s">
        <v>2678</v>
      </c>
      <c r="B436" s="29" t="s">
        <v>572</v>
      </c>
      <c r="C436" s="3"/>
      <c r="D436" s="3"/>
      <c r="E436" s="3"/>
      <c r="F436" s="3"/>
      <c r="G436" s="3"/>
      <c r="H436" s="3"/>
      <c r="I436" s="3"/>
      <c r="J436" s="3"/>
      <c r="K436" s="3"/>
      <c r="L436" s="3"/>
      <c r="M436" s="3"/>
      <c r="N436" s="3"/>
      <c r="O436" s="3"/>
      <c r="P436" s="3"/>
      <c r="Q436" s="3"/>
      <c r="R436" s="3"/>
      <c r="S436" s="3"/>
      <c r="T436" s="3"/>
      <c r="U436" s="3"/>
      <c r="V436" s="3"/>
      <c r="W436" s="3"/>
      <c r="X436" s="3"/>
      <c r="Y436" s="3"/>
      <c r="Z436" s="3"/>
    </row>
    <row r="437" hidden="1">
      <c r="A437" s="27" t="s">
        <v>2679</v>
      </c>
      <c r="B437" s="29" t="s">
        <v>573</v>
      </c>
      <c r="C437" s="3"/>
      <c r="D437" s="3"/>
      <c r="E437" s="3"/>
      <c r="F437" s="3"/>
      <c r="G437" s="3"/>
      <c r="H437" s="3"/>
      <c r="I437" s="3"/>
      <c r="J437" s="3"/>
      <c r="K437" s="3"/>
      <c r="L437" s="3"/>
      <c r="M437" s="3"/>
      <c r="N437" s="3"/>
      <c r="O437" s="3"/>
      <c r="P437" s="3"/>
      <c r="Q437" s="3"/>
      <c r="R437" s="3"/>
      <c r="S437" s="3"/>
      <c r="T437" s="3"/>
      <c r="U437" s="3"/>
      <c r="V437" s="3"/>
      <c r="W437" s="3"/>
      <c r="X437" s="3"/>
      <c r="Y437" s="3"/>
      <c r="Z437" s="3"/>
    </row>
    <row r="438" hidden="1">
      <c r="A438" s="27" t="s">
        <v>2680</v>
      </c>
      <c r="B438" s="29" t="s">
        <v>574</v>
      </c>
      <c r="C438" s="3"/>
      <c r="D438" s="3"/>
      <c r="E438" s="3"/>
      <c r="F438" s="3"/>
      <c r="G438" s="3"/>
      <c r="H438" s="3"/>
      <c r="I438" s="3"/>
      <c r="J438" s="3"/>
      <c r="K438" s="3"/>
      <c r="L438" s="3"/>
      <c r="M438" s="3"/>
      <c r="N438" s="3"/>
      <c r="O438" s="3"/>
      <c r="P438" s="3"/>
      <c r="Q438" s="3"/>
      <c r="R438" s="3"/>
      <c r="S438" s="3"/>
      <c r="T438" s="3"/>
      <c r="U438" s="3"/>
      <c r="V438" s="3"/>
      <c r="W438" s="3"/>
      <c r="X438" s="3"/>
      <c r="Y438" s="3"/>
      <c r="Z438" s="3"/>
    </row>
    <row r="439" hidden="1">
      <c r="A439" s="27" t="s">
        <v>2681</v>
      </c>
      <c r="B439" s="29" t="s">
        <v>575</v>
      </c>
      <c r="C439" s="3"/>
      <c r="D439" s="3"/>
      <c r="E439" s="3"/>
      <c r="F439" s="3"/>
      <c r="G439" s="3"/>
      <c r="H439" s="3"/>
      <c r="I439" s="3"/>
      <c r="J439" s="3"/>
      <c r="K439" s="3"/>
      <c r="L439" s="3"/>
      <c r="M439" s="3"/>
      <c r="N439" s="3"/>
      <c r="O439" s="3"/>
      <c r="P439" s="3"/>
      <c r="Q439" s="3"/>
      <c r="R439" s="3"/>
      <c r="S439" s="3"/>
      <c r="T439" s="3"/>
      <c r="U439" s="3"/>
      <c r="V439" s="3"/>
      <c r="W439" s="3"/>
      <c r="X439" s="3"/>
      <c r="Y439" s="3"/>
      <c r="Z439" s="3"/>
    </row>
    <row r="440" hidden="1">
      <c r="A440" s="27" t="s">
        <v>2682</v>
      </c>
      <c r="B440" s="29" t="s">
        <v>576</v>
      </c>
      <c r="C440" s="3"/>
      <c r="D440" s="3"/>
      <c r="E440" s="3"/>
      <c r="F440" s="3"/>
      <c r="G440" s="3"/>
      <c r="H440" s="3"/>
      <c r="I440" s="3"/>
      <c r="J440" s="3"/>
      <c r="K440" s="3"/>
      <c r="L440" s="3"/>
      <c r="M440" s="3"/>
      <c r="N440" s="3"/>
      <c r="O440" s="3"/>
      <c r="P440" s="3"/>
      <c r="Q440" s="3"/>
      <c r="R440" s="3"/>
      <c r="S440" s="3"/>
      <c r="T440" s="3"/>
      <c r="U440" s="3"/>
      <c r="V440" s="3"/>
      <c r="W440" s="3"/>
      <c r="X440" s="3"/>
      <c r="Y440" s="3"/>
      <c r="Z440" s="3"/>
    </row>
    <row r="441" hidden="1">
      <c r="A441" s="27" t="s">
        <v>2683</v>
      </c>
      <c r="B441" s="29" t="s">
        <v>578</v>
      </c>
      <c r="C441" s="3"/>
      <c r="D441" s="3"/>
      <c r="E441" s="3"/>
      <c r="F441" s="3"/>
      <c r="G441" s="3"/>
      <c r="H441" s="3"/>
      <c r="I441" s="3"/>
      <c r="J441" s="3"/>
      <c r="K441" s="3"/>
      <c r="L441" s="3"/>
      <c r="M441" s="3"/>
      <c r="N441" s="3"/>
      <c r="O441" s="3"/>
      <c r="P441" s="3"/>
      <c r="Q441" s="3"/>
      <c r="R441" s="3"/>
      <c r="S441" s="3"/>
      <c r="T441" s="3"/>
      <c r="U441" s="3"/>
      <c r="V441" s="3"/>
      <c r="W441" s="3"/>
      <c r="X441" s="3"/>
      <c r="Y441" s="3"/>
      <c r="Z441" s="3"/>
    </row>
    <row r="442" hidden="1">
      <c r="A442" s="27" t="s">
        <v>2684</v>
      </c>
      <c r="B442" s="29" t="s">
        <v>579</v>
      </c>
      <c r="C442" s="3"/>
      <c r="D442" s="3"/>
      <c r="E442" s="3"/>
      <c r="F442" s="3"/>
      <c r="G442" s="3"/>
      <c r="H442" s="3"/>
      <c r="I442" s="3"/>
      <c r="J442" s="3"/>
      <c r="K442" s="3"/>
      <c r="L442" s="3"/>
      <c r="M442" s="3"/>
      <c r="N442" s="3"/>
      <c r="O442" s="3"/>
      <c r="P442" s="3"/>
      <c r="Q442" s="3"/>
      <c r="R442" s="3"/>
      <c r="S442" s="3"/>
      <c r="T442" s="3"/>
      <c r="U442" s="3"/>
      <c r="V442" s="3"/>
      <c r="W442" s="3"/>
      <c r="X442" s="3"/>
      <c r="Y442" s="3"/>
      <c r="Z442" s="3"/>
    </row>
    <row r="443" hidden="1">
      <c r="A443" s="27" t="s">
        <v>2685</v>
      </c>
      <c r="B443" s="29" t="s">
        <v>580</v>
      </c>
      <c r="C443" s="3"/>
      <c r="D443" s="3"/>
      <c r="E443" s="3"/>
      <c r="F443" s="3"/>
      <c r="G443" s="3"/>
      <c r="H443" s="3"/>
      <c r="I443" s="3"/>
      <c r="J443" s="3"/>
      <c r="K443" s="3"/>
      <c r="L443" s="3"/>
      <c r="M443" s="3"/>
      <c r="N443" s="3"/>
      <c r="O443" s="3"/>
      <c r="P443" s="3"/>
      <c r="Q443" s="3"/>
      <c r="R443" s="3"/>
      <c r="S443" s="3"/>
      <c r="T443" s="3"/>
      <c r="U443" s="3"/>
      <c r="V443" s="3"/>
      <c r="W443" s="3"/>
      <c r="X443" s="3"/>
      <c r="Y443" s="3"/>
      <c r="Z443" s="3"/>
    </row>
    <row r="444" hidden="1">
      <c r="A444" s="27" t="s">
        <v>2686</v>
      </c>
      <c r="B444" s="29" t="s">
        <v>581</v>
      </c>
      <c r="C444" s="3"/>
      <c r="D444" s="3"/>
      <c r="E444" s="3"/>
      <c r="F444" s="3"/>
      <c r="G444" s="3"/>
      <c r="H444" s="3"/>
      <c r="I444" s="3"/>
      <c r="J444" s="3"/>
      <c r="K444" s="3"/>
      <c r="L444" s="3"/>
      <c r="M444" s="3"/>
      <c r="N444" s="3"/>
      <c r="O444" s="3"/>
      <c r="P444" s="3"/>
      <c r="Q444" s="3"/>
      <c r="R444" s="3"/>
      <c r="S444" s="3"/>
      <c r="T444" s="3"/>
      <c r="U444" s="3"/>
      <c r="V444" s="3"/>
      <c r="W444" s="3"/>
      <c r="X444" s="3"/>
      <c r="Y444" s="3"/>
      <c r="Z444" s="3"/>
    </row>
    <row r="445" hidden="1">
      <c r="A445" s="27" t="s">
        <v>2687</v>
      </c>
      <c r="B445" s="29" t="s">
        <v>582</v>
      </c>
      <c r="C445" s="3"/>
      <c r="D445" s="3"/>
      <c r="E445" s="3"/>
      <c r="F445" s="3"/>
      <c r="G445" s="3"/>
      <c r="H445" s="3"/>
      <c r="I445" s="3"/>
      <c r="J445" s="3"/>
      <c r="K445" s="3"/>
      <c r="L445" s="3"/>
      <c r="M445" s="3"/>
      <c r="N445" s="3"/>
      <c r="O445" s="3"/>
      <c r="P445" s="3"/>
      <c r="Q445" s="3"/>
      <c r="R445" s="3"/>
      <c r="S445" s="3"/>
      <c r="T445" s="3"/>
      <c r="U445" s="3"/>
      <c r="V445" s="3"/>
      <c r="W445" s="3"/>
      <c r="X445" s="3"/>
      <c r="Y445" s="3"/>
      <c r="Z445" s="3"/>
    </row>
    <row r="446" hidden="1">
      <c r="A446" s="27" t="s">
        <v>2688</v>
      </c>
      <c r="B446" s="29" t="s">
        <v>583</v>
      </c>
      <c r="C446" s="3"/>
      <c r="D446" s="3"/>
      <c r="E446" s="3"/>
      <c r="F446" s="3"/>
      <c r="G446" s="3"/>
      <c r="H446" s="3"/>
      <c r="I446" s="3"/>
      <c r="J446" s="3"/>
      <c r="K446" s="3"/>
      <c r="L446" s="3"/>
      <c r="M446" s="3"/>
      <c r="N446" s="3"/>
      <c r="O446" s="3"/>
      <c r="P446" s="3"/>
      <c r="Q446" s="3"/>
      <c r="R446" s="3"/>
      <c r="S446" s="3"/>
      <c r="T446" s="3"/>
      <c r="U446" s="3"/>
      <c r="V446" s="3"/>
      <c r="W446" s="3"/>
      <c r="X446" s="3"/>
      <c r="Y446" s="3"/>
      <c r="Z446" s="3"/>
    </row>
    <row r="447" hidden="1">
      <c r="A447" s="27" t="s">
        <v>2689</v>
      </c>
      <c r="B447" s="29" t="s">
        <v>585</v>
      </c>
      <c r="C447" s="3"/>
      <c r="D447" s="3"/>
      <c r="E447" s="3"/>
      <c r="F447" s="3"/>
      <c r="G447" s="3"/>
      <c r="H447" s="3"/>
      <c r="I447" s="3"/>
      <c r="J447" s="3"/>
      <c r="K447" s="3"/>
      <c r="L447" s="3"/>
      <c r="M447" s="3"/>
      <c r="N447" s="3"/>
      <c r="O447" s="3"/>
      <c r="P447" s="3"/>
      <c r="Q447" s="3"/>
      <c r="R447" s="3"/>
      <c r="S447" s="3"/>
      <c r="T447" s="3"/>
      <c r="U447" s="3"/>
      <c r="V447" s="3"/>
      <c r="W447" s="3"/>
      <c r="X447" s="3"/>
      <c r="Y447" s="3"/>
      <c r="Z447" s="3"/>
    </row>
    <row r="448" hidden="1">
      <c r="A448" s="27" t="s">
        <v>2690</v>
      </c>
      <c r="B448" s="29" t="s">
        <v>586</v>
      </c>
      <c r="C448" s="3"/>
      <c r="D448" s="3"/>
      <c r="E448" s="3"/>
      <c r="F448" s="3"/>
      <c r="G448" s="3"/>
      <c r="H448" s="3"/>
      <c r="I448" s="3"/>
      <c r="J448" s="3"/>
      <c r="K448" s="3"/>
      <c r="L448" s="3"/>
      <c r="M448" s="3"/>
      <c r="N448" s="3"/>
      <c r="O448" s="3"/>
      <c r="P448" s="3"/>
      <c r="Q448" s="3"/>
      <c r="R448" s="3"/>
      <c r="S448" s="3"/>
      <c r="T448" s="3"/>
      <c r="U448" s="3"/>
      <c r="V448" s="3"/>
      <c r="W448" s="3"/>
      <c r="X448" s="3"/>
      <c r="Y448" s="3"/>
      <c r="Z448" s="3"/>
    </row>
    <row r="449" hidden="1">
      <c r="A449" s="27" t="s">
        <v>2691</v>
      </c>
      <c r="B449" s="29" t="s">
        <v>587</v>
      </c>
      <c r="C449" s="3"/>
      <c r="D449" s="3"/>
      <c r="E449" s="3"/>
      <c r="F449" s="3"/>
      <c r="G449" s="3"/>
      <c r="H449" s="3"/>
      <c r="I449" s="3"/>
      <c r="J449" s="3"/>
      <c r="K449" s="3"/>
      <c r="L449" s="3"/>
      <c r="M449" s="3"/>
      <c r="N449" s="3"/>
      <c r="O449" s="3"/>
      <c r="P449" s="3"/>
      <c r="Q449" s="3"/>
      <c r="R449" s="3"/>
      <c r="S449" s="3"/>
      <c r="T449" s="3"/>
      <c r="U449" s="3"/>
      <c r="V449" s="3"/>
      <c r="W449" s="3"/>
      <c r="X449" s="3"/>
      <c r="Y449" s="3"/>
      <c r="Z449" s="3"/>
    </row>
    <row r="450" hidden="1">
      <c r="A450" s="27" t="s">
        <v>2692</v>
      </c>
      <c r="B450" s="29" t="s">
        <v>588</v>
      </c>
      <c r="C450" s="3"/>
      <c r="D450" s="3"/>
      <c r="E450" s="3"/>
      <c r="F450" s="3"/>
      <c r="G450" s="3"/>
      <c r="H450" s="3"/>
      <c r="I450" s="3"/>
      <c r="J450" s="3"/>
      <c r="K450" s="3"/>
      <c r="L450" s="3"/>
      <c r="M450" s="3"/>
      <c r="N450" s="3"/>
      <c r="O450" s="3"/>
      <c r="P450" s="3"/>
      <c r="Q450" s="3"/>
      <c r="R450" s="3"/>
      <c r="S450" s="3"/>
      <c r="T450" s="3"/>
      <c r="U450" s="3"/>
      <c r="V450" s="3"/>
      <c r="W450" s="3"/>
      <c r="X450" s="3"/>
      <c r="Y450" s="3"/>
      <c r="Z450" s="3"/>
    </row>
    <row r="451" hidden="1">
      <c r="A451" s="27" t="s">
        <v>2693</v>
      </c>
      <c r="B451" s="29" t="s">
        <v>589</v>
      </c>
      <c r="C451" s="3"/>
      <c r="D451" s="3"/>
      <c r="E451" s="3"/>
      <c r="F451" s="3"/>
      <c r="G451" s="3"/>
      <c r="H451" s="3"/>
      <c r="I451" s="3"/>
      <c r="J451" s="3"/>
      <c r="K451" s="3"/>
      <c r="L451" s="3"/>
      <c r="M451" s="3"/>
      <c r="N451" s="3"/>
      <c r="O451" s="3"/>
      <c r="P451" s="3"/>
      <c r="Q451" s="3"/>
      <c r="R451" s="3"/>
      <c r="S451" s="3"/>
      <c r="T451" s="3"/>
      <c r="U451" s="3"/>
      <c r="V451" s="3"/>
      <c r="W451" s="3"/>
      <c r="X451" s="3"/>
      <c r="Y451" s="3"/>
      <c r="Z451" s="3"/>
    </row>
    <row r="452" hidden="1">
      <c r="A452" s="27" t="s">
        <v>2694</v>
      </c>
      <c r="B452" s="29" t="s">
        <v>590</v>
      </c>
      <c r="C452" s="3"/>
      <c r="D452" s="3"/>
      <c r="E452" s="3"/>
      <c r="F452" s="3"/>
      <c r="G452" s="3"/>
      <c r="H452" s="3"/>
      <c r="I452" s="3"/>
      <c r="J452" s="3"/>
      <c r="K452" s="3"/>
      <c r="L452" s="3"/>
      <c r="M452" s="3"/>
      <c r="N452" s="3"/>
      <c r="O452" s="3"/>
      <c r="P452" s="3"/>
      <c r="Q452" s="3"/>
      <c r="R452" s="3"/>
      <c r="S452" s="3"/>
      <c r="T452" s="3"/>
      <c r="U452" s="3"/>
      <c r="V452" s="3"/>
      <c r="W452" s="3"/>
      <c r="X452" s="3"/>
      <c r="Y452" s="3"/>
      <c r="Z452" s="3"/>
    </row>
    <row r="453" hidden="1">
      <c r="A453" s="27" t="s">
        <v>2695</v>
      </c>
      <c r="B453" s="29" t="s">
        <v>592</v>
      </c>
      <c r="C453" s="3"/>
      <c r="D453" s="3"/>
      <c r="E453" s="3"/>
      <c r="F453" s="3"/>
      <c r="G453" s="3"/>
      <c r="H453" s="3"/>
      <c r="I453" s="3"/>
      <c r="J453" s="3"/>
      <c r="K453" s="3"/>
      <c r="L453" s="3"/>
      <c r="M453" s="3"/>
      <c r="N453" s="3"/>
      <c r="O453" s="3"/>
      <c r="P453" s="3"/>
      <c r="Q453" s="3"/>
      <c r="R453" s="3"/>
      <c r="S453" s="3"/>
      <c r="T453" s="3"/>
      <c r="U453" s="3"/>
      <c r="V453" s="3"/>
      <c r="W453" s="3"/>
      <c r="X453" s="3"/>
      <c r="Y453" s="3"/>
      <c r="Z453" s="3"/>
    </row>
    <row r="454" hidden="1">
      <c r="A454" s="27" t="s">
        <v>2696</v>
      </c>
      <c r="B454" s="29" t="s">
        <v>593</v>
      </c>
      <c r="C454" s="3"/>
      <c r="D454" s="3"/>
      <c r="E454" s="3"/>
      <c r="F454" s="3"/>
      <c r="G454" s="3"/>
      <c r="H454" s="3"/>
      <c r="I454" s="3"/>
      <c r="J454" s="3"/>
      <c r="K454" s="3"/>
      <c r="L454" s="3"/>
      <c r="M454" s="3"/>
      <c r="N454" s="3"/>
      <c r="O454" s="3"/>
      <c r="P454" s="3"/>
      <c r="Q454" s="3"/>
      <c r="R454" s="3"/>
      <c r="S454" s="3"/>
      <c r="T454" s="3"/>
      <c r="U454" s="3"/>
      <c r="V454" s="3"/>
      <c r="W454" s="3"/>
      <c r="X454" s="3"/>
      <c r="Y454" s="3"/>
      <c r="Z454" s="3"/>
    </row>
    <row r="455" hidden="1">
      <c r="A455" s="27" t="s">
        <v>2697</v>
      </c>
      <c r="B455" s="29" t="s">
        <v>594</v>
      </c>
      <c r="C455" s="3"/>
      <c r="D455" s="3"/>
      <c r="E455" s="3"/>
      <c r="F455" s="3"/>
      <c r="G455" s="3"/>
      <c r="H455" s="3"/>
      <c r="I455" s="3"/>
      <c r="J455" s="3"/>
      <c r="K455" s="3"/>
      <c r="L455" s="3"/>
      <c r="M455" s="3"/>
      <c r="N455" s="3"/>
      <c r="O455" s="3"/>
      <c r="P455" s="3"/>
      <c r="Q455" s="3"/>
      <c r="R455" s="3"/>
      <c r="S455" s="3"/>
      <c r="T455" s="3"/>
      <c r="U455" s="3"/>
      <c r="V455" s="3"/>
      <c r="W455" s="3"/>
      <c r="X455" s="3"/>
      <c r="Y455" s="3"/>
      <c r="Z455" s="3"/>
    </row>
    <row r="456" hidden="1">
      <c r="A456" s="27" t="s">
        <v>2698</v>
      </c>
      <c r="B456" s="29" t="s">
        <v>595</v>
      </c>
      <c r="C456" s="3"/>
      <c r="D456" s="3"/>
      <c r="E456" s="3"/>
      <c r="F456" s="3"/>
      <c r="G456" s="3"/>
      <c r="H456" s="3"/>
      <c r="I456" s="3"/>
      <c r="J456" s="3"/>
      <c r="K456" s="3"/>
      <c r="L456" s="3"/>
      <c r="M456" s="3"/>
      <c r="N456" s="3"/>
      <c r="O456" s="3"/>
      <c r="P456" s="3"/>
      <c r="Q456" s="3"/>
      <c r="R456" s="3"/>
      <c r="S456" s="3"/>
      <c r="T456" s="3"/>
      <c r="U456" s="3"/>
      <c r="V456" s="3"/>
      <c r="W456" s="3"/>
      <c r="X456" s="3"/>
      <c r="Y456" s="3"/>
      <c r="Z456" s="3"/>
    </row>
    <row r="457" hidden="1">
      <c r="A457" s="27" t="s">
        <v>2699</v>
      </c>
      <c r="B457" s="29" t="s">
        <v>596</v>
      </c>
      <c r="C457" s="3"/>
      <c r="D457" s="3"/>
      <c r="E457" s="3"/>
      <c r="F457" s="3"/>
      <c r="G457" s="3"/>
      <c r="H457" s="3"/>
      <c r="I457" s="3"/>
      <c r="J457" s="3"/>
      <c r="K457" s="3"/>
      <c r="L457" s="3"/>
      <c r="M457" s="3"/>
      <c r="N457" s="3"/>
      <c r="O457" s="3"/>
      <c r="P457" s="3"/>
      <c r="Q457" s="3"/>
      <c r="R457" s="3"/>
      <c r="S457" s="3"/>
      <c r="T457" s="3"/>
      <c r="U457" s="3"/>
      <c r="V457" s="3"/>
      <c r="W457" s="3"/>
      <c r="X457" s="3"/>
      <c r="Y457" s="3"/>
      <c r="Z457" s="3"/>
    </row>
    <row r="458" hidden="1">
      <c r="A458" s="27" t="s">
        <v>2700</v>
      </c>
      <c r="B458" s="29" t="s">
        <v>597</v>
      </c>
      <c r="C458" s="3"/>
      <c r="D458" s="3"/>
      <c r="E458" s="3"/>
      <c r="F458" s="3"/>
      <c r="G458" s="3"/>
      <c r="H458" s="3"/>
      <c r="I458" s="3"/>
      <c r="J458" s="3"/>
      <c r="K458" s="3"/>
      <c r="L458" s="3"/>
      <c r="M458" s="3"/>
      <c r="N458" s="3"/>
      <c r="O458" s="3"/>
      <c r="P458" s="3"/>
      <c r="Q458" s="3"/>
      <c r="R458" s="3"/>
      <c r="S458" s="3"/>
      <c r="T458" s="3"/>
      <c r="U458" s="3"/>
      <c r="V458" s="3"/>
      <c r="W458" s="3"/>
      <c r="X458" s="3"/>
      <c r="Y458" s="3"/>
      <c r="Z458" s="3"/>
    </row>
    <row r="459" hidden="1">
      <c r="A459" s="27" t="s">
        <v>2701</v>
      </c>
      <c r="B459" s="29" t="s">
        <v>599</v>
      </c>
      <c r="C459" s="3"/>
      <c r="D459" s="3"/>
      <c r="E459" s="3"/>
      <c r="F459" s="3"/>
      <c r="G459" s="3"/>
      <c r="H459" s="3"/>
      <c r="I459" s="3"/>
      <c r="J459" s="3"/>
      <c r="K459" s="3"/>
      <c r="L459" s="3"/>
      <c r="M459" s="3"/>
      <c r="N459" s="3"/>
      <c r="O459" s="3"/>
      <c r="P459" s="3"/>
      <c r="Q459" s="3"/>
      <c r="R459" s="3"/>
      <c r="S459" s="3"/>
      <c r="T459" s="3"/>
      <c r="U459" s="3"/>
      <c r="V459" s="3"/>
      <c r="W459" s="3"/>
      <c r="X459" s="3"/>
      <c r="Y459" s="3"/>
      <c r="Z459" s="3"/>
    </row>
    <row r="460" hidden="1">
      <c r="A460" s="27" t="s">
        <v>2702</v>
      </c>
      <c r="B460" s="29" t="s">
        <v>600</v>
      </c>
      <c r="C460" s="3"/>
      <c r="D460" s="3"/>
      <c r="E460" s="3"/>
      <c r="F460" s="3"/>
      <c r="G460" s="3"/>
      <c r="H460" s="3"/>
      <c r="I460" s="3"/>
      <c r="J460" s="3"/>
      <c r="K460" s="3"/>
      <c r="L460" s="3"/>
      <c r="M460" s="3"/>
      <c r="N460" s="3"/>
      <c r="O460" s="3"/>
      <c r="P460" s="3"/>
      <c r="Q460" s="3"/>
      <c r="R460" s="3"/>
      <c r="S460" s="3"/>
      <c r="T460" s="3"/>
      <c r="U460" s="3"/>
      <c r="V460" s="3"/>
      <c r="W460" s="3"/>
      <c r="X460" s="3"/>
      <c r="Y460" s="3"/>
      <c r="Z460" s="3"/>
    </row>
    <row r="461" hidden="1">
      <c r="A461" s="27" t="s">
        <v>2703</v>
      </c>
      <c r="B461" s="29" t="s">
        <v>601</v>
      </c>
      <c r="C461" s="3"/>
      <c r="D461" s="3"/>
      <c r="E461" s="3"/>
      <c r="F461" s="3"/>
      <c r="G461" s="3"/>
      <c r="H461" s="3"/>
      <c r="I461" s="3"/>
      <c r="J461" s="3"/>
      <c r="K461" s="3"/>
      <c r="L461" s="3"/>
      <c r="M461" s="3"/>
      <c r="N461" s="3"/>
      <c r="O461" s="3"/>
      <c r="P461" s="3"/>
      <c r="Q461" s="3"/>
      <c r="R461" s="3"/>
      <c r="S461" s="3"/>
      <c r="T461" s="3"/>
      <c r="U461" s="3"/>
      <c r="V461" s="3"/>
      <c r="W461" s="3"/>
      <c r="X461" s="3"/>
      <c r="Y461" s="3"/>
      <c r="Z461" s="3"/>
    </row>
    <row r="462" hidden="1">
      <c r="A462" s="27" t="s">
        <v>2704</v>
      </c>
      <c r="B462" s="29" t="s">
        <v>602</v>
      </c>
      <c r="C462" s="3"/>
      <c r="D462" s="3"/>
      <c r="E462" s="3"/>
      <c r="F462" s="3"/>
      <c r="G462" s="3"/>
      <c r="H462" s="3"/>
      <c r="I462" s="3"/>
      <c r="J462" s="3"/>
      <c r="K462" s="3"/>
      <c r="L462" s="3"/>
      <c r="M462" s="3"/>
      <c r="N462" s="3"/>
      <c r="O462" s="3"/>
      <c r="P462" s="3"/>
      <c r="Q462" s="3"/>
      <c r="R462" s="3"/>
      <c r="S462" s="3"/>
      <c r="T462" s="3"/>
      <c r="U462" s="3"/>
      <c r="V462" s="3"/>
      <c r="W462" s="3"/>
      <c r="X462" s="3"/>
      <c r="Y462" s="3"/>
      <c r="Z462" s="3"/>
    </row>
    <row r="463" hidden="1">
      <c r="A463" s="27" t="s">
        <v>2705</v>
      </c>
      <c r="B463" s="29" t="s">
        <v>603</v>
      </c>
      <c r="C463" s="3"/>
      <c r="D463" s="3"/>
      <c r="E463" s="3"/>
      <c r="F463" s="3"/>
      <c r="G463" s="3"/>
      <c r="H463" s="3"/>
      <c r="I463" s="3"/>
      <c r="J463" s="3"/>
      <c r="K463" s="3"/>
      <c r="L463" s="3"/>
      <c r="M463" s="3"/>
      <c r="N463" s="3"/>
      <c r="O463" s="3"/>
      <c r="P463" s="3"/>
      <c r="Q463" s="3"/>
      <c r="R463" s="3"/>
      <c r="S463" s="3"/>
      <c r="T463" s="3"/>
      <c r="U463" s="3"/>
      <c r="V463" s="3"/>
      <c r="W463" s="3"/>
      <c r="X463" s="3"/>
      <c r="Y463" s="3"/>
      <c r="Z463" s="3"/>
    </row>
    <row r="464" hidden="1">
      <c r="A464" s="27" t="s">
        <v>2706</v>
      </c>
      <c r="B464" s="29" t="s">
        <v>604</v>
      </c>
      <c r="C464" s="3"/>
      <c r="D464" s="3"/>
      <c r="E464" s="3"/>
      <c r="F464" s="3"/>
      <c r="G464" s="3"/>
      <c r="H464" s="3"/>
      <c r="I464" s="3"/>
      <c r="J464" s="3"/>
      <c r="K464" s="3"/>
      <c r="L464" s="3"/>
      <c r="M464" s="3"/>
      <c r="N464" s="3"/>
      <c r="O464" s="3"/>
      <c r="P464" s="3"/>
      <c r="Q464" s="3"/>
      <c r="R464" s="3"/>
      <c r="S464" s="3"/>
      <c r="T464" s="3"/>
      <c r="U464" s="3"/>
      <c r="V464" s="3"/>
      <c r="W464" s="3"/>
      <c r="X464" s="3"/>
      <c r="Y464" s="3"/>
      <c r="Z464" s="3"/>
    </row>
    <row r="465" hidden="1">
      <c r="A465" s="27" t="s">
        <v>2707</v>
      </c>
      <c r="B465" s="29" t="s">
        <v>606</v>
      </c>
      <c r="C465" s="3"/>
      <c r="D465" s="3"/>
      <c r="E465" s="3"/>
      <c r="F465" s="3"/>
      <c r="G465" s="3"/>
      <c r="H465" s="3"/>
      <c r="I465" s="3"/>
      <c r="J465" s="3"/>
      <c r="K465" s="3"/>
      <c r="L465" s="3"/>
      <c r="M465" s="3"/>
      <c r="N465" s="3"/>
      <c r="O465" s="3"/>
      <c r="P465" s="3"/>
      <c r="Q465" s="3"/>
      <c r="R465" s="3"/>
      <c r="S465" s="3"/>
      <c r="T465" s="3"/>
      <c r="U465" s="3"/>
      <c r="V465" s="3"/>
      <c r="W465" s="3"/>
      <c r="X465" s="3"/>
      <c r="Y465" s="3"/>
      <c r="Z465" s="3"/>
    </row>
    <row r="466" hidden="1">
      <c r="A466" s="27" t="s">
        <v>2708</v>
      </c>
      <c r="B466" s="29" t="s">
        <v>607</v>
      </c>
      <c r="C466" s="3"/>
      <c r="D466" s="3"/>
      <c r="E466" s="3"/>
      <c r="F466" s="3"/>
      <c r="G466" s="3"/>
      <c r="H466" s="3"/>
      <c r="I466" s="3"/>
      <c r="J466" s="3"/>
      <c r="K466" s="3"/>
      <c r="L466" s="3"/>
      <c r="M466" s="3"/>
      <c r="N466" s="3"/>
      <c r="O466" s="3"/>
      <c r="P466" s="3"/>
      <c r="Q466" s="3"/>
      <c r="R466" s="3"/>
      <c r="S466" s="3"/>
      <c r="T466" s="3"/>
      <c r="U466" s="3"/>
      <c r="V466" s="3"/>
      <c r="W466" s="3"/>
      <c r="X466" s="3"/>
      <c r="Y466" s="3"/>
      <c r="Z466" s="3"/>
    </row>
    <row r="467" hidden="1">
      <c r="A467" s="27" t="s">
        <v>2709</v>
      </c>
      <c r="B467" s="29" t="s">
        <v>608</v>
      </c>
      <c r="C467" s="3"/>
      <c r="D467" s="3"/>
      <c r="E467" s="3"/>
      <c r="F467" s="3"/>
      <c r="G467" s="3"/>
      <c r="H467" s="3"/>
      <c r="I467" s="3"/>
      <c r="J467" s="3"/>
      <c r="K467" s="3"/>
      <c r="L467" s="3"/>
      <c r="M467" s="3"/>
      <c r="N467" s="3"/>
      <c r="O467" s="3"/>
      <c r="P467" s="3"/>
      <c r="Q467" s="3"/>
      <c r="R467" s="3"/>
      <c r="S467" s="3"/>
      <c r="T467" s="3"/>
      <c r="U467" s="3"/>
      <c r="V467" s="3"/>
      <c r="W467" s="3"/>
      <c r="X467" s="3"/>
      <c r="Y467" s="3"/>
      <c r="Z467" s="3"/>
    </row>
    <row r="468" hidden="1">
      <c r="A468" s="27" t="s">
        <v>2710</v>
      </c>
      <c r="B468" s="29" t="s">
        <v>609</v>
      </c>
      <c r="C468" s="3"/>
      <c r="D468" s="3"/>
      <c r="E468" s="3"/>
      <c r="F468" s="3"/>
      <c r="G468" s="3"/>
      <c r="H468" s="3"/>
      <c r="I468" s="3"/>
      <c r="J468" s="3"/>
      <c r="K468" s="3"/>
      <c r="L468" s="3"/>
      <c r="M468" s="3"/>
      <c r="N468" s="3"/>
      <c r="O468" s="3"/>
      <c r="P468" s="3"/>
      <c r="Q468" s="3"/>
      <c r="R468" s="3"/>
      <c r="S468" s="3"/>
      <c r="T468" s="3"/>
      <c r="U468" s="3"/>
      <c r="V468" s="3"/>
      <c r="W468" s="3"/>
      <c r="X468" s="3"/>
      <c r="Y468" s="3"/>
      <c r="Z468" s="3"/>
    </row>
    <row r="469" hidden="1">
      <c r="A469" s="27" t="s">
        <v>2711</v>
      </c>
      <c r="B469" s="29" t="s">
        <v>610</v>
      </c>
      <c r="C469" s="3"/>
      <c r="D469" s="3"/>
      <c r="E469" s="3"/>
      <c r="F469" s="3"/>
      <c r="G469" s="3"/>
      <c r="H469" s="3"/>
      <c r="I469" s="3"/>
      <c r="J469" s="3"/>
      <c r="K469" s="3"/>
      <c r="L469" s="3"/>
      <c r="M469" s="3"/>
      <c r="N469" s="3"/>
      <c r="O469" s="3"/>
      <c r="P469" s="3"/>
      <c r="Q469" s="3"/>
      <c r="R469" s="3"/>
      <c r="S469" s="3"/>
      <c r="T469" s="3"/>
      <c r="U469" s="3"/>
      <c r="V469" s="3"/>
      <c r="W469" s="3"/>
      <c r="X469" s="3"/>
      <c r="Y469" s="3"/>
      <c r="Z469" s="3"/>
    </row>
    <row r="470" hidden="1">
      <c r="A470" s="27" t="s">
        <v>2712</v>
      </c>
      <c r="B470" s="29" t="s">
        <v>611</v>
      </c>
      <c r="C470" s="3"/>
      <c r="D470" s="3"/>
      <c r="E470" s="3"/>
      <c r="F470" s="3"/>
      <c r="G470" s="3"/>
      <c r="H470" s="3"/>
      <c r="I470" s="3"/>
      <c r="J470" s="3"/>
      <c r="K470" s="3"/>
      <c r="L470" s="3"/>
      <c r="M470" s="3"/>
      <c r="N470" s="3"/>
      <c r="O470" s="3"/>
      <c r="P470" s="3"/>
      <c r="Q470" s="3"/>
      <c r="R470" s="3"/>
      <c r="S470" s="3"/>
      <c r="T470" s="3"/>
      <c r="U470" s="3"/>
      <c r="V470" s="3"/>
      <c r="W470" s="3"/>
      <c r="X470" s="3"/>
      <c r="Y470" s="3"/>
      <c r="Z470" s="3"/>
    </row>
    <row r="471" hidden="1">
      <c r="A471" s="27" t="s">
        <v>2713</v>
      </c>
      <c r="B471" s="29" t="s">
        <v>613</v>
      </c>
      <c r="C471" s="3"/>
      <c r="D471" s="3"/>
      <c r="E471" s="3"/>
      <c r="F471" s="3"/>
      <c r="G471" s="3"/>
      <c r="H471" s="3"/>
      <c r="I471" s="3"/>
      <c r="J471" s="3"/>
      <c r="K471" s="3"/>
      <c r="L471" s="3"/>
      <c r="M471" s="3"/>
      <c r="N471" s="3"/>
      <c r="O471" s="3"/>
      <c r="P471" s="3"/>
      <c r="Q471" s="3"/>
      <c r="R471" s="3"/>
      <c r="S471" s="3"/>
      <c r="T471" s="3"/>
      <c r="U471" s="3"/>
      <c r="V471" s="3"/>
      <c r="W471" s="3"/>
      <c r="X471" s="3"/>
      <c r="Y471" s="3"/>
      <c r="Z471" s="3"/>
    </row>
    <row r="472" hidden="1">
      <c r="A472" s="27" t="s">
        <v>2714</v>
      </c>
      <c r="B472" s="29" t="s">
        <v>614</v>
      </c>
      <c r="C472" s="3"/>
      <c r="D472" s="3"/>
      <c r="E472" s="3"/>
      <c r="F472" s="3"/>
      <c r="G472" s="3"/>
      <c r="H472" s="3"/>
      <c r="I472" s="3"/>
      <c r="J472" s="3"/>
      <c r="K472" s="3"/>
      <c r="L472" s="3"/>
      <c r="M472" s="3"/>
      <c r="N472" s="3"/>
      <c r="O472" s="3"/>
      <c r="P472" s="3"/>
      <c r="Q472" s="3"/>
      <c r="R472" s="3"/>
      <c r="S472" s="3"/>
      <c r="T472" s="3"/>
      <c r="U472" s="3"/>
      <c r="V472" s="3"/>
      <c r="W472" s="3"/>
      <c r="X472" s="3"/>
      <c r="Y472" s="3"/>
      <c r="Z472" s="3"/>
    </row>
    <row r="473" hidden="1">
      <c r="A473" s="27" t="s">
        <v>2715</v>
      </c>
      <c r="B473" s="29" t="s">
        <v>615</v>
      </c>
      <c r="C473" s="3"/>
      <c r="D473" s="3"/>
      <c r="E473" s="3"/>
      <c r="F473" s="3"/>
      <c r="G473" s="3"/>
      <c r="H473" s="3"/>
      <c r="I473" s="3"/>
      <c r="J473" s="3"/>
      <c r="K473" s="3"/>
      <c r="L473" s="3"/>
      <c r="M473" s="3"/>
      <c r="N473" s="3"/>
      <c r="O473" s="3"/>
      <c r="P473" s="3"/>
      <c r="Q473" s="3"/>
      <c r="R473" s="3"/>
      <c r="S473" s="3"/>
      <c r="T473" s="3"/>
      <c r="U473" s="3"/>
      <c r="V473" s="3"/>
      <c r="W473" s="3"/>
      <c r="X473" s="3"/>
      <c r="Y473" s="3"/>
      <c r="Z473" s="3"/>
    </row>
    <row r="474" hidden="1">
      <c r="A474" s="27" t="s">
        <v>2716</v>
      </c>
      <c r="B474" s="29" t="s">
        <v>616</v>
      </c>
      <c r="C474" s="3"/>
      <c r="D474" s="3"/>
      <c r="E474" s="3"/>
      <c r="F474" s="3"/>
      <c r="G474" s="3"/>
      <c r="H474" s="3"/>
      <c r="I474" s="3"/>
      <c r="J474" s="3"/>
      <c r="K474" s="3"/>
      <c r="L474" s="3"/>
      <c r="M474" s="3"/>
      <c r="N474" s="3"/>
      <c r="O474" s="3"/>
      <c r="P474" s="3"/>
      <c r="Q474" s="3"/>
      <c r="R474" s="3"/>
      <c r="S474" s="3"/>
      <c r="T474" s="3"/>
      <c r="U474" s="3"/>
      <c r="V474" s="3"/>
      <c r="W474" s="3"/>
      <c r="X474" s="3"/>
      <c r="Y474" s="3"/>
      <c r="Z474" s="3"/>
    </row>
    <row r="475" hidden="1">
      <c r="A475" s="27" t="s">
        <v>2717</v>
      </c>
      <c r="B475" s="29" t="s">
        <v>617</v>
      </c>
      <c r="C475" s="3"/>
      <c r="D475" s="3"/>
      <c r="E475" s="3"/>
      <c r="F475" s="3"/>
      <c r="G475" s="3"/>
      <c r="H475" s="3"/>
      <c r="I475" s="3"/>
      <c r="J475" s="3"/>
      <c r="K475" s="3"/>
      <c r="L475" s="3"/>
      <c r="M475" s="3"/>
      <c r="N475" s="3"/>
      <c r="O475" s="3"/>
      <c r="P475" s="3"/>
      <c r="Q475" s="3"/>
      <c r="R475" s="3"/>
      <c r="S475" s="3"/>
      <c r="T475" s="3"/>
      <c r="U475" s="3"/>
      <c r="V475" s="3"/>
      <c r="W475" s="3"/>
      <c r="X475" s="3"/>
      <c r="Y475" s="3"/>
      <c r="Z475" s="3"/>
    </row>
    <row r="476" hidden="1">
      <c r="A476" s="27" t="s">
        <v>2718</v>
      </c>
      <c r="B476" s="29" t="s">
        <v>618</v>
      </c>
      <c r="C476" s="3"/>
      <c r="D476" s="3"/>
      <c r="E476" s="3"/>
      <c r="F476" s="3"/>
      <c r="G476" s="3"/>
      <c r="H476" s="3"/>
      <c r="I476" s="3"/>
      <c r="J476" s="3"/>
      <c r="K476" s="3"/>
      <c r="L476" s="3"/>
      <c r="M476" s="3"/>
      <c r="N476" s="3"/>
      <c r="O476" s="3"/>
      <c r="P476" s="3"/>
      <c r="Q476" s="3"/>
      <c r="R476" s="3"/>
      <c r="S476" s="3"/>
      <c r="T476" s="3"/>
      <c r="U476" s="3"/>
      <c r="V476" s="3"/>
      <c r="W476" s="3"/>
      <c r="X476" s="3"/>
      <c r="Y476" s="3"/>
      <c r="Z476" s="3"/>
    </row>
    <row r="477" hidden="1">
      <c r="A477" s="27" t="s">
        <v>2719</v>
      </c>
      <c r="B477" s="29" t="s">
        <v>620</v>
      </c>
      <c r="C477" s="3"/>
      <c r="D477" s="3"/>
      <c r="E477" s="3"/>
      <c r="F477" s="3"/>
      <c r="G477" s="3"/>
      <c r="H477" s="3"/>
      <c r="I477" s="3"/>
      <c r="J477" s="3"/>
      <c r="K477" s="3"/>
      <c r="L477" s="3"/>
      <c r="M477" s="3"/>
      <c r="N477" s="3"/>
      <c r="O477" s="3"/>
      <c r="P477" s="3"/>
      <c r="Q477" s="3"/>
      <c r="R477" s="3"/>
      <c r="S477" s="3"/>
      <c r="T477" s="3"/>
      <c r="U477" s="3"/>
      <c r="V477" s="3"/>
      <c r="W477" s="3"/>
      <c r="X477" s="3"/>
      <c r="Y477" s="3"/>
      <c r="Z477" s="3"/>
    </row>
    <row r="478" hidden="1">
      <c r="A478" s="27" t="s">
        <v>2720</v>
      </c>
      <c r="B478" s="29" t="s">
        <v>621</v>
      </c>
      <c r="C478" s="3"/>
      <c r="D478" s="3"/>
      <c r="E478" s="3"/>
      <c r="F478" s="3"/>
      <c r="G478" s="3"/>
      <c r="H478" s="3"/>
      <c r="I478" s="3"/>
      <c r="J478" s="3"/>
      <c r="K478" s="3"/>
      <c r="L478" s="3"/>
      <c r="M478" s="3"/>
      <c r="N478" s="3"/>
      <c r="O478" s="3"/>
      <c r="P478" s="3"/>
      <c r="Q478" s="3"/>
      <c r="R478" s="3"/>
      <c r="S478" s="3"/>
      <c r="T478" s="3"/>
      <c r="U478" s="3"/>
      <c r="V478" s="3"/>
      <c r="W478" s="3"/>
      <c r="X478" s="3"/>
      <c r="Y478" s="3"/>
      <c r="Z478" s="3"/>
    </row>
    <row r="479" hidden="1">
      <c r="A479" s="27" t="s">
        <v>2721</v>
      </c>
      <c r="B479" s="29" t="s">
        <v>622</v>
      </c>
      <c r="C479" s="3"/>
      <c r="D479" s="3"/>
      <c r="E479" s="3"/>
      <c r="F479" s="3"/>
      <c r="G479" s="3"/>
      <c r="H479" s="3"/>
      <c r="I479" s="3"/>
      <c r="J479" s="3"/>
      <c r="K479" s="3"/>
      <c r="L479" s="3"/>
      <c r="M479" s="3"/>
      <c r="N479" s="3"/>
      <c r="O479" s="3"/>
      <c r="P479" s="3"/>
      <c r="Q479" s="3"/>
      <c r="R479" s="3"/>
      <c r="S479" s="3"/>
      <c r="T479" s="3"/>
      <c r="U479" s="3"/>
      <c r="V479" s="3"/>
      <c r="W479" s="3"/>
      <c r="X479" s="3"/>
      <c r="Y479" s="3"/>
      <c r="Z479" s="3"/>
    </row>
    <row r="480" hidden="1">
      <c r="A480" s="27" t="s">
        <v>2722</v>
      </c>
      <c r="B480" s="29" t="s">
        <v>623</v>
      </c>
      <c r="C480" s="3"/>
      <c r="D480" s="3"/>
      <c r="E480" s="3"/>
      <c r="F480" s="3"/>
      <c r="G480" s="3"/>
      <c r="H480" s="3"/>
      <c r="I480" s="3"/>
      <c r="J480" s="3"/>
      <c r="K480" s="3"/>
      <c r="L480" s="3"/>
      <c r="M480" s="3"/>
      <c r="N480" s="3"/>
      <c r="O480" s="3"/>
      <c r="P480" s="3"/>
      <c r="Q480" s="3"/>
      <c r="R480" s="3"/>
      <c r="S480" s="3"/>
      <c r="T480" s="3"/>
      <c r="U480" s="3"/>
      <c r="V480" s="3"/>
      <c r="W480" s="3"/>
      <c r="X480" s="3"/>
      <c r="Y480" s="3"/>
      <c r="Z480" s="3"/>
    </row>
    <row r="481" hidden="1">
      <c r="A481" s="27" t="s">
        <v>2723</v>
      </c>
      <c r="B481" s="29" t="s">
        <v>624</v>
      </c>
      <c r="C481" s="3"/>
      <c r="D481" s="3"/>
      <c r="E481" s="3"/>
      <c r="F481" s="3"/>
      <c r="G481" s="3"/>
      <c r="H481" s="3"/>
      <c r="I481" s="3"/>
      <c r="J481" s="3"/>
      <c r="K481" s="3"/>
      <c r="L481" s="3"/>
      <c r="M481" s="3"/>
      <c r="N481" s="3"/>
      <c r="O481" s="3"/>
      <c r="P481" s="3"/>
      <c r="Q481" s="3"/>
      <c r="R481" s="3"/>
      <c r="S481" s="3"/>
      <c r="T481" s="3"/>
      <c r="U481" s="3"/>
      <c r="V481" s="3"/>
      <c r="W481" s="3"/>
      <c r="X481" s="3"/>
      <c r="Y481" s="3"/>
      <c r="Z481" s="3"/>
    </row>
    <row r="482" hidden="1">
      <c r="A482" s="27" t="s">
        <v>2724</v>
      </c>
      <c r="B482" s="29" t="s">
        <v>626</v>
      </c>
      <c r="C482" s="3"/>
      <c r="D482" s="3"/>
      <c r="E482" s="3"/>
      <c r="F482" s="3"/>
      <c r="G482" s="3"/>
      <c r="H482" s="3"/>
      <c r="I482" s="3"/>
      <c r="J482" s="3"/>
      <c r="K482" s="3"/>
      <c r="L482" s="3"/>
      <c r="M482" s="3"/>
      <c r="N482" s="3"/>
      <c r="O482" s="3"/>
      <c r="P482" s="3"/>
      <c r="Q482" s="3"/>
      <c r="R482" s="3"/>
      <c r="S482" s="3"/>
      <c r="T482" s="3"/>
      <c r="U482" s="3"/>
      <c r="V482" s="3"/>
      <c r="W482" s="3"/>
      <c r="X482" s="3"/>
      <c r="Y482" s="3"/>
      <c r="Z482" s="3"/>
    </row>
    <row r="483" hidden="1">
      <c r="A483" s="27" t="s">
        <v>2725</v>
      </c>
      <c r="B483" s="29" t="s">
        <v>627</v>
      </c>
      <c r="C483" s="3"/>
      <c r="D483" s="3"/>
      <c r="E483" s="3"/>
      <c r="F483" s="3"/>
      <c r="G483" s="3"/>
      <c r="H483" s="3"/>
      <c r="I483" s="3"/>
      <c r="J483" s="3"/>
      <c r="K483" s="3"/>
      <c r="L483" s="3"/>
      <c r="M483" s="3"/>
      <c r="N483" s="3"/>
      <c r="O483" s="3"/>
      <c r="P483" s="3"/>
      <c r="Q483" s="3"/>
      <c r="R483" s="3"/>
      <c r="S483" s="3"/>
      <c r="T483" s="3"/>
      <c r="U483" s="3"/>
      <c r="V483" s="3"/>
      <c r="W483" s="3"/>
      <c r="X483" s="3"/>
      <c r="Y483" s="3"/>
      <c r="Z483" s="3"/>
    </row>
    <row r="484" hidden="1">
      <c r="A484" s="27" t="s">
        <v>2726</v>
      </c>
      <c r="B484" s="29" t="s">
        <v>628</v>
      </c>
      <c r="C484" s="3"/>
      <c r="D484" s="3"/>
      <c r="E484" s="3"/>
      <c r="F484" s="3"/>
      <c r="G484" s="3"/>
      <c r="H484" s="3"/>
      <c r="I484" s="3"/>
      <c r="J484" s="3"/>
      <c r="K484" s="3"/>
      <c r="L484" s="3"/>
      <c r="M484" s="3"/>
      <c r="N484" s="3"/>
      <c r="O484" s="3"/>
      <c r="P484" s="3"/>
      <c r="Q484" s="3"/>
      <c r="R484" s="3"/>
      <c r="S484" s="3"/>
      <c r="T484" s="3"/>
      <c r="U484" s="3"/>
      <c r="V484" s="3"/>
      <c r="W484" s="3"/>
      <c r="X484" s="3"/>
      <c r="Y484" s="3"/>
      <c r="Z484" s="3"/>
    </row>
    <row r="485" hidden="1">
      <c r="A485" s="27" t="s">
        <v>2727</v>
      </c>
      <c r="B485" s="29" t="s">
        <v>629</v>
      </c>
      <c r="C485" s="3"/>
      <c r="D485" s="3"/>
      <c r="E485" s="3"/>
      <c r="F485" s="3"/>
      <c r="G485" s="3"/>
      <c r="H485" s="3"/>
      <c r="I485" s="3"/>
      <c r="J485" s="3"/>
      <c r="K485" s="3"/>
      <c r="L485" s="3"/>
      <c r="M485" s="3"/>
      <c r="N485" s="3"/>
      <c r="O485" s="3"/>
      <c r="P485" s="3"/>
      <c r="Q485" s="3"/>
      <c r="R485" s="3"/>
      <c r="S485" s="3"/>
      <c r="T485" s="3"/>
      <c r="U485" s="3"/>
      <c r="V485" s="3"/>
      <c r="W485" s="3"/>
      <c r="X485" s="3"/>
      <c r="Y485" s="3"/>
      <c r="Z485" s="3"/>
    </row>
    <row r="486" hidden="1">
      <c r="A486" s="27" t="s">
        <v>2728</v>
      </c>
      <c r="B486" s="29" t="s">
        <v>630</v>
      </c>
      <c r="C486" s="3"/>
      <c r="D486" s="3"/>
      <c r="E486" s="3"/>
      <c r="F486" s="3"/>
      <c r="G486" s="3"/>
      <c r="H486" s="3"/>
      <c r="I486" s="3"/>
      <c r="J486" s="3"/>
      <c r="K486" s="3"/>
      <c r="L486" s="3"/>
      <c r="M486" s="3"/>
      <c r="N486" s="3"/>
      <c r="O486" s="3"/>
      <c r="P486" s="3"/>
      <c r="Q486" s="3"/>
      <c r="R486" s="3"/>
      <c r="S486" s="3"/>
      <c r="T486" s="3"/>
      <c r="U486" s="3"/>
      <c r="V486" s="3"/>
      <c r="W486" s="3"/>
      <c r="X486" s="3"/>
      <c r="Y486" s="3"/>
      <c r="Z486" s="3"/>
    </row>
    <row r="487" hidden="1">
      <c r="A487" s="27" t="s">
        <v>2729</v>
      </c>
      <c r="B487" s="29" t="s">
        <v>631</v>
      </c>
      <c r="C487" s="3"/>
      <c r="D487" s="3"/>
      <c r="E487" s="3"/>
      <c r="F487" s="3"/>
      <c r="G487" s="3"/>
      <c r="H487" s="3"/>
      <c r="I487" s="3"/>
      <c r="J487" s="3"/>
      <c r="K487" s="3"/>
      <c r="L487" s="3"/>
      <c r="M487" s="3"/>
      <c r="N487" s="3"/>
      <c r="O487" s="3"/>
      <c r="P487" s="3"/>
      <c r="Q487" s="3"/>
      <c r="R487" s="3"/>
      <c r="S487" s="3"/>
      <c r="T487" s="3"/>
      <c r="U487" s="3"/>
      <c r="V487" s="3"/>
      <c r="W487" s="3"/>
      <c r="X487" s="3"/>
      <c r="Y487" s="3"/>
      <c r="Z487" s="3"/>
    </row>
    <row r="488" hidden="1">
      <c r="A488" s="27" t="s">
        <v>2730</v>
      </c>
      <c r="B488" s="29" t="s">
        <v>632</v>
      </c>
      <c r="C488" s="3"/>
      <c r="D488" s="3"/>
      <c r="E488" s="3"/>
      <c r="F488" s="3"/>
      <c r="G488" s="3"/>
      <c r="H488" s="3"/>
      <c r="I488" s="3"/>
      <c r="J488" s="3"/>
      <c r="K488" s="3"/>
      <c r="L488" s="3"/>
      <c r="M488" s="3"/>
      <c r="N488" s="3"/>
      <c r="O488" s="3"/>
      <c r="P488" s="3"/>
      <c r="Q488" s="3"/>
      <c r="R488" s="3"/>
      <c r="S488" s="3"/>
      <c r="T488" s="3"/>
      <c r="U488" s="3"/>
      <c r="V488" s="3"/>
      <c r="W488" s="3"/>
      <c r="X488" s="3"/>
      <c r="Y488" s="3"/>
      <c r="Z488" s="3"/>
    </row>
    <row r="489" hidden="1">
      <c r="A489" s="27" t="s">
        <v>2731</v>
      </c>
      <c r="B489" s="29" t="s">
        <v>634</v>
      </c>
      <c r="C489" s="3"/>
      <c r="D489" s="3"/>
      <c r="E489" s="3"/>
      <c r="F489" s="3"/>
      <c r="G489" s="3"/>
      <c r="H489" s="3"/>
      <c r="I489" s="3"/>
      <c r="J489" s="3"/>
      <c r="K489" s="3"/>
      <c r="L489" s="3"/>
      <c r="M489" s="3"/>
      <c r="N489" s="3"/>
      <c r="O489" s="3"/>
      <c r="P489" s="3"/>
      <c r="Q489" s="3"/>
      <c r="R489" s="3"/>
      <c r="S489" s="3"/>
      <c r="T489" s="3"/>
      <c r="U489" s="3"/>
      <c r="V489" s="3"/>
      <c r="W489" s="3"/>
      <c r="X489" s="3"/>
      <c r="Y489" s="3"/>
      <c r="Z489" s="3"/>
    </row>
    <row r="490" hidden="1">
      <c r="A490" s="27" t="s">
        <v>2732</v>
      </c>
      <c r="B490" s="29" t="s">
        <v>635</v>
      </c>
      <c r="C490" s="3"/>
      <c r="D490" s="3"/>
      <c r="E490" s="3"/>
      <c r="F490" s="3"/>
      <c r="G490" s="3"/>
      <c r="H490" s="3"/>
      <c r="I490" s="3"/>
      <c r="J490" s="3"/>
      <c r="K490" s="3"/>
      <c r="L490" s="3"/>
      <c r="M490" s="3"/>
      <c r="N490" s="3"/>
      <c r="O490" s="3"/>
      <c r="P490" s="3"/>
      <c r="Q490" s="3"/>
      <c r="R490" s="3"/>
      <c r="S490" s="3"/>
      <c r="T490" s="3"/>
      <c r="U490" s="3"/>
      <c r="V490" s="3"/>
      <c r="W490" s="3"/>
      <c r="X490" s="3"/>
      <c r="Y490" s="3"/>
      <c r="Z490" s="3"/>
    </row>
    <row r="491" hidden="1">
      <c r="A491" s="27" t="s">
        <v>2733</v>
      </c>
      <c r="B491" s="29" t="s">
        <v>636</v>
      </c>
      <c r="C491" s="3"/>
      <c r="D491" s="3"/>
      <c r="E491" s="3"/>
      <c r="F491" s="3"/>
      <c r="G491" s="3"/>
      <c r="H491" s="3"/>
      <c r="I491" s="3"/>
      <c r="J491" s="3"/>
      <c r="K491" s="3"/>
      <c r="L491" s="3"/>
      <c r="M491" s="3"/>
      <c r="N491" s="3"/>
      <c r="O491" s="3"/>
      <c r="P491" s="3"/>
      <c r="Q491" s="3"/>
      <c r="R491" s="3"/>
      <c r="S491" s="3"/>
      <c r="T491" s="3"/>
      <c r="U491" s="3"/>
      <c r="V491" s="3"/>
      <c r="W491" s="3"/>
      <c r="X491" s="3"/>
      <c r="Y491" s="3"/>
      <c r="Z491" s="3"/>
    </row>
    <row r="492" hidden="1">
      <c r="A492" s="27" t="s">
        <v>2734</v>
      </c>
      <c r="B492" s="29" t="s">
        <v>637</v>
      </c>
      <c r="C492" s="3"/>
      <c r="D492" s="3"/>
      <c r="E492" s="3"/>
      <c r="F492" s="3"/>
      <c r="G492" s="3"/>
      <c r="H492" s="3"/>
      <c r="I492" s="3"/>
      <c r="J492" s="3"/>
      <c r="K492" s="3"/>
      <c r="L492" s="3"/>
      <c r="M492" s="3"/>
      <c r="N492" s="3"/>
      <c r="O492" s="3"/>
      <c r="P492" s="3"/>
      <c r="Q492" s="3"/>
      <c r="R492" s="3"/>
      <c r="S492" s="3"/>
      <c r="T492" s="3"/>
      <c r="U492" s="3"/>
      <c r="V492" s="3"/>
      <c r="W492" s="3"/>
      <c r="X492" s="3"/>
      <c r="Y492" s="3"/>
      <c r="Z492" s="3"/>
    </row>
    <row r="493" hidden="1">
      <c r="A493" s="27" t="s">
        <v>2735</v>
      </c>
      <c r="B493" s="29" t="s">
        <v>638</v>
      </c>
      <c r="C493" s="3"/>
      <c r="D493" s="3"/>
      <c r="E493" s="3"/>
      <c r="F493" s="3"/>
      <c r="G493" s="3"/>
      <c r="H493" s="3"/>
      <c r="I493" s="3"/>
      <c r="J493" s="3"/>
      <c r="K493" s="3"/>
      <c r="L493" s="3"/>
      <c r="M493" s="3"/>
      <c r="N493" s="3"/>
      <c r="O493" s="3"/>
      <c r="P493" s="3"/>
      <c r="Q493" s="3"/>
      <c r="R493" s="3"/>
      <c r="S493" s="3"/>
      <c r="T493" s="3"/>
      <c r="U493" s="3"/>
      <c r="V493" s="3"/>
      <c r="W493" s="3"/>
      <c r="X493" s="3"/>
      <c r="Y493" s="3"/>
      <c r="Z493" s="3"/>
    </row>
    <row r="494" hidden="1">
      <c r="A494" s="27" t="s">
        <v>2736</v>
      </c>
      <c r="B494" s="29" t="s">
        <v>639</v>
      </c>
      <c r="C494" s="3"/>
      <c r="D494" s="3"/>
      <c r="E494" s="3"/>
      <c r="F494" s="3"/>
      <c r="G494" s="3"/>
      <c r="H494" s="3"/>
      <c r="I494" s="3"/>
      <c r="J494" s="3"/>
      <c r="K494" s="3"/>
      <c r="L494" s="3"/>
      <c r="M494" s="3"/>
      <c r="N494" s="3"/>
      <c r="O494" s="3"/>
      <c r="P494" s="3"/>
      <c r="Q494" s="3"/>
      <c r="R494" s="3"/>
      <c r="S494" s="3"/>
      <c r="T494" s="3"/>
      <c r="U494" s="3"/>
      <c r="V494" s="3"/>
      <c r="W494" s="3"/>
      <c r="X494" s="3"/>
      <c r="Y494" s="3"/>
      <c r="Z494" s="3"/>
    </row>
    <row r="495" hidden="1">
      <c r="A495" s="27" t="s">
        <v>2737</v>
      </c>
      <c r="B495" s="29" t="s">
        <v>641</v>
      </c>
      <c r="C495" s="3"/>
      <c r="D495" s="3"/>
      <c r="E495" s="3"/>
      <c r="F495" s="3"/>
      <c r="G495" s="3"/>
      <c r="H495" s="3"/>
      <c r="I495" s="3"/>
      <c r="J495" s="3"/>
      <c r="K495" s="3"/>
      <c r="L495" s="3"/>
      <c r="M495" s="3"/>
      <c r="N495" s="3"/>
      <c r="O495" s="3"/>
      <c r="P495" s="3"/>
      <c r="Q495" s="3"/>
      <c r="R495" s="3"/>
      <c r="S495" s="3"/>
      <c r="T495" s="3"/>
      <c r="U495" s="3"/>
      <c r="V495" s="3"/>
      <c r="W495" s="3"/>
      <c r="X495" s="3"/>
      <c r="Y495" s="3"/>
      <c r="Z495" s="3"/>
    </row>
    <row r="496" hidden="1">
      <c r="A496" s="27" t="s">
        <v>2738</v>
      </c>
      <c r="B496" s="29" t="s">
        <v>642</v>
      </c>
      <c r="C496" s="3"/>
      <c r="D496" s="3"/>
      <c r="E496" s="3"/>
      <c r="F496" s="3"/>
      <c r="G496" s="3"/>
      <c r="H496" s="3"/>
      <c r="I496" s="3"/>
      <c r="J496" s="3"/>
      <c r="K496" s="3"/>
      <c r="L496" s="3"/>
      <c r="M496" s="3"/>
      <c r="N496" s="3"/>
      <c r="O496" s="3"/>
      <c r="P496" s="3"/>
      <c r="Q496" s="3"/>
      <c r="R496" s="3"/>
      <c r="S496" s="3"/>
      <c r="T496" s="3"/>
      <c r="U496" s="3"/>
      <c r="V496" s="3"/>
      <c r="W496" s="3"/>
      <c r="X496" s="3"/>
      <c r="Y496" s="3"/>
      <c r="Z496" s="3"/>
    </row>
    <row r="497" hidden="1">
      <c r="A497" s="27" t="s">
        <v>2739</v>
      </c>
      <c r="B497" s="29" t="s">
        <v>643</v>
      </c>
      <c r="C497" s="3"/>
      <c r="D497" s="3"/>
      <c r="E497" s="3"/>
      <c r="F497" s="3"/>
      <c r="G497" s="3"/>
      <c r="H497" s="3"/>
      <c r="I497" s="3"/>
      <c r="J497" s="3"/>
      <c r="K497" s="3"/>
      <c r="L497" s="3"/>
      <c r="M497" s="3"/>
      <c r="N497" s="3"/>
      <c r="O497" s="3"/>
      <c r="P497" s="3"/>
      <c r="Q497" s="3"/>
      <c r="R497" s="3"/>
      <c r="S497" s="3"/>
      <c r="T497" s="3"/>
      <c r="U497" s="3"/>
      <c r="V497" s="3"/>
      <c r="W497" s="3"/>
      <c r="X497" s="3"/>
      <c r="Y497" s="3"/>
      <c r="Z497" s="3"/>
    </row>
    <row r="498" hidden="1">
      <c r="A498" s="27" t="s">
        <v>2740</v>
      </c>
      <c r="B498" s="29" t="s">
        <v>644</v>
      </c>
      <c r="C498" s="3"/>
      <c r="D498" s="3"/>
      <c r="E498" s="3"/>
      <c r="F498" s="3"/>
      <c r="G498" s="3"/>
      <c r="H498" s="3"/>
      <c r="I498" s="3"/>
      <c r="J498" s="3"/>
      <c r="K498" s="3"/>
      <c r="L498" s="3"/>
      <c r="M498" s="3"/>
      <c r="N498" s="3"/>
      <c r="O498" s="3"/>
      <c r="P498" s="3"/>
      <c r="Q498" s="3"/>
      <c r="R498" s="3"/>
      <c r="S498" s="3"/>
      <c r="T498" s="3"/>
      <c r="U498" s="3"/>
      <c r="V498" s="3"/>
      <c r="W498" s="3"/>
      <c r="X498" s="3"/>
      <c r="Y498" s="3"/>
      <c r="Z498" s="3"/>
    </row>
    <row r="499" hidden="1">
      <c r="A499" s="27" t="s">
        <v>2741</v>
      </c>
      <c r="B499" s="29" t="s">
        <v>645</v>
      </c>
      <c r="C499" s="3"/>
      <c r="D499" s="3"/>
      <c r="E499" s="3"/>
      <c r="F499" s="3"/>
      <c r="G499" s="3"/>
      <c r="H499" s="3"/>
      <c r="I499" s="3"/>
      <c r="J499" s="3"/>
      <c r="K499" s="3"/>
      <c r="L499" s="3"/>
      <c r="M499" s="3"/>
      <c r="N499" s="3"/>
      <c r="O499" s="3"/>
      <c r="P499" s="3"/>
      <c r="Q499" s="3"/>
      <c r="R499" s="3"/>
      <c r="S499" s="3"/>
      <c r="T499" s="3"/>
      <c r="U499" s="3"/>
      <c r="V499" s="3"/>
      <c r="W499" s="3"/>
      <c r="X499" s="3"/>
      <c r="Y499" s="3"/>
      <c r="Z499" s="3"/>
    </row>
    <row r="500" hidden="1">
      <c r="A500" s="27" t="s">
        <v>2742</v>
      </c>
      <c r="B500" s="29" t="s">
        <v>646</v>
      </c>
      <c r="C500" s="3"/>
      <c r="D500" s="3"/>
      <c r="E500" s="3"/>
      <c r="F500" s="3"/>
      <c r="G500" s="3"/>
      <c r="H500" s="3"/>
      <c r="I500" s="3"/>
      <c r="J500" s="3"/>
      <c r="K500" s="3"/>
      <c r="L500" s="3"/>
      <c r="M500" s="3"/>
      <c r="N500" s="3"/>
      <c r="O500" s="3"/>
      <c r="P500" s="3"/>
      <c r="Q500" s="3"/>
      <c r="R500" s="3"/>
      <c r="S500" s="3"/>
      <c r="T500" s="3"/>
      <c r="U500" s="3"/>
      <c r="V500" s="3"/>
      <c r="W500" s="3"/>
      <c r="X500" s="3"/>
      <c r="Y500" s="3"/>
      <c r="Z500" s="3"/>
    </row>
    <row r="501" hidden="1">
      <c r="A501" s="27" t="s">
        <v>2743</v>
      </c>
      <c r="B501" s="29" t="s">
        <v>647</v>
      </c>
      <c r="C501" s="3"/>
      <c r="D501" s="3"/>
      <c r="E501" s="3"/>
      <c r="F501" s="3"/>
      <c r="G501" s="3"/>
      <c r="H501" s="3"/>
      <c r="I501" s="3"/>
      <c r="J501" s="3"/>
      <c r="K501" s="3"/>
      <c r="L501" s="3"/>
      <c r="M501" s="3"/>
      <c r="N501" s="3"/>
      <c r="O501" s="3"/>
      <c r="P501" s="3"/>
      <c r="Q501" s="3"/>
      <c r="R501" s="3"/>
      <c r="S501" s="3"/>
      <c r="T501" s="3"/>
      <c r="U501" s="3"/>
      <c r="V501" s="3"/>
      <c r="W501" s="3"/>
      <c r="X501" s="3"/>
      <c r="Y501" s="3"/>
      <c r="Z501" s="3"/>
    </row>
    <row r="502" hidden="1">
      <c r="A502" s="27" t="s">
        <v>2744</v>
      </c>
      <c r="B502" s="29" t="s">
        <v>649</v>
      </c>
      <c r="C502" s="3"/>
      <c r="D502" s="3"/>
      <c r="E502" s="3"/>
      <c r="F502" s="3"/>
      <c r="G502" s="3"/>
      <c r="H502" s="3"/>
      <c r="I502" s="3"/>
      <c r="J502" s="3"/>
      <c r="K502" s="3"/>
      <c r="L502" s="3"/>
      <c r="M502" s="3"/>
      <c r="N502" s="3"/>
      <c r="O502" s="3"/>
      <c r="P502" s="3"/>
      <c r="Q502" s="3"/>
      <c r="R502" s="3"/>
      <c r="S502" s="3"/>
      <c r="T502" s="3"/>
      <c r="U502" s="3"/>
      <c r="V502" s="3"/>
      <c r="W502" s="3"/>
      <c r="X502" s="3"/>
      <c r="Y502" s="3"/>
      <c r="Z502" s="3"/>
    </row>
    <row r="503" hidden="1">
      <c r="A503" s="27" t="s">
        <v>2745</v>
      </c>
      <c r="B503" s="29" t="s">
        <v>650</v>
      </c>
      <c r="C503" s="3"/>
      <c r="D503" s="3"/>
      <c r="E503" s="3"/>
      <c r="F503" s="3"/>
      <c r="G503" s="3"/>
      <c r="H503" s="3"/>
      <c r="I503" s="3"/>
      <c r="J503" s="3"/>
      <c r="K503" s="3"/>
      <c r="L503" s="3"/>
      <c r="M503" s="3"/>
      <c r="N503" s="3"/>
      <c r="O503" s="3"/>
      <c r="P503" s="3"/>
      <c r="Q503" s="3"/>
      <c r="R503" s="3"/>
      <c r="S503" s="3"/>
      <c r="T503" s="3"/>
      <c r="U503" s="3"/>
      <c r="V503" s="3"/>
      <c r="W503" s="3"/>
      <c r="X503" s="3"/>
      <c r="Y503" s="3"/>
      <c r="Z503" s="3"/>
    </row>
    <row r="504" hidden="1">
      <c r="A504" s="27" t="s">
        <v>2746</v>
      </c>
      <c r="B504" s="29" t="s">
        <v>651</v>
      </c>
      <c r="C504" s="3"/>
      <c r="D504" s="3"/>
      <c r="E504" s="3"/>
      <c r="F504" s="3"/>
      <c r="G504" s="3"/>
      <c r="H504" s="3"/>
      <c r="I504" s="3"/>
      <c r="J504" s="3"/>
      <c r="K504" s="3"/>
      <c r="L504" s="3"/>
      <c r="M504" s="3"/>
      <c r="N504" s="3"/>
      <c r="O504" s="3"/>
      <c r="P504" s="3"/>
      <c r="Q504" s="3"/>
      <c r="R504" s="3"/>
      <c r="S504" s="3"/>
      <c r="T504" s="3"/>
      <c r="U504" s="3"/>
      <c r="V504" s="3"/>
      <c r="W504" s="3"/>
      <c r="X504" s="3"/>
      <c r="Y504" s="3"/>
      <c r="Z504" s="3"/>
    </row>
    <row r="505" hidden="1">
      <c r="A505" s="27" t="s">
        <v>2747</v>
      </c>
      <c r="B505" s="29" t="s">
        <v>652</v>
      </c>
      <c r="C505" s="3"/>
      <c r="D505" s="3"/>
      <c r="E505" s="3"/>
      <c r="F505" s="3"/>
      <c r="G505" s="3"/>
      <c r="H505" s="3"/>
      <c r="I505" s="3"/>
      <c r="J505" s="3"/>
      <c r="K505" s="3"/>
      <c r="L505" s="3"/>
      <c r="M505" s="3"/>
      <c r="N505" s="3"/>
      <c r="O505" s="3"/>
      <c r="P505" s="3"/>
      <c r="Q505" s="3"/>
      <c r="R505" s="3"/>
      <c r="S505" s="3"/>
      <c r="T505" s="3"/>
      <c r="U505" s="3"/>
      <c r="V505" s="3"/>
      <c r="W505" s="3"/>
      <c r="X505" s="3"/>
      <c r="Y505" s="3"/>
      <c r="Z505" s="3"/>
    </row>
    <row r="506" hidden="1">
      <c r="A506" s="27" t="s">
        <v>2748</v>
      </c>
      <c r="B506" s="29" t="s">
        <v>653</v>
      </c>
      <c r="C506" s="3"/>
      <c r="D506" s="3"/>
      <c r="E506" s="3"/>
      <c r="F506" s="3"/>
      <c r="G506" s="3"/>
      <c r="H506" s="3"/>
      <c r="I506" s="3"/>
      <c r="J506" s="3"/>
      <c r="K506" s="3"/>
      <c r="L506" s="3"/>
      <c r="M506" s="3"/>
      <c r="N506" s="3"/>
      <c r="O506" s="3"/>
      <c r="P506" s="3"/>
      <c r="Q506" s="3"/>
      <c r="R506" s="3"/>
      <c r="S506" s="3"/>
      <c r="T506" s="3"/>
      <c r="U506" s="3"/>
      <c r="V506" s="3"/>
      <c r="W506" s="3"/>
      <c r="X506" s="3"/>
      <c r="Y506" s="3"/>
      <c r="Z506" s="3"/>
    </row>
    <row r="507" hidden="1">
      <c r="A507" s="27" t="s">
        <v>2749</v>
      </c>
      <c r="B507" s="29" t="s">
        <v>654</v>
      </c>
      <c r="C507" s="3"/>
      <c r="D507" s="3"/>
      <c r="E507" s="3"/>
      <c r="F507" s="3"/>
      <c r="G507" s="3"/>
      <c r="H507" s="3"/>
      <c r="I507" s="3"/>
      <c r="J507" s="3"/>
      <c r="K507" s="3"/>
      <c r="L507" s="3"/>
      <c r="M507" s="3"/>
      <c r="N507" s="3"/>
      <c r="O507" s="3"/>
      <c r="P507" s="3"/>
      <c r="Q507" s="3"/>
      <c r="R507" s="3"/>
      <c r="S507" s="3"/>
      <c r="T507" s="3"/>
      <c r="U507" s="3"/>
      <c r="V507" s="3"/>
      <c r="W507" s="3"/>
      <c r="X507" s="3"/>
      <c r="Y507" s="3"/>
      <c r="Z507" s="3"/>
    </row>
    <row r="508" hidden="1">
      <c r="A508" s="27" t="s">
        <v>2750</v>
      </c>
      <c r="B508" s="29" t="s">
        <v>656</v>
      </c>
      <c r="C508" s="3"/>
      <c r="D508" s="3"/>
      <c r="E508" s="3"/>
      <c r="F508" s="3"/>
      <c r="G508" s="3"/>
      <c r="H508" s="3"/>
      <c r="I508" s="3"/>
      <c r="J508" s="3"/>
      <c r="K508" s="3"/>
      <c r="L508" s="3"/>
      <c r="M508" s="3"/>
      <c r="N508" s="3"/>
      <c r="O508" s="3"/>
      <c r="P508" s="3"/>
      <c r="Q508" s="3"/>
      <c r="R508" s="3"/>
      <c r="S508" s="3"/>
      <c r="T508" s="3"/>
      <c r="U508" s="3"/>
      <c r="V508" s="3"/>
      <c r="W508" s="3"/>
      <c r="X508" s="3"/>
      <c r="Y508" s="3"/>
      <c r="Z508" s="3"/>
    </row>
    <row r="509" hidden="1">
      <c r="A509" s="27" t="s">
        <v>2751</v>
      </c>
      <c r="B509" s="29" t="s">
        <v>657</v>
      </c>
      <c r="C509" s="3"/>
      <c r="D509" s="3"/>
      <c r="E509" s="3"/>
      <c r="F509" s="3"/>
      <c r="G509" s="3"/>
      <c r="H509" s="3"/>
      <c r="I509" s="3"/>
      <c r="J509" s="3"/>
      <c r="K509" s="3"/>
      <c r="L509" s="3"/>
      <c r="M509" s="3"/>
      <c r="N509" s="3"/>
      <c r="O509" s="3"/>
      <c r="P509" s="3"/>
      <c r="Q509" s="3"/>
      <c r="R509" s="3"/>
      <c r="S509" s="3"/>
      <c r="T509" s="3"/>
      <c r="U509" s="3"/>
      <c r="V509" s="3"/>
      <c r="W509" s="3"/>
      <c r="X509" s="3"/>
      <c r="Y509" s="3"/>
      <c r="Z509" s="3"/>
    </row>
    <row r="510" hidden="1">
      <c r="A510" s="27" t="s">
        <v>2752</v>
      </c>
      <c r="B510" s="29" t="s">
        <v>658</v>
      </c>
      <c r="C510" s="3"/>
      <c r="D510" s="3"/>
      <c r="E510" s="3"/>
      <c r="F510" s="3"/>
      <c r="G510" s="3"/>
      <c r="H510" s="3"/>
      <c r="I510" s="3"/>
      <c r="J510" s="3"/>
      <c r="K510" s="3"/>
      <c r="L510" s="3"/>
      <c r="M510" s="3"/>
      <c r="N510" s="3"/>
      <c r="O510" s="3"/>
      <c r="P510" s="3"/>
      <c r="Q510" s="3"/>
      <c r="R510" s="3"/>
      <c r="S510" s="3"/>
      <c r="T510" s="3"/>
      <c r="U510" s="3"/>
      <c r="V510" s="3"/>
      <c r="W510" s="3"/>
      <c r="X510" s="3"/>
      <c r="Y510" s="3"/>
      <c r="Z510" s="3"/>
    </row>
    <row r="511" hidden="1">
      <c r="A511" s="27" t="s">
        <v>2753</v>
      </c>
      <c r="B511" s="29" t="s">
        <v>659</v>
      </c>
      <c r="C511" s="3"/>
      <c r="D511" s="3"/>
      <c r="E511" s="3"/>
      <c r="F511" s="3"/>
      <c r="G511" s="3"/>
      <c r="H511" s="3"/>
      <c r="I511" s="3"/>
      <c r="J511" s="3"/>
      <c r="K511" s="3"/>
      <c r="L511" s="3"/>
      <c r="M511" s="3"/>
      <c r="N511" s="3"/>
      <c r="O511" s="3"/>
      <c r="P511" s="3"/>
      <c r="Q511" s="3"/>
      <c r="R511" s="3"/>
      <c r="S511" s="3"/>
      <c r="T511" s="3"/>
      <c r="U511" s="3"/>
      <c r="V511" s="3"/>
      <c r="W511" s="3"/>
      <c r="X511" s="3"/>
      <c r="Y511" s="3"/>
      <c r="Z511" s="3"/>
    </row>
    <row r="512" hidden="1">
      <c r="A512" s="27" t="s">
        <v>2754</v>
      </c>
      <c r="B512" s="29" t="s">
        <v>660</v>
      </c>
      <c r="C512" s="3"/>
      <c r="D512" s="3"/>
      <c r="E512" s="3"/>
      <c r="F512" s="3"/>
      <c r="G512" s="3"/>
      <c r="H512" s="3"/>
      <c r="I512" s="3"/>
      <c r="J512" s="3"/>
      <c r="K512" s="3"/>
      <c r="L512" s="3"/>
      <c r="M512" s="3"/>
      <c r="N512" s="3"/>
      <c r="O512" s="3"/>
      <c r="P512" s="3"/>
      <c r="Q512" s="3"/>
      <c r="R512" s="3"/>
      <c r="S512" s="3"/>
      <c r="T512" s="3"/>
      <c r="U512" s="3"/>
      <c r="V512" s="3"/>
      <c r="W512" s="3"/>
      <c r="X512" s="3"/>
      <c r="Y512" s="3"/>
      <c r="Z512" s="3"/>
    </row>
    <row r="513" hidden="1">
      <c r="A513" s="27" t="s">
        <v>2755</v>
      </c>
      <c r="B513" s="29" t="s">
        <v>661</v>
      </c>
      <c r="C513" s="3"/>
      <c r="D513" s="3"/>
      <c r="E513" s="3"/>
      <c r="F513" s="3"/>
      <c r="G513" s="3"/>
      <c r="H513" s="3"/>
      <c r="I513" s="3"/>
      <c r="J513" s="3"/>
      <c r="K513" s="3"/>
      <c r="L513" s="3"/>
      <c r="M513" s="3"/>
      <c r="N513" s="3"/>
      <c r="O513" s="3"/>
      <c r="P513" s="3"/>
      <c r="Q513" s="3"/>
      <c r="R513" s="3"/>
      <c r="S513" s="3"/>
      <c r="T513" s="3"/>
      <c r="U513" s="3"/>
      <c r="V513" s="3"/>
      <c r="W513" s="3"/>
      <c r="X513" s="3"/>
      <c r="Y513" s="3"/>
      <c r="Z513" s="3"/>
    </row>
    <row r="514" hidden="1">
      <c r="A514" s="27" t="s">
        <v>2756</v>
      </c>
      <c r="B514" s="29" t="s">
        <v>662</v>
      </c>
      <c r="C514" s="3"/>
      <c r="D514" s="3"/>
      <c r="E514" s="3"/>
      <c r="F514" s="3"/>
      <c r="G514" s="3"/>
      <c r="H514" s="3"/>
      <c r="I514" s="3"/>
      <c r="J514" s="3"/>
      <c r="K514" s="3"/>
      <c r="L514" s="3"/>
      <c r="M514" s="3"/>
      <c r="N514" s="3"/>
      <c r="O514" s="3"/>
      <c r="P514" s="3"/>
      <c r="Q514" s="3"/>
      <c r="R514" s="3"/>
      <c r="S514" s="3"/>
      <c r="T514" s="3"/>
      <c r="U514" s="3"/>
      <c r="V514" s="3"/>
      <c r="W514" s="3"/>
      <c r="X514" s="3"/>
      <c r="Y514" s="3"/>
      <c r="Z514" s="3"/>
    </row>
    <row r="515" hidden="1">
      <c r="A515" s="27" t="s">
        <v>2757</v>
      </c>
      <c r="B515" s="29" t="s">
        <v>664</v>
      </c>
      <c r="C515" s="3"/>
      <c r="D515" s="3"/>
      <c r="E515" s="3"/>
      <c r="F515" s="3"/>
      <c r="G515" s="3"/>
      <c r="H515" s="3"/>
      <c r="I515" s="3"/>
      <c r="J515" s="3"/>
      <c r="K515" s="3"/>
      <c r="L515" s="3"/>
      <c r="M515" s="3"/>
      <c r="N515" s="3"/>
      <c r="O515" s="3"/>
      <c r="P515" s="3"/>
      <c r="Q515" s="3"/>
      <c r="R515" s="3"/>
      <c r="S515" s="3"/>
      <c r="T515" s="3"/>
      <c r="U515" s="3"/>
      <c r="V515" s="3"/>
      <c r="W515" s="3"/>
      <c r="X515" s="3"/>
      <c r="Y515" s="3"/>
      <c r="Z515" s="3"/>
    </row>
    <row r="516" hidden="1">
      <c r="A516" s="27" t="s">
        <v>2758</v>
      </c>
      <c r="B516" s="29" t="s">
        <v>665</v>
      </c>
      <c r="C516" s="3"/>
      <c r="D516" s="3"/>
      <c r="E516" s="3"/>
      <c r="F516" s="3"/>
      <c r="G516" s="3"/>
      <c r="H516" s="3"/>
      <c r="I516" s="3"/>
      <c r="J516" s="3"/>
      <c r="K516" s="3"/>
      <c r="L516" s="3"/>
      <c r="M516" s="3"/>
      <c r="N516" s="3"/>
      <c r="O516" s="3"/>
      <c r="P516" s="3"/>
      <c r="Q516" s="3"/>
      <c r="R516" s="3"/>
      <c r="S516" s="3"/>
      <c r="T516" s="3"/>
      <c r="U516" s="3"/>
      <c r="V516" s="3"/>
      <c r="W516" s="3"/>
      <c r="X516" s="3"/>
      <c r="Y516" s="3"/>
      <c r="Z516" s="3"/>
    </row>
    <row r="517" hidden="1">
      <c r="A517" s="27" t="s">
        <v>2759</v>
      </c>
      <c r="B517" s="29" t="s">
        <v>666</v>
      </c>
      <c r="C517" s="3"/>
      <c r="D517" s="3"/>
      <c r="E517" s="3"/>
      <c r="F517" s="3"/>
      <c r="G517" s="3"/>
      <c r="H517" s="3"/>
      <c r="I517" s="3"/>
      <c r="J517" s="3"/>
      <c r="K517" s="3"/>
      <c r="L517" s="3"/>
      <c r="M517" s="3"/>
      <c r="N517" s="3"/>
      <c r="O517" s="3"/>
      <c r="P517" s="3"/>
      <c r="Q517" s="3"/>
      <c r="R517" s="3"/>
      <c r="S517" s="3"/>
      <c r="T517" s="3"/>
      <c r="U517" s="3"/>
      <c r="V517" s="3"/>
      <c r="W517" s="3"/>
      <c r="X517" s="3"/>
      <c r="Y517" s="3"/>
      <c r="Z517" s="3"/>
    </row>
    <row r="518" hidden="1">
      <c r="A518" s="27" t="s">
        <v>2760</v>
      </c>
      <c r="B518" s="29" t="s">
        <v>667</v>
      </c>
      <c r="C518" s="3"/>
      <c r="D518" s="3"/>
      <c r="E518" s="3"/>
      <c r="F518" s="3"/>
      <c r="G518" s="3"/>
      <c r="H518" s="3"/>
      <c r="I518" s="3"/>
      <c r="J518" s="3"/>
      <c r="K518" s="3"/>
      <c r="L518" s="3"/>
      <c r="M518" s="3"/>
      <c r="N518" s="3"/>
      <c r="O518" s="3"/>
      <c r="P518" s="3"/>
      <c r="Q518" s="3"/>
      <c r="R518" s="3"/>
      <c r="S518" s="3"/>
      <c r="T518" s="3"/>
      <c r="U518" s="3"/>
      <c r="V518" s="3"/>
      <c r="W518" s="3"/>
      <c r="X518" s="3"/>
      <c r="Y518" s="3"/>
      <c r="Z518" s="3"/>
    </row>
    <row r="519" hidden="1">
      <c r="A519" s="27" t="s">
        <v>2761</v>
      </c>
      <c r="B519" s="29" t="s">
        <v>668</v>
      </c>
      <c r="C519" s="3"/>
      <c r="D519" s="3"/>
      <c r="E519" s="3"/>
      <c r="F519" s="3"/>
      <c r="G519" s="3"/>
      <c r="H519" s="3"/>
      <c r="I519" s="3"/>
      <c r="J519" s="3"/>
      <c r="K519" s="3"/>
      <c r="L519" s="3"/>
      <c r="M519" s="3"/>
      <c r="N519" s="3"/>
      <c r="O519" s="3"/>
      <c r="P519" s="3"/>
      <c r="Q519" s="3"/>
      <c r="R519" s="3"/>
      <c r="S519" s="3"/>
      <c r="T519" s="3"/>
      <c r="U519" s="3"/>
      <c r="V519" s="3"/>
      <c r="W519" s="3"/>
      <c r="X519" s="3"/>
      <c r="Y519" s="3"/>
      <c r="Z519" s="3"/>
    </row>
    <row r="520" hidden="1">
      <c r="A520" s="27" t="s">
        <v>2762</v>
      </c>
      <c r="B520" s="29" t="s">
        <v>669</v>
      </c>
      <c r="C520" s="3"/>
      <c r="D520" s="3"/>
      <c r="E520" s="3"/>
      <c r="F520" s="3"/>
      <c r="G520" s="3"/>
      <c r="H520" s="3"/>
      <c r="I520" s="3"/>
      <c r="J520" s="3"/>
      <c r="K520" s="3"/>
      <c r="L520" s="3"/>
      <c r="M520" s="3"/>
      <c r="N520" s="3"/>
      <c r="O520" s="3"/>
      <c r="P520" s="3"/>
      <c r="Q520" s="3"/>
      <c r="R520" s="3"/>
      <c r="S520" s="3"/>
      <c r="T520" s="3"/>
      <c r="U520" s="3"/>
      <c r="V520" s="3"/>
      <c r="W520" s="3"/>
      <c r="X520" s="3"/>
      <c r="Y520" s="3"/>
      <c r="Z520" s="3"/>
    </row>
    <row r="521" hidden="1">
      <c r="A521" s="27" t="s">
        <v>2763</v>
      </c>
      <c r="B521" s="29" t="s">
        <v>670</v>
      </c>
      <c r="C521" s="3"/>
      <c r="D521" s="3"/>
      <c r="E521" s="3"/>
      <c r="F521" s="3"/>
      <c r="G521" s="3"/>
      <c r="H521" s="3"/>
      <c r="I521" s="3"/>
      <c r="J521" s="3"/>
      <c r="K521" s="3"/>
      <c r="L521" s="3"/>
      <c r="M521" s="3"/>
      <c r="N521" s="3"/>
      <c r="O521" s="3"/>
      <c r="P521" s="3"/>
      <c r="Q521" s="3"/>
      <c r="R521" s="3"/>
      <c r="S521" s="3"/>
      <c r="T521" s="3"/>
      <c r="U521" s="3"/>
      <c r="V521" s="3"/>
      <c r="W521" s="3"/>
      <c r="X521" s="3"/>
      <c r="Y521" s="3"/>
      <c r="Z521" s="3"/>
    </row>
    <row r="522" hidden="1">
      <c r="A522" s="27" t="s">
        <v>2764</v>
      </c>
      <c r="B522" s="29" t="s">
        <v>672</v>
      </c>
      <c r="C522" s="3"/>
      <c r="D522" s="3"/>
      <c r="E522" s="3"/>
      <c r="F522" s="3"/>
      <c r="G522" s="3"/>
      <c r="H522" s="3"/>
      <c r="I522" s="3"/>
      <c r="J522" s="3"/>
      <c r="K522" s="3"/>
      <c r="L522" s="3"/>
      <c r="M522" s="3"/>
      <c r="N522" s="3"/>
      <c r="O522" s="3"/>
      <c r="P522" s="3"/>
      <c r="Q522" s="3"/>
      <c r="R522" s="3"/>
      <c r="S522" s="3"/>
      <c r="T522" s="3"/>
      <c r="U522" s="3"/>
      <c r="V522" s="3"/>
      <c r="W522" s="3"/>
      <c r="X522" s="3"/>
      <c r="Y522" s="3"/>
      <c r="Z522" s="3"/>
    </row>
    <row r="523" hidden="1">
      <c r="A523" s="27" t="s">
        <v>2765</v>
      </c>
      <c r="B523" s="29" t="s">
        <v>673</v>
      </c>
      <c r="C523" s="3"/>
      <c r="D523" s="3"/>
      <c r="E523" s="3"/>
      <c r="F523" s="3"/>
      <c r="G523" s="3"/>
      <c r="H523" s="3"/>
      <c r="I523" s="3"/>
      <c r="J523" s="3"/>
      <c r="K523" s="3"/>
      <c r="L523" s="3"/>
      <c r="M523" s="3"/>
      <c r="N523" s="3"/>
      <c r="O523" s="3"/>
      <c r="P523" s="3"/>
      <c r="Q523" s="3"/>
      <c r="R523" s="3"/>
      <c r="S523" s="3"/>
      <c r="T523" s="3"/>
      <c r="U523" s="3"/>
      <c r="V523" s="3"/>
      <c r="W523" s="3"/>
      <c r="X523" s="3"/>
      <c r="Y523" s="3"/>
      <c r="Z523" s="3"/>
    </row>
    <row r="524" hidden="1">
      <c r="A524" s="27" t="s">
        <v>2766</v>
      </c>
      <c r="B524" s="29" t="s">
        <v>674</v>
      </c>
      <c r="C524" s="3"/>
      <c r="D524" s="3"/>
      <c r="E524" s="3"/>
      <c r="F524" s="3"/>
      <c r="G524" s="3"/>
      <c r="H524" s="3"/>
      <c r="I524" s="3"/>
      <c r="J524" s="3"/>
      <c r="K524" s="3"/>
      <c r="L524" s="3"/>
      <c r="M524" s="3"/>
      <c r="N524" s="3"/>
      <c r="O524" s="3"/>
      <c r="P524" s="3"/>
      <c r="Q524" s="3"/>
      <c r="R524" s="3"/>
      <c r="S524" s="3"/>
      <c r="T524" s="3"/>
      <c r="U524" s="3"/>
      <c r="V524" s="3"/>
      <c r="W524" s="3"/>
      <c r="X524" s="3"/>
      <c r="Y524" s="3"/>
      <c r="Z524" s="3"/>
    </row>
    <row r="525" hidden="1">
      <c r="A525" s="27" t="s">
        <v>2767</v>
      </c>
      <c r="B525" s="29" t="s">
        <v>675</v>
      </c>
      <c r="C525" s="3"/>
      <c r="D525" s="3"/>
      <c r="E525" s="3"/>
      <c r="F525" s="3"/>
      <c r="G525" s="3"/>
      <c r="H525" s="3"/>
      <c r="I525" s="3"/>
      <c r="J525" s="3"/>
      <c r="K525" s="3"/>
      <c r="L525" s="3"/>
      <c r="M525" s="3"/>
      <c r="N525" s="3"/>
      <c r="O525" s="3"/>
      <c r="P525" s="3"/>
      <c r="Q525" s="3"/>
      <c r="R525" s="3"/>
      <c r="S525" s="3"/>
      <c r="T525" s="3"/>
      <c r="U525" s="3"/>
      <c r="V525" s="3"/>
      <c r="W525" s="3"/>
      <c r="X525" s="3"/>
      <c r="Y525" s="3"/>
      <c r="Z525" s="3"/>
    </row>
    <row r="526" hidden="1">
      <c r="A526" s="27" t="s">
        <v>2768</v>
      </c>
      <c r="B526" s="29" t="s">
        <v>676</v>
      </c>
      <c r="C526" s="3"/>
      <c r="D526" s="3"/>
      <c r="E526" s="3"/>
      <c r="F526" s="3"/>
      <c r="G526" s="3"/>
      <c r="H526" s="3"/>
      <c r="I526" s="3"/>
      <c r="J526" s="3"/>
      <c r="K526" s="3"/>
      <c r="L526" s="3"/>
      <c r="M526" s="3"/>
      <c r="N526" s="3"/>
      <c r="O526" s="3"/>
      <c r="P526" s="3"/>
      <c r="Q526" s="3"/>
      <c r="R526" s="3"/>
      <c r="S526" s="3"/>
      <c r="T526" s="3"/>
      <c r="U526" s="3"/>
      <c r="V526" s="3"/>
      <c r="W526" s="3"/>
      <c r="X526" s="3"/>
      <c r="Y526" s="3"/>
      <c r="Z526" s="3"/>
    </row>
    <row r="527" hidden="1">
      <c r="A527" s="27" t="s">
        <v>2769</v>
      </c>
      <c r="B527" s="29" t="s">
        <v>677</v>
      </c>
      <c r="C527" s="3"/>
      <c r="D527" s="3"/>
      <c r="E527" s="3"/>
      <c r="F527" s="3"/>
      <c r="G527" s="3"/>
      <c r="H527" s="3"/>
      <c r="I527" s="3"/>
      <c r="J527" s="3"/>
      <c r="K527" s="3"/>
      <c r="L527" s="3"/>
      <c r="M527" s="3"/>
      <c r="N527" s="3"/>
      <c r="O527" s="3"/>
      <c r="P527" s="3"/>
      <c r="Q527" s="3"/>
      <c r="R527" s="3"/>
      <c r="S527" s="3"/>
      <c r="T527" s="3"/>
      <c r="U527" s="3"/>
      <c r="V527" s="3"/>
      <c r="W527" s="3"/>
      <c r="X527" s="3"/>
      <c r="Y527" s="3"/>
      <c r="Z527" s="3"/>
    </row>
    <row r="528" hidden="1">
      <c r="A528" s="27" t="s">
        <v>2770</v>
      </c>
      <c r="B528" s="29" t="s">
        <v>678</v>
      </c>
      <c r="C528" s="3"/>
      <c r="D528" s="3"/>
      <c r="E528" s="3"/>
      <c r="F528" s="3"/>
      <c r="G528" s="3"/>
      <c r="H528" s="3"/>
      <c r="I528" s="3"/>
      <c r="J528" s="3"/>
      <c r="K528" s="3"/>
      <c r="L528" s="3"/>
      <c r="M528" s="3"/>
      <c r="N528" s="3"/>
      <c r="O528" s="3"/>
      <c r="P528" s="3"/>
      <c r="Q528" s="3"/>
      <c r="R528" s="3"/>
      <c r="S528" s="3"/>
      <c r="T528" s="3"/>
      <c r="U528" s="3"/>
      <c r="V528" s="3"/>
      <c r="W528" s="3"/>
      <c r="X528" s="3"/>
      <c r="Y528" s="3"/>
      <c r="Z528" s="3"/>
    </row>
    <row r="529" hidden="1">
      <c r="A529" s="27" t="s">
        <v>2771</v>
      </c>
      <c r="B529" s="29" t="s">
        <v>680</v>
      </c>
      <c r="C529" s="3"/>
      <c r="D529" s="3"/>
      <c r="E529" s="3"/>
      <c r="F529" s="3"/>
      <c r="G529" s="3"/>
      <c r="H529" s="3"/>
      <c r="I529" s="3"/>
      <c r="J529" s="3"/>
      <c r="K529" s="3"/>
      <c r="L529" s="3"/>
      <c r="M529" s="3"/>
      <c r="N529" s="3"/>
      <c r="O529" s="3"/>
      <c r="P529" s="3"/>
      <c r="Q529" s="3"/>
      <c r="R529" s="3"/>
      <c r="S529" s="3"/>
      <c r="T529" s="3"/>
      <c r="U529" s="3"/>
      <c r="V529" s="3"/>
      <c r="W529" s="3"/>
      <c r="X529" s="3"/>
      <c r="Y529" s="3"/>
      <c r="Z529" s="3"/>
    </row>
    <row r="530" hidden="1">
      <c r="A530" s="27" t="s">
        <v>2772</v>
      </c>
      <c r="B530" s="29" t="s">
        <v>681</v>
      </c>
      <c r="C530" s="3"/>
      <c r="D530" s="3"/>
      <c r="E530" s="3"/>
      <c r="F530" s="3"/>
      <c r="G530" s="3"/>
      <c r="H530" s="3"/>
      <c r="I530" s="3"/>
      <c r="J530" s="3"/>
      <c r="K530" s="3"/>
      <c r="L530" s="3"/>
      <c r="M530" s="3"/>
      <c r="N530" s="3"/>
      <c r="O530" s="3"/>
      <c r="P530" s="3"/>
      <c r="Q530" s="3"/>
      <c r="R530" s="3"/>
      <c r="S530" s="3"/>
      <c r="T530" s="3"/>
      <c r="U530" s="3"/>
      <c r="V530" s="3"/>
      <c r="W530" s="3"/>
      <c r="X530" s="3"/>
      <c r="Y530" s="3"/>
      <c r="Z530" s="3"/>
    </row>
    <row r="531" hidden="1">
      <c r="A531" s="27" t="s">
        <v>2773</v>
      </c>
      <c r="B531" s="29" t="s">
        <v>682</v>
      </c>
      <c r="C531" s="3"/>
      <c r="D531" s="3"/>
      <c r="E531" s="3"/>
      <c r="F531" s="3"/>
      <c r="G531" s="3"/>
      <c r="H531" s="3"/>
      <c r="I531" s="3"/>
      <c r="J531" s="3"/>
      <c r="K531" s="3"/>
      <c r="L531" s="3"/>
      <c r="M531" s="3"/>
      <c r="N531" s="3"/>
      <c r="O531" s="3"/>
      <c r="P531" s="3"/>
      <c r="Q531" s="3"/>
      <c r="R531" s="3"/>
      <c r="S531" s="3"/>
      <c r="T531" s="3"/>
      <c r="U531" s="3"/>
      <c r="V531" s="3"/>
      <c r="W531" s="3"/>
      <c r="X531" s="3"/>
      <c r="Y531" s="3"/>
      <c r="Z531" s="3"/>
    </row>
    <row r="532" hidden="1">
      <c r="A532" s="27" t="s">
        <v>2774</v>
      </c>
      <c r="B532" s="29" t="s">
        <v>683</v>
      </c>
      <c r="C532" s="3"/>
      <c r="D532" s="3"/>
      <c r="E532" s="3"/>
      <c r="F532" s="3"/>
      <c r="G532" s="3"/>
      <c r="H532" s="3"/>
      <c r="I532" s="3"/>
      <c r="J532" s="3"/>
      <c r="K532" s="3"/>
      <c r="L532" s="3"/>
      <c r="M532" s="3"/>
      <c r="N532" s="3"/>
      <c r="O532" s="3"/>
      <c r="P532" s="3"/>
      <c r="Q532" s="3"/>
      <c r="R532" s="3"/>
      <c r="S532" s="3"/>
      <c r="T532" s="3"/>
      <c r="U532" s="3"/>
      <c r="V532" s="3"/>
      <c r="W532" s="3"/>
      <c r="X532" s="3"/>
      <c r="Y532" s="3"/>
      <c r="Z532" s="3"/>
    </row>
    <row r="533" hidden="1">
      <c r="A533" s="27" t="s">
        <v>2775</v>
      </c>
      <c r="B533" s="29" t="s">
        <v>684</v>
      </c>
      <c r="C533" s="3"/>
      <c r="D533" s="3"/>
      <c r="E533" s="3"/>
      <c r="F533" s="3"/>
      <c r="G533" s="3"/>
      <c r="H533" s="3"/>
      <c r="I533" s="3"/>
      <c r="J533" s="3"/>
      <c r="K533" s="3"/>
      <c r="L533" s="3"/>
      <c r="M533" s="3"/>
      <c r="N533" s="3"/>
      <c r="O533" s="3"/>
      <c r="P533" s="3"/>
      <c r="Q533" s="3"/>
      <c r="R533" s="3"/>
      <c r="S533" s="3"/>
      <c r="T533" s="3"/>
      <c r="U533" s="3"/>
      <c r="V533" s="3"/>
      <c r="W533" s="3"/>
      <c r="X533" s="3"/>
      <c r="Y533" s="3"/>
      <c r="Z533" s="3"/>
    </row>
    <row r="534" hidden="1">
      <c r="A534" s="27" t="s">
        <v>2776</v>
      </c>
      <c r="B534" s="29" t="s">
        <v>685</v>
      </c>
      <c r="C534" s="3"/>
      <c r="D534" s="3"/>
      <c r="E534" s="3"/>
      <c r="F534" s="3"/>
      <c r="G534" s="3"/>
      <c r="H534" s="3"/>
      <c r="I534" s="3"/>
      <c r="J534" s="3"/>
      <c r="K534" s="3"/>
      <c r="L534" s="3"/>
      <c r="M534" s="3"/>
      <c r="N534" s="3"/>
      <c r="O534" s="3"/>
      <c r="P534" s="3"/>
      <c r="Q534" s="3"/>
      <c r="R534" s="3"/>
      <c r="S534" s="3"/>
      <c r="T534" s="3"/>
      <c r="U534" s="3"/>
      <c r="V534" s="3"/>
      <c r="W534" s="3"/>
      <c r="X534" s="3"/>
      <c r="Y534" s="3"/>
      <c r="Z534" s="3"/>
    </row>
    <row r="535" hidden="1">
      <c r="A535" s="27" t="s">
        <v>2777</v>
      </c>
      <c r="B535" s="29" t="s">
        <v>687</v>
      </c>
      <c r="C535" s="3"/>
      <c r="D535" s="3"/>
      <c r="E535" s="3"/>
      <c r="F535" s="3"/>
      <c r="G535" s="3"/>
      <c r="H535" s="3"/>
      <c r="I535" s="3"/>
      <c r="J535" s="3"/>
      <c r="K535" s="3"/>
      <c r="L535" s="3"/>
      <c r="M535" s="3"/>
      <c r="N535" s="3"/>
      <c r="O535" s="3"/>
      <c r="P535" s="3"/>
      <c r="Q535" s="3"/>
      <c r="R535" s="3"/>
      <c r="S535" s="3"/>
      <c r="T535" s="3"/>
      <c r="U535" s="3"/>
      <c r="V535" s="3"/>
      <c r="W535" s="3"/>
      <c r="X535" s="3"/>
      <c r="Y535" s="3"/>
      <c r="Z535" s="3"/>
    </row>
    <row r="536" hidden="1">
      <c r="A536" s="27" t="s">
        <v>2778</v>
      </c>
      <c r="B536" s="29" t="s">
        <v>688</v>
      </c>
      <c r="C536" s="3"/>
      <c r="D536" s="3"/>
      <c r="E536" s="3"/>
      <c r="F536" s="3"/>
      <c r="G536" s="3"/>
      <c r="H536" s="3"/>
      <c r="I536" s="3"/>
      <c r="J536" s="3"/>
      <c r="K536" s="3"/>
      <c r="L536" s="3"/>
      <c r="M536" s="3"/>
      <c r="N536" s="3"/>
      <c r="O536" s="3"/>
      <c r="P536" s="3"/>
      <c r="Q536" s="3"/>
      <c r="R536" s="3"/>
      <c r="S536" s="3"/>
      <c r="T536" s="3"/>
      <c r="U536" s="3"/>
      <c r="V536" s="3"/>
      <c r="W536" s="3"/>
      <c r="X536" s="3"/>
      <c r="Y536" s="3"/>
      <c r="Z536" s="3"/>
    </row>
    <row r="537" hidden="1">
      <c r="A537" s="27" t="s">
        <v>2779</v>
      </c>
      <c r="B537" s="29" t="s">
        <v>689</v>
      </c>
      <c r="C537" s="3"/>
      <c r="D537" s="3"/>
      <c r="E537" s="3"/>
      <c r="F537" s="3"/>
      <c r="G537" s="3"/>
      <c r="H537" s="3"/>
      <c r="I537" s="3"/>
      <c r="J537" s="3"/>
      <c r="K537" s="3"/>
      <c r="L537" s="3"/>
      <c r="M537" s="3"/>
      <c r="N537" s="3"/>
      <c r="O537" s="3"/>
      <c r="P537" s="3"/>
      <c r="Q537" s="3"/>
      <c r="R537" s="3"/>
      <c r="S537" s="3"/>
      <c r="T537" s="3"/>
      <c r="U537" s="3"/>
      <c r="V537" s="3"/>
      <c r="W537" s="3"/>
      <c r="X537" s="3"/>
      <c r="Y537" s="3"/>
      <c r="Z537" s="3"/>
    </row>
    <row r="538" hidden="1">
      <c r="A538" s="27" t="s">
        <v>2780</v>
      </c>
      <c r="B538" s="29" t="s">
        <v>690</v>
      </c>
      <c r="C538" s="3"/>
      <c r="D538" s="3"/>
      <c r="E538" s="3"/>
      <c r="F538" s="3"/>
      <c r="G538" s="3"/>
      <c r="H538" s="3"/>
      <c r="I538" s="3"/>
      <c r="J538" s="3"/>
      <c r="K538" s="3"/>
      <c r="L538" s="3"/>
      <c r="M538" s="3"/>
      <c r="N538" s="3"/>
      <c r="O538" s="3"/>
      <c r="P538" s="3"/>
      <c r="Q538" s="3"/>
      <c r="R538" s="3"/>
      <c r="S538" s="3"/>
      <c r="T538" s="3"/>
      <c r="U538" s="3"/>
      <c r="V538" s="3"/>
      <c r="W538" s="3"/>
      <c r="X538" s="3"/>
      <c r="Y538" s="3"/>
      <c r="Z538" s="3"/>
    </row>
    <row r="539" hidden="1">
      <c r="A539" s="27" t="s">
        <v>2781</v>
      </c>
      <c r="B539" s="29" t="s">
        <v>691</v>
      </c>
      <c r="C539" s="3"/>
      <c r="D539" s="3"/>
      <c r="E539" s="3"/>
      <c r="F539" s="3"/>
      <c r="G539" s="3"/>
      <c r="H539" s="3"/>
      <c r="I539" s="3"/>
      <c r="J539" s="3"/>
      <c r="K539" s="3"/>
      <c r="L539" s="3"/>
      <c r="M539" s="3"/>
      <c r="N539" s="3"/>
      <c r="O539" s="3"/>
      <c r="P539" s="3"/>
      <c r="Q539" s="3"/>
      <c r="R539" s="3"/>
      <c r="S539" s="3"/>
      <c r="T539" s="3"/>
      <c r="U539" s="3"/>
      <c r="V539" s="3"/>
      <c r="W539" s="3"/>
      <c r="X539" s="3"/>
      <c r="Y539" s="3"/>
      <c r="Z539" s="3"/>
    </row>
    <row r="540" hidden="1">
      <c r="A540" s="27" t="s">
        <v>2782</v>
      </c>
      <c r="B540" s="29" t="s">
        <v>693</v>
      </c>
      <c r="C540" s="3"/>
      <c r="D540" s="3"/>
      <c r="E540" s="3"/>
      <c r="F540" s="3"/>
      <c r="G540" s="3"/>
      <c r="H540" s="3"/>
      <c r="I540" s="3"/>
      <c r="J540" s="3"/>
      <c r="K540" s="3"/>
      <c r="L540" s="3"/>
      <c r="M540" s="3"/>
      <c r="N540" s="3"/>
      <c r="O540" s="3"/>
      <c r="P540" s="3"/>
      <c r="Q540" s="3"/>
      <c r="R540" s="3"/>
      <c r="S540" s="3"/>
      <c r="T540" s="3"/>
      <c r="U540" s="3"/>
      <c r="V540" s="3"/>
      <c r="W540" s="3"/>
      <c r="X540" s="3"/>
      <c r="Y540" s="3"/>
      <c r="Z540" s="3"/>
    </row>
    <row r="541" hidden="1">
      <c r="A541" s="27" t="s">
        <v>2783</v>
      </c>
      <c r="B541" s="29" t="s">
        <v>694</v>
      </c>
      <c r="C541" s="3"/>
      <c r="D541" s="3"/>
      <c r="E541" s="3"/>
      <c r="F541" s="3"/>
      <c r="G541" s="3"/>
      <c r="H541" s="3"/>
      <c r="I541" s="3"/>
      <c r="J541" s="3"/>
      <c r="K541" s="3"/>
      <c r="L541" s="3"/>
      <c r="M541" s="3"/>
      <c r="N541" s="3"/>
      <c r="O541" s="3"/>
      <c r="P541" s="3"/>
      <c r="Q541" s="3"/>
      <c r="R541" s="3"/>
      <c r="S541" s="3"/>
      <c r="T541" s="3"/>
      <c r="U541" s="3"/>
      <c r="V541" s="3"/>
      <c r="W541" s="3"/>
      <c r="X541" s="3"/>
      <c r="Y541" s="3"/>
      <c r="Z541" s="3"/>
    </row>
    <row r="542" hidden="1">
      <c r="A542" s="27" t="s">
        <v>2784</v>
      </c>
      <c r="B542" s="29" t="s">
        <v>695</v>
      </c>
      <c r="C542" s="3"/>
      <c r="D542" s="3"/>
      <c r="E542" s="3"/>
      <c r="F542" s="3"/>
      <c r="G542" s="3"/>
      <c r="H542" s="3"/>
      <c r="I542" s="3"/>
      <c r="J542" s="3"/>
      <c r="K542" s="3"/>
      <c r="L542" s="3"/>
      <c r="M542" s="3"/>
      <c r="N542" s="3"/>
      <c r="O542" s="3"/>
      <c r="P542" s="3"/>
      <c r="Q542" s="3"/>
      <c r="R542" s="3"/>
      <c r="S542" s="3"/>
      <c r="T542" s="3"/>
      <c r="U542" s="3"/>
      <c r="V542" s="3"/>
      <c r="W542" s="3"/>
      <c r="X542" s="3"/>
      <c r="Y542" s="3"/>
      <c r="Z542" s="3"/>
    </row>
    <row r="543" hidden="1">
      <c r="A543" s="27" t="s">
        <v>2785</v>
      </c>
      <c r="B543" s="29" t="s">
        <v>696</v>
      </c>
      <c r="C543" s="3"/>
      <c r="D543" s="3"/>
      <c r="E543" s="3"/>
      <c r="F543" s="3"/>
      <c r="G543" s="3"/>
      <c r="H543" s="3"/>
      <c r="I543" s="3"/>
      <c r="J543" s="3"/>
      <c r="K543" s="3"/>
      <c r="L543" s="3"/>
      <c r="M543" s="3"/>
      <c r="N543" s="3"/>
      <c r="O543" s="3"/>
      <c r="P543" s="3"/>
      <c r="Q543" s="3"/>
      <c r="R543" s="3"/>
      <c r="S543" s="3"/>
      <c r="T543" s="3"/>
      <c r="U543" s="3"/>
      <c r="V543" s="3"/>
      <c r="W543" s="3"/>
      <c r="X543" s="3"/>
      <c r="Y543" s="3"/>
      <c r="Z543" s="3"/>
    </row>
    <row r="544" hidden="1">
      <c r="A544" s="27" t="s">
        <v>2786</v>
      </c>
      <c r="B544" s="29" t="s">
        <v>697</v>
      </c>
      <c r="C544" s="3"/>
      <c r="D544" s="3"/>
      <c r="E544" s="3"/>
      <c r="F544" s="3"/>
      <c r="G544" s="3"/>
      <c r="H544" s="3"/>
      <c r="I544" s="3"/>
      <c r="J544" s="3"/>
      <c r="K544" s="3"/>
      <c r="L544" s="3"/>
      <c r="M544" s="3"/>
      <c r="N544" s="3"/>
      <c r="O544" s="3"/>
      <c r="P544" s="3"/>
      <c r="Q544" s="3"/>
      <c r="R544" s="3"/>
      <c r="S544" s="3"/>
      <c r="T544" s="3"/>
      <c r="U544" s="3"/>
      <c r="V544" s="3"/>
      <c r="W544" s="3"/>
      <c r="X544" s="3"/>
      <c r="Y544" s="3"/>
      <c r="Z544" s="3"/>
    </row>
    <row r="545" hidden="1">
      <c r="A545" s="27" t="s">
        <v>2787</v>
      </c>
      <c r="B545" s="29" t="s">
        <v>699</v>
      </c>
      <c r="C545" s="3"/>
      <c r="D545" s="3"/>
      <c r="E545" s="3"/>
      <c r="F545" s="3"/>
      <c r="G545" s="3"/>
      <c r="H545" s="3"/>
      <c r="I545" s="3"/>
      <c r="J545" s="3"/>
      <c r="K545" s="3"/>
      <c r="L545" s="3"/>
      <c r="M545" s="3"/>
      <c r="N545" s="3"/>
      <c r="O545" s="3"/>
      <c r="P545" s="3"/>
      <c r="Q545" s="3"/>
      <c r="R545" s="3"/>
      <c r="S545" s="3"/>
      <c r="T545" s="3"/>
      <c r="U545" s="3"/>
      <c r="V545" s="3"/>
      <c r="W545" s="3"/>
      <c r="X545" s="3"/>
      <c r="Y545" s="3"/>
      <c r="Z545" s="3"/>
    </row>
    <row r="546" hidden="1">
      <c r="A546" s="27" t="s">
        <v>2788</v>
      </c>
      <c r="B546" s="29" t="s">
        <v>700</v>
      </c>
      <c r="C546" s="3"/>
      <c r="D546" s="3"/>
      <c r="E546" s="3"/>
      <c r="F546" s="3"/>
      <c r="G546" s="3"/>
      <c r="H546" s="3"/>
      <c r="I546" s="3"/>
      <c r="J546" s="3"/>
      <c r="K546" s="3"/>
      <c r="L546" s="3"/>
      <c r="M546" s="3"/>
      <c r="N546" s="3"/>
      <c r="O546" s="3"/>
      <c r="P546" s="3"/>
      <c r="Q546" s="3"/>
      <c r="R546" s="3"/>
      <c r="S546" s="3"/>
      <c r="T546" s="3"/>
      <c r="U546" s="3"/>
      <c r="V546" s="3"/>
      <c r="W546" s="3"/>
      <c r="X546" s="3"/>
      <c r="Y546" s="3"/>
      <c r="Z546" s="3"/>
    </row>
    <row r="547" hidden="1">
      <c r="A547" s="27" t="s">
        <v>2789</v>
      </c>
      <c r="B547" s="29" t="s">
        <v>701</v>
      </c>
      <c r="C547" s="3"/>
      <c r="D547" s="3"/>
      <c r="E547" s="3"/>
      <c r="F547" s="3"/>
      <c r="G547" s="3"/>
      <c r="H547" s="3"/>
      <c r="I547" s="3"/>
      <c r="J547" s="3"/>
      <c r="K547" s="3"/>
      <c r="L547" s="3"/>
      <c r="M547" s="3"/>
      <c r="N547" s="3"/>
      <c r="O547" s="3"/>
      <c r="P547" s="3"/>
      <c r="Q547" s="3"/>
      <c r="R547" s="3"/>
      <c r="S547" s="3"/>
      <c r="T547" s="3"/>
      <c r="U547" s="3"/>
      <c r="V547" s="3"/>
      <c r="W547" s="3"/>
      <c r="X547" s="3"/>
      <c r="Y547" s="3"/>
      <c r="Z547" s="3"/>
    </row>
    <row r="548" hidden="1">
      <c r="A548" s="27" t="s">
        <v>2790</v>
      </c>
      <c r="B548" s="29" t="s">
        <v>702</v>
      </c>
      <c r="C548" s="3"/>
      <c r="D548" s="3"/>
      <c r="E548" s="3"/>
      <c r="F548" s="3"/>
      <c r="G548" s="3"/>
      <c r="H548" s="3"/>
      <c r="I548" s="3"/>
      <c r="J548" s="3"/>
      <c r="K548" s="3"/>
      <c r="L548" s="3"/>
      <c r="M548" s="3"/>
      <c r="N548" s="3"/>
      <c r="O548" s="3"/>
      <c r="P548" s="3"/>
      <c r="Q548" s="3"/>
      <c r="R548" s="3"/>
      <c r="S548" s="3"/>
      <c r="T548" s="3"/>
      <c r="U548" s="3"/>
      <c r="V548" s="3"/>
      <c r="W548" s="3"/>
      <c r="X548" s="3"/>
      <c r="Y548" s="3"/>
      <c r="Z548" s="3"/>
    </row>
    <row r="549" hidden="1">
      <c r="A549" s="27" t="s">
        <v>2791</v>
      </c>
      <c r="B549" s="29" t="s">
        <v>704</v>
      </c>
      <c r="C549" s="3"/>
      <c r="D549" s="3"/>
      <c r="E549" s="3"/>
      <c r="F549" s="3"/>
      <c r="G549" s="3"/>
      <c r="H549" s="3"/>
      <c r="I549" s="3"/>
      <c r="J549" s="3"/>
      <c r="K549" s="3"/>
      <c r="L549" s="3"/>
      <c r="M549" s="3"/>
      <c r="N549" s="3"/>
      <c r="O549" s="3"/>
      <c r="P549" s="3"/>
      <c r="Q549" s="3"/>
      <c r="R549" s="3"/>
      <c r="S549" s="3"/>
      <c r="T549" s="3"/>
      <c r="U549" s="3"/>
      <c r="V549" s="3"/>
      <c r="W549" s="3"/>
      <c r="X549" s="3"/>
      <c r="Y549" s="3"/>
      <c r="Z549" s="3"/>
    </row>
    <row r="550" hidden="1">
      <c r="A550" s="27" t="s">
        <v>2792</v>
      </c>
      <c r="B550" s="29" t="s">
        <v>705</v>
      </c>
      <c r="C550" s="3"/>
      <c r="D550" s="3"/>
      <c r="E550" s="3"/>
      <c r="F550" s="3"/>
      <c r="G550" s="3"/>
      <c r="H550" s="3"/>
      <c r="I550" s="3"/>
      <c r="J550" s="3"/>
      <c r="K550" s="3"/>
      <c r="L550" s="3"/>
      <c r="M550" s="3"/>
      <c r="N550" s="3"/>
      <c r="O550" s="3"/>
      <c r="P550" s="3"/>
      <c r="Q550" s="3"/>
      <c r="R550" s="3"/>
      <c r="S550" s="3"/>
      <c r="T550" s="3"/>
      <c r="U550" s="3"/>
      <c r="V550" s="3"/>
      <c r="W550" s="3"/>
      <c r="X550" s="3"/>
      <c r="Y550" s="3"/>
      <c r="Z550" s="3"/>
    </row>
    <row r="551" hidden="1">
      <c r="A551" s="27" t="s">
        <v>2793</v>
      </c>
      <c r="B551" s="29" t="s">
        <v>706</v>
      </c>
      <c r="C551" s="3"/>
      <c r="D551" s="3"/>
      <c r="E551" s="3"/>
      <c r="F551" s="3"/>
      <c r="G551" s="3"/>
      <c r="H551" s="3"/>
      <c r="I551" s="3"/>
      <c r="J551" s="3"/>
      <c r="K551" s="3"/>
      <c r="L551" s="3"/>
      <c r="M551" s="3"/>
      <c r="N551" s="3"/>
      <c r="O551" s="3"/>
      <c r="P551" s="3"/>
      <c r="Q551" s="3"/>
      <c r="R551" s="3"/>
      <c r="S551" s="3"/>
      <c r="T551" s="3"/>
      <c r="U551" s="3"/>
      <c r="V551" s="3"/>
      <c r="W551" s="3"/>
      <c r="X551" s="3"/>
      <c r="Y551" s="3"/>
      <c r="Z551" s="3"/>
    </row>
    <row r="552" hidden="1">
      <c r="A552" s="27" t="s">
        <v>2794</v>
      </c>
      <c r="B552" s="29" t="s">
        <v>707</v>
      </c>
      <c r="C552" s="3"/>
      <c r="D552" s="3"/>
      <c r="E552" s="3"/>
      <c r="F552" s="3"/>
      <c r="G552" s="3"/>
      <c r="H552" s="3"/>
      <c r="I552" s="3"/>
      <c r="J552" s="3"/>
      <c r="K552" s="3"/>
      <c r="L552" s="3"/>
      <c r="M552" s="3"/>
      <c r="N552" s="3"/>
      <c r="O552" s="3"/>
      <c r="P552" s="3"/>
      <c r="Q552" s="3"/>
      <c r="R552" s="3"/>
      <c r="S552" s="3"/>
      <c r="T552" s="3"/>
      <c r="U552" s="3"/>
      <c r="V552" s="3"/>
      <c r="W552" s="3"/>
      <c r="X552" s="3"/>
      <c r="Y552" s="3"/>
      <c r="Z552" s="3"/>
    </row>
    <row r="553" hidden="1">
      <c r="A553" s="27" t="s">
        <v>2795</v>
      </c>
      <c r="B553" s="29" t="s">
        <v>708</v>
      </c>
      <c r="C553" s="3"/>
      <c r="D553" s="3"/>
      <c r="E553" s="3"/>
      <c r="F553" s="3"/>
      <c r="G553" s="3"/>
      <c r="H553" s="3"/>
      <c r="I553" s="3"/>
      <c r="J553" s="3"/>
      <c r="K553" s="3"/>
      <c r="L553" s="3"/>
      <c r="M553" s="3"/>
      <c r="N553" s="3"/>
      <c r="O553" s="3"/>
      <c r="P553" s="3"/>
      <c r="Q553" s="3"/>
      <c r="R553" s="3"/>
      <c r="S553" s="3"/>
      <c r="T553" s="3"/>
      <c r="U553" s="3"/>
      <c r="V553" s="3"/>
      <c r="W553" s="3"/>
      <c r="X553" s="3"/>
      <c r="Y553" s="3"/>
      <c r="Z553" s="3"/>
    </row>
    <row r="554" hidden="1">
      <c r="A554" s="27" t="s">
        <v>2796</v>
      </c>
      <c r="B554" s="29" t="s">
        <v>710</v>
      </c>
      <c r="C554" s="3"/>
      <c r="D554" s="3"/>
      <c r="E554" s="3"/>
      <c r="F554" s="3"/>
      <c r="G554" s="3"/>
      <c r="H554" s="3"/>
      <c r="I554" s="3"/>
      <c r="J554" s="3"/>
      <c r="K554" s="3"/>
      <c r="L554" s="3"/>
      <c r="M554" s="3"/>
      <c r="N554" s="3"/>
      <c r="O554" s="3"/>
      <c r="P554" s="3"/>
      <c r="Q554" s="3"/>
      <c r="R554" s="3"/>
      <c r="S554" s="3"/>
      <c r="T554" s="3"/>
      <c r="U554" s="3"/>
      <c r="V554" s="3"/>
      <c r="W554" s="3"/>
      <c r="X554" s="3"/>
      <c r="Y554" s="3"/>
      <c r="Z554" s="3"/>
    </row>
    <row r="555" hidden="1">
      <c r="A555" s="27" t="s">
        <v>2797</v>
      </c>
      <c r="B555" s="29" t="s">
        <v>711</v>
      </c>
      <c r="C555" s="3"/>
      <c r="D555" s="3"/>
      <c r="E555" s="3"/>
      <c r="F555" s="3"/>
      <c r="G555" s="3"/>
      <c r="H555" s="3"/>
      <c r="I555" s="3"/>
      <c r="J555" s="3"/>
      <c r="K555" s="3"/>
      <c r="L555" s="3"/>
      <c r="M555" s="3"/>
      <c r="N555" s="3"/>
      <c r="O555" s="3"/>
      <c r="P555" s="3"/>
      <c r="Q555" s="3"/>
      <c r="R555" s="3"/>
      <c r="S555" s="3"/>
      <c r="T555" s="3"/>
      <c r="U555" s="3"/>
      <c r="V555" s="3"/>
      <c r="W555" s="3"/>
      <c r="X555" s="3"/>
      <c r="Y555" s="3"/>
      <c r="Z555" s="3"/>
    </row>
    <row r="556" hidden="1">
      <c r="A556" s="27" t="s">
        <v>2798</v>
      </c>
      <c r="B556" s="29" t="s">
        <v>712</v>
      </c>
      <c r="C556" s="3"/>
      <c r="D556" s="3"/>
      <c r="E556" s="3"/>
      <c r="F556" s="3"/>
      <c r="G556" s="3"/>
      <c r="H556" s="3"/>
      <c r="I556" s="3"/>
      <c r="J556" s="3"/>
      <c r="K556" s="3"/>
      <c r="L556" s="3"/>
      <c r="M556" s="3"/>
      <c r="N556" s="3"/>
      <c r="O556" s="3"/>
      <c r="P556" s="3"/>
      <c r="Q556" s="3"/>
      <c r="R556" s="3"/>
      <c r="S556" s="3"/>
      <c r="T556" s="3"/>
      <c r="U556" s="3"/>
      <c r="V556" s="3"/>
      <c r="W556" s="3"/>
      <c r="X556" s="3"/>
      <c r="Y556" s="3"/>
      <c r="Z556" s="3"/>
    </row>
    <row r="557" hidden="1">
      <c r="A557" s="27" t="s">
        <v>2799</v>
      </c>
      <c r="B557" s="29" t="s">
        <v>713</v>
      </c>
      <c r="C557" s="3"/>
      <c r="D557" s="3"/>
      <c r="E557" s="3"/>
      <c r="F557" s="3"/>
      <c r="G557" s="3"/>
      <c r="H557" s="3"/>
      <c r="I557" s="3"/>
      <c r="J557" s="3"/>
      <c r="K557" s="3"/>
      <c r="L557" s="3"/>
      <c r="M557" s="3"/>
      <c r="N557" s="3"/>
      <c r="O557" s="3"/>
      <c r="P557" s="3"/>
      <c r="Q557" s="3"/>
      <c r="R557" s="3"/>
      <c r="S557" s="3"/>
      <c r="T557" s="3"/>
      <c r="U557" s="3"/>
      <c r="V557" s="3"/>
      <c r="W557" s="3"/>
      <c r="X557" s="3"/>
      <c r="Y557" s="3"/>
      <c r="Z557" s="3"/>
    </row>
    <row r="558" hidden="1">
      <c r="A558" s="27" t="s">
        <v>2800</v>
      </c>
      <c r="B558" s="29" t="s">
        <v>714</v>
      </c>
      <c r="C558" s="3"/>
      <c r="D558" s="3"/>
      <c r="E558" s="3"/>
      <c r="F558" s="3"/>
      <c r="G558" s="3"/>
      <c r="H558" s="3"/>
      <c r="I558" s="3"/>
      <c r="J558" s="3"/>
      <c r="K558" s="3"/>
      <c r="L558" s="3"/>
      <c r="M558" s="3"/>
      <c r="N558" s="3"/>
      <c r="O558" s="3"/>
      <c r="P558" s="3"/>
      <c r="Q558" s="3"/>
      <c r="R558" s="3"/>
      <c r="S558" s="3"/>
      <c r="T558" s="3"/>
      <c r="U558" s="3"/>
      <c r="V558" s="3"/>
      <c r="W558" s="3"/>
      <c r="X558" s="3"/>
      <c r="Y558" s="3"/>
      <c r="Z558" s="3"/>
    </row>
    <row r="559" hidden="1">
      <c r="A559" s="27" t="s">
        <v>2801</v>
      </c>
      <c r="B559" s="29" t="s">
        <v>715</v>
      </c>
      <c r="C559" s="3"/>
      <c r="D559" s="3"/>
      <c r="E559" s="3"/>
      <c r="F559" s="3"/>
      <c r="G559" s="3"/>
      <c r="H559" s="3"/>
      <c r="I559" s="3"/>
      <c r="J559" s="3"/>
      <c r="K559" s="3"/>
      <c r="L559" s="3"/>
      <c r="M559" s="3"/>
      <c r="N559" s="3"/>
      <c r="O559" s="3"/>
      <c r="P559" s="3"/>
      <c r="Q559" s="3"/>
      <c r="R559" s="3"/>
      <c r="S559" s="3"/>
      <c r="T559" s="3"/>
      <c r="U559" s="3"/>
      <c r="V559" s="3"/>
      <c r="W559" s="3"/>
      <c r="X559" s="3"/>
      <c r="Y559" s="3"/>
      <c r="Z559" s="3"/>
    </row>
    <row r="560" hidden="1">
      <c r="A560" s="27" t="s">
        <v>2802</v>
      </c>
      <c r="B560" s="29" t="s">
        <v>717</v>
      </c>
      <c r="C560" s="3"/>
      <c r="D560" s="3"/>
      <c r="E560" s="3"/>
      <c r="F560" s="3"/>
      <c r="G560" s="3"/>
      <c r="H560" s="3"/>
      <c r="I560" s="3"/>
      <c r="J560" s="3"/>
      <c r="K560" s="3"/>
      <c r="L560" s="3"/>
      <c r="M560" s="3"/>
      <c r="N560" s="3"/>
      <c r="O560" s="3"/>
      <c r="P560" s="3"/>
      <c r="Q560" s="3"/>
      <c r="R560" s="3"/>
      <c r="S560" s="3"/>
      <c r="T560" s="3"/>
      <c r="U560" s="3"/>
      <c r="V560" s="3"/>
      <c r="W560" s="3"/>
      <c r="X560" s="3"/>
      <c r="Y560" s="3"/>
      <c r="Z560" s="3"/>
    </row>
    <row r="561" hidden="1">
      <c r="A561" s="27" t="s">
        <v>2803</v>
      </c>
      <c r="B561" s="29" t="s">
        <v>718</v>
      </c>
      <c r="C561" s="3"/>
      <c r="D561" s="3"/>
      <c r="E561" s="3"/>
      <c r="F561" s="3"/>
      <c r="G561" s="3"/>
      <c r="H561" s="3"/>
      <c r="I561" s="3"/>
      <c r="J561" s="3"/>
      <c r="K561" s="3"/>
      <c r="L561" s="3"/>
      <c r="M561" s="3"/>
      <c r="N561" s="3"/>
      <c r="O561" s="3"/>
      <c r="P561" s="3"/>
      <c r="Q561" s="3"/>
      <c r="R561" s="3"/>
      <c r="S561" s="3"/>
      <c r="T561" s="3"/>
      <c r="U561" s="3"/>
      <c r="V561" s="3"/>
      <c r="W561" s="3"/>
      <c r="X561" s="3"/>
      <c r="Y561" s="3"/>
      <c r="Z561" s="3"/>
    </row>
    <row r="562" hidden="1">
      <c r="A562" s="27" t="s">
        <v>2804</v>
      </c>
      <c r="B562" s="29" t="s">
        <v>719</v>
      </c>
      <c r="C562" s="3"/>
      <c r="D562" s="3"/>
      <c r="E562" s="3"/>
      <c r="F562" s="3"/>
      <c r="G562" s="3"/>
      <c r="H562" s="3"/>
      <c r="I562" s="3"/>
      <c r="J562" s="3"/>
      <c r="K562" s="3"/>
      <c r="L562" s="3"/>
      <c r="M562" s="3"/>
      <c r="N562" s="3"/>
      <c r="O562" s="3"/>
      <c r="P562" s="3"/>
      <c r="Q562" s="3"/>
      <c r="R562" s="3"/>
      <c r="S562" s="3"/>
      <c r="T562" s="3"/>
      <c r="U562" s="3"/>
      <c r="V562" s="3"/>
      <c r="W562" s="3"/>
      <c r="X562" s="3"/>
      <c r="Y562" s="3"/>
      <c r="Z562" s="3"/>
    </row>
    <row r="563" hidden="1">
      <c r="A563" s="27" t="s">
        <v>2805</v>
      </c>
      <c r="B563" s="29" t="s">
        <v>720</v>
      </c>
      <c r="C563" s="3"/>
      <c r="D563" s="3"/>
      <c r="E563" s="3"/>
      <c r="F563" s="3"/>
      <c r="G563" s="3"/>
      <c r="H563" s="3"/>
      <c r="I563" s="3"/>
      <c r="J563" s="3"/>
      <c r="K563" s="3"/>
      <c r="L563" s="3"/>
      <c r="M563" s="3"/>
      <c r="N563" s="3"/>
      <c r="O563" s="3"/>
      <c r="P563" s="3"/>
      <c r="Q563" s="3"/>
      <c r="R563" s="3"/>
      <c r="S563" s="3"/>
      <c r="T563" s="3"/>
      <c r="U563" s="3"/>
      <c r="V563" s="3"/>
      <c r="W563" s="3"/>
      <c r="X563" s="3"/>
      <c r="Y563" s="3"/>
      <c r="Z563" s="3"/>
    </row>
    <row r="564" hidden="1">
      <c r="A564" s="27" t="s">
        <v>2806</v>
      </c>
      <c r="B564" s="29" t="s">
        <v>721</v>
      </c>
      <c r="C564" s="3"/>
      <c r="D564" s="3"/>
      <c r="E564" s="3"/>
      <c r="F564" s="3"/>
      <c r="G564" s="3"/>
      <c r="H564" s="3"/>
      <c r="I564" s="3"/>
      <c r="J564" s="3"/>
      <c r="K564" s="3"/>
      <c r="L564" s="3"/>
      <c r="M564" s="3"/>
      <c r="N564" s="3"/>
      <c r="O564" s="3"/>
      <c r="P564" s="3"/>
      <c r="Q564" s="3"/>
      <c r="R564" s="3"/>
      <c r="S564" s="3"/>
      <c r="T564" s="3"/>
      <c r="U564" s="3"/>
      <c r="V564" s="3"/>
      <c r="W564" s="3"/>
      <c r="X564" s="3"/>
      <c r="Y564" s="3"/>
      <c r="Z564" s="3"/>
    </row>
    <row r="565" hidden="1">
      <c r="A565" s="27" t="s">
        <v>2807</v>
      </c>
      <c r="B565" s="29" t="s">
        <v>722</v>
      </c>
      <c r="C565" s="3"/>
      <c r="D565" s="3"/>
      <c r="E565" s="3"/>
      <c r="F565" s="3"/>
      <c r="G565" s="3"/>
      <c r="H565" s="3"/>
      <c r="I565" s="3"/>
      <c r="J565" s="3"/>
      <c r="K565" s="3"/>
      <c r="L565" s="3"/>
      <c r="M565" s="3"/>
      <c r="N565" s="3"/>
      <c r="O565" s="3"/>
      <c r="P565" s="3"/>
      <c r="Q565" s="3"/>
      <c r="R565" s="3"/>
      <c r="S565" s="3"/>
      <c r="T565" s="3"/>
      <c r="U565" s="3"/>
      <c r="V565" s="3"/>
      <c r="W565" s="3"/>
      <c r="X565" s="3"/>
      <c r="Y565" s="3"/>
      <c r="Z565" s="3"/>
    </row>
    <row r="566" hidden="1">
      <c r="A566" s="27" t="s">
        <v>2808</v>
      </c>
      <c r="B566" s="29" t="s">
        <v>723</v>
      </c>
      <c r="C566" s="3"/>
      <c r="D566" s="3"/>
      <c r="E566" s="3"/>
      <c r="F566" s="3"/>
      <c r="G566" s="3"/>
      <c r="H566" s="3"/>
      <c r="I566" s="3"/>
      <c r="J566" s="3"/>
      <c r="K566" s="3"/>
      <c r="L566" s="3"/>
      <c r="M566" s="3"/>
      <c r="N566" s="3"/>
      <c r="O566" s="3"/>
      <c r="P566" s="3"/>
      <c r="Q566" s="3"/>
      <c r="R566" s="3"/>
      <c r="S566" s="3"/>
      <c r="T566" s="3"/>
      <c r="U566" s="3"/>
      <c r="V566" s="3"/>
      <c r="W566" s="3"/>
      <c r="X566" s="3"/>
      <c r="Y566" s="3"/>
      <c r="Z566" s="3"/>
    </row>
    <row r="567" hidden="1">
      <c r="A567" s="27" t="s">
        <v>2809</v>
      </c>
      <c r="B567" s="29" t="s">
        <v>724</v>
      </c>
      <c r="C567" s="3"/>
      <c r="D567" s="3"/>
      <c r="E567" s="3"/>
      <c r="F567" s="3"/>
      <c r="G567" s="3"/>
      <c r="H567" s="3"/>
      <c r="I567" s="3"/>
      <c r="J567" s="3"/>
      <c r="K567" s="3"/>
      <c r="L567" s="3"/>
      <c r="M567" s="3"/>
      <c r="N567" s="3"/>
      <c r="O567" s="3"/>
      <c r="P567" s="3"/>
      <c r="Q567" s="3"/>
      <c r="R567" s="3"/>
      <c r="S567" s="3"/>
      <c r="T567" s="3"/>
      <c r="U567" s="3"/>
      <c r="V567" s="3"/>
      <c r="W567" s="3"/>
      <c r="X567" s="3"/>
      <c r="Y567" s="3"/>
      <c r="Z567" s="3"/>
    </row>
    <row r="568" hidden="1">
      <c r="A568" s="27" t="s">
        <v>2810</v>
      </c>
      <c r="B568" s="29" t="s">
        <v>725</v>
      </c>
      <c r="C568" s="3"/>
      <c r="D568" s="3"/>
      <c r="E568" s="3"/>
      <c r="F568" s="3"/>
      <c r="G568" s="3"/>
      <c r="H568" s="3"/>
      <c r="I568" s="3"/>
      <c r="J568" s="3"/>
      <c r="K568" s="3"/>
      <c r="L568" s="3"/>
      <c r="M568" s="3"/>
      <c r="N568" s="3"/>
      <c r="O568" s="3"/>
      <c r="P568" s="3"/>
      <c r="Q568" s="3"/>
      <c r="R568" s="3"/>
      <c r="S568" s="3"/>
      <c r="T568" s="3"/>
      <c r="U568" s="3"/>
      <c r="V568" s="3"/>
      <c r="W568" s="3"/>
      <c r="X568" s="3"/>
      <c r="Y568" s="3"/>
      <c r="Z568" s="3"/>
    </row>
    <row r="569" hidden="1">
      <c r="A569" s="27" t="s">
        <v>2811</v>
      </c>
      <c r="B569" s="29" t="s">
        <v>726</v>
      </c>
      <c r="C569" s="3"/>
      <c r="D569" s="3"/>
      <c r="E569" s="3"/>
      <c r="F569" s="3"/>
      <c r="G569" s="3"/>
      <c r="H569" s="3"/>
      <c r="I569" s="3"/>
      <c r="J569" s="3"/>
      <c r="K569" s="3"/>
      <c r="L569" s="3"/>
      <c r="M569" s="3"/>
      <c r="N569" s="3"/>
      <c r="O569" s="3"/>
      <c r="P569" s="3"/>
      <c r="Q569" s="3"/>
      <c r="R569" s="3"/>
      <c r="S569" s="3"/>
      <c r="T569" s="3"/>
      <c r="U569" s="3"/>
      <c r="V569" s="3"/>
      <c r="W569" s="3"/>
      <c r="X569" s="3"/>
      <c r="Y569" s="3"/>
      <c r="Z569" s="3"/>
    </row>
    <row r="570" hidden="1">
      <c r="A570" s="27" t="s">
        <v>2812</v>
      </c>
      <c r="B570" s="29" t="s">
        <v>727</v>
      </c>
      <c r="C570" s="3"/>
      <c r="D570" s="3"/>
      <c r="E570" s="3"/>
      <c r="F570" s="3"/>
      <c r="G570" s="3"/>
      <c r="H570" s="3"/>
      <c r="I570" s="3"/>
      <c r="J570" s="3"/>
      <c r="K570" s="3"/>
      <c r="L570" s="3"/>
      <c r="M570" s="3"/>
      <c r="N570" s="3"/>
      <c r="O570" s="3"/>
      <c r="P570" s="3"/>
      <c r="Q570" s="3"/>
      <c r="R570" s="3"/>
      <c r="S570" s="3"/>
      <c r="T570" s="3"/>
      <c r="U570" s="3"/>
      <c r="V570" s="3"/>
      <c r="W570" s="3"/>
      <c r="X570" s="3"/>
      <c r="Y570" s="3"/>
      <c r="Z570" s="3"/>
    </row>
    <row r="571" hidden="1">
      <c r="A571" s="27" t="s">
        <v>2813</v>
      </c>
      <c r="B571" s="29" t="s">
        <v>729</v>
      </c>
      <c r="C571" s="3"/>
      <c r="D571" s="3"/>
      <c r="E571" s="3"/>
      <c r="F571" s="3"/>
      <c r="G571" s="3"/>
      <c r="H571" s="3"/>
      <c r="I571" s="3"/>
      <c r="J571" s="3"/>
      <c r="K571" s="3"/>
      <c r="L571" s="3"/>
      <c r="M571" s="3"/>
      <c r="N571" s="3"/>
      <c r="O571" s="3"/>
      <c r="P571" s="3"/>
      <c r="Q571" s="3"/>
      <c r="R571" s="3"/>
      <c r="S571" s="3"/>
      <c r="T571" s="3"/>
      <c r="U571" s="3"/>
      <c r="V571" s="3"/>
      <c r="W571" s="3"/>
      <c r="X571" s="3"/>
      <c r="Y571" s="3"/>
      <c r="Z571" s="3"/>
    </row>
    <row r="572" hidden="1">
      <c r="A572" s="27" t="s">
        <v>2814</v>
      </c>
      <c r="B572" s="29" t="s">
        <v>730</v>
      </c>
      <c r="C572" s="3"/>
      <c r="D572" s="3"/>
      <c r="E572" s="3"/>
      <c r="F572" s="3"/>
      <c r="G572" s="3"/>
      <c r="H572" s="3"/>
      <c r="I572" s="3"/>
      <c r="J572" s="3"/>
      <c r="K572" s="3"/>
      <c r="L572" s="3"/>
      <c r="M572" s="3"/>
      <c r="N572" s="3"/>
      <c r="O572" s="3"/>
      <c r="P572" s="3"/>
      <c r="Q572" s="3"/>
      <c r="R572" s="3"/>
      <c r="S572" s="3"/>
      <c r="T572" s="3"/>
      <c r="U572" s="3"/>
      <c r="V572" s="3"/>
      <c r="W572" s="3"/>
      <c r="X572" s="3"/>
      <c r="Y572" s="3"/>
      <c r="Z572" s="3"/>
    </row>
    <row r="573" hidden="1">
      <c r="A573" s="27" t="s">
        <v>2815</v>
      </c>
      <c r="B573" s="29" t="s">
        <v>731</v>
      </c>
      <c r="C573" s="3"/>
      <c r="D573" s="3"/>
      <c r="E573" s="3"/>
      <c r="F573" s="3"/>
      <c r="G573" s="3"/>
      <c r="H573" s="3"/>
      <c r="I573" s="3"/>
      <c r="J573" s="3"/>
      <c r="K573" s="3"/>
      <c r="L573" s="3"/>
      <c r="M573" s="3"/>
      <c r="N573" s="3"/>
      <c r="O573" s="3"/>
      <c r="P573" s="3"/>
      <c r="Q573" s="3"/>
      <c r="R573" s="3"/>
      <c r="S573" s="3"/>
      <c r="T573" s="3"/>
      <c r="U573" s="3"/>
      <c r="V573" s="3"/>
      <c r="W573" s="3"/>
      <c r="X573" s="3"/>
      <c r="Y573" s="3"/>
      <c r="Z573" s="3"/>
    </row>
    <row r="574" hidden="1">
      <c r="A574" s="27" t="s">
        <v>2816</v>
      </c>
      <c r="B574" s="29" t="s">
        <v>732</v>
      </c>
      <c r="C574" s="3"/>
      <c r="D574" s="3"/>
      <c r="E574" s="3"/>
      <c r="F574" s="3"/>
      <c r="G574" s="3"/>
      <c r="H574" s="3"/>
      <c r="I574" s="3"/>
      <c r="J574" s="3"/>
      <c r="K574" s="3"/>
      <c r="L574" s="3"/>
      <c r="M574" s="3"/>
      <c r="N574" s="3"/>
      <c r="O574" s="3"/>
      <c r="P574" s="3"/>
      <c r="Q574" s="3"/>
      <c r="R574" s="3"/>
      <c r="S574" s="3"/>
      <c r="T574" s="3"/>
      <c r="U574" s="3"/>
      <c r="V574" s="3"/>
      <c r="W574" s="3"/>
      <c r="X574" s="3"/>
      <c r="Y574" s="3"/>
      <c r="Z574" s="3"/>
    </row>
    <row r="575" hidden="1">
      <c r="A575" s="27" t="s">
        <v>2817</v>
      </c>
      <c r="B575" s="29" t="s">
        <v>733</v>
      </c>
      <c r="C575" s="3"/>
      <c r="D575" s="3"/>
      <c r="E575" s="3"/>
      <c r="F575" s="3"/>
      <c r="G575" s="3"/>
      <c r="H575" s="3"/>
      <c r="I575" s="3"/>
      <c r="J575" s="3"/>
      <c r="K575" s="3"/>
      <c r="L575" s="3"/>
      <c r="M575" s="3"/>
      <c r="N575" s="3"/>
      <c r="O575" s="3"/>
      <c r="P575" s="3"/>
      <c r="Q575" s="3"/>
      <c r="R575" s="3"/>
      <c r="S575" s="3"/>
      <c r="T575" s="3"/>
      <c r="U575" s="3"/>
      <c r="V575" s="3"/>
      <c r="W575" s="3"/>
      <c r="X575" s="3"/>
      <c r="Y575" s="3"/>
      <c r="Z575" s="3"/>
    </row>
    <row r="576" hidden="1">
      <c r="A576" s="27" t="s">
        <v>2818</v>
      </c>
      <c r="B576" s="29" t="s">
        <v>734</v>
      </c>
      <c r="C576" s="3"/>
      <c r="D576" s="3"/>
      <c r="E576" s="3"/>
      <c r="F576" s="3"/>
      <c r="G576" s="3"/>
      <c r="H576" s="3"/>
      <c r="I576" s="3"/>
      <c r="J576" s="3"/>
      <c r="K576" s="3"/>
      <c r="L576" s="3"/>
      <c r="M576" s="3"/>
      <c r="N576" s="3"/>
      <c r="O576" s="3"/>
      <c r="P576" s="3"/>
      <c r="Q576" s="3"/>
      <c r="R576" s="3"/>
      <c r="S576" s="3"/>
      <c r="T576" s="3"/>
      <c r="U576" s="3"/>
      <c r="V576" s="3"/>
      <c r="W576" s="3"/>
      <c r="X576" s="3"/>
      <c r="Y576" s="3"/>
      <c r="Z576" s="3"/>
    </row>
    <row r="577" hidden="1">
      <c r="A577" s="27" t="s">
        <v>2819</v>
      </c>
      <c r="B577" s="29" t="s">
        <v>736</v>
      </c>
      <c r="C577" s="3"/>
      <c r="D577" s="3"/>
      <c r="E577" s="3"/>
      <c r="F577" s="3"/>
      <c r="G577" s="3"/>
      <c r="H577" s="3"/>
      <c r="I577" s="3"/>
      <c r="J577" s="3"/>
      <c r="K577" s="3"/>
      <c r="L577" s="3"/>
      <c r="M577" s="3"/>
      <c r="N577" s="3"/>
      <c r="O577" s="3"/>
      <c r="P577" s="3"/>
      <c r="Q577" s="3"/>
      <c r="R577" s="3"/>
      <c r="S577" s="3"/>
      <c r="T577" s="3"/>
      <c r="U577" s="3"/>
      <c r="V577" s="3"/>
      <c r="W577" s="3"/>
      <c r="X577" s="3"/>
      <c r="Y577" s="3"/>
      <c r="Z577" s="3"/>
    </row>
    <row r="578" hidden="1">
      <c r="A578" s="27" t="s">
        <v>2820</v>
      </c>
      <c r="B578" s="29" t="s">
        <v>737</v>
      </c>
      <c r="C578" s="3"/>
      <c r="D578" s="3"/>
      <c r="E578" s="3"/>
      <c r="F578" s="3"/>
      <c r="G578" s="3"/>
      <c r="H578" s="3"/>
      <c r="I578" s="3"/>
      <c r="J578" s="3"/>
      <c r="K578" s="3"/>
      <c r="L578" s="3"/>
      <c r="M578" s="3"/>
      <c r="N578" s="3"/>
      <c r="O578" s="3"/>
      <c r="P578" s="3"/>
      <c r="Q578" s="3"/>
      <c r="R578" s="3"/>
      <c r="S578" s="3"/>
      <c r="T578" s="3"/>
      <c r="U578" s="3"/>
      <c r="V578" s="3"/>
      <c r="W578" s="3"/>
      <c r="X578" s="3"/>
      <c r="Y578" s="3"/>
      <c r="Z578" s="3"/>
    </row>
    <row r="579" hidden="1">
      <c r="A579" s="27" t="s">
        <v>2821</v>
      </c>
      <c r="B579" s="29" t="s">
        <v>738</v>
      </c>
      <c r="C579" s="3"/>
      <c r="D579" s="3"/>
      <c r="E579" s="3"/>
      <c r="F579" s="3"/>
      <c r="G579" s="3"/>
      <c r="H579" s="3"/>
      <c r="I579" s="3"/>
      <c r="J579" s="3"/>
      <c r="K579" s="3"/>
      <c r="L579" s="3"/>
      <c r="M579" s="3"/>
      <c r="N579" s="3"/>
      <c r="O579" s="3"/>
      <c r="P579" s="3"/>
      <c r="Q579" s="3"/>
      <c r="R579" s="3"/>
      <c r="S579" s="3"/>
      <c r="T579" s="3"/>
      <c r="U579" s="3"/>
      <c r="V579" s="3"/>
      <c r="W579" s="3"/>
      <c r="X579" s="3"/>
      <c r="Y579" s="3"/>
      <c r="Z579" s="3"/>
    </row>
    <row r="580" hidden="1">
      <c r="A580" s="27" t="s">
        <v>2822</v>
      </c>
      <c r="B580" s="29" t="s">
        <v>739</v>
      </c>
      <c r="C580" s="3"/>
      <c r="D580" s="3"/>
      <c r="E580" s="3"/>
      <c r="F580" s="3"/>
      <c r="G580" s="3"/>
      <c r="H580" s="3"/>
      <c r="I580" s="3"/>
      <c r="J580" s="3"/>
      <c r="K580" s="3"/>
      <c r="L580" s="3"/>
      <c r="M580" s="3"/>
      <c r="N580" s="3"/>
      <c r="O580" s="3"/>
      <c r="P580" s="3"/>
      <c r="Q580" s="3"/>
      <c r="R580" s="3"/>
      <c r="S580" s="3"/>
      <c r="T580" s="3"/>
      <c r="U580" s="3"/>
      <c r="V580" s="3"/>
      <c r="W580" s="3"/>
      <c r="X580" s="3"/>
      <c r="Y580" s="3"/>
      <c r="Z580" s="3"/>
    </row>
    <row r="581" hidden="1">
      <c r="A581" s="27" t="s">
        <v>2823</v>
      </c>
      <c r="B581" s="29" t="s">
        <v>740</v>
      </c>
      <c r="C581" s="3"/>
      <c r="D581" s="3"/>
      <c r="E581" s="3"/>
      <c r="F581" s="3"/>
      <c r="G581" s="3"/>
      <c r="H581" s="3"/>
      <c r="I581" s="3"/>
      <c r="J581" s="3"/>
      <c r="K581" s="3"/>
      <c r="L581" s="3"/>
      <c r="M581" s="3"/>
      <c r="N581" s="3"/>
      <c r="O581" s="3"/>
      <c r="P581" s="3"/>
      <c r="Q581" s="3"/>
      <c r="R581" s="3"/>
      <c r="S581" s="3"/>
      <c r="T581" s="3"/>
      <c r="U581" s="3"/>
      <c r="V581" s="3"/>
      <c r="W581" s="3"/>
      <c r="X581" s="3"/>
      <c r="Y581" s="3"/>
      <c r="Z581" s="3"/>
    </row>
    <row r="582" hidden="1">
      <c r="A582" s="27" t="s">
        <v>2824</v>
      </c>
      <c r="B582" s="29" t="s">
        <v>741</v>
      </c>
      <c r="C582" s="3"/>
      <c r="D582" s="3"/>
      <c r="E582" s="3"/>
      <c r="F582" s="3"/>
      <c r="G582" s="3"/>
      <c r="H582" s="3"/>
      <c r="I582" s="3"/>
      <c r="J582" s="3"/>
      <c r="K582" s="3"/>
      <c r="L582" s="3"/>
      <c r="M582" s="3"/>
      <c r="N582" s="3"/>
      <c r="O582" s="3"/>
      <c r="P582" s="3"/>
      <c r="Q582" s="3"/>
      <c r="R582" s="3"/>
      <c r="S582" s="3"/>
      <c r="T582" s="3"/>
      <c r="U582" s="3"/>
      <c r="V582" s="3"/>
      <c r="W582" s="3"/>
      <c r="X582" s="3"/>
      <c r="Y582" s="3"/>
      <c r="Z582" s="3"/>
    </row>
    <row r="583" hidden="1">
      <c r="A583" s="27" t="s">
        <v>2825</v>
      </c>
      <c r="B583" s="29" t="s">
        <v>742</v>
      </c>
      <c r="C583" s="3"/>
      <c r="D583" s="3"/>
      <c r="E583" s="3"/>
      <c r="F583" s="3"/>
      <c r="G583" s="3"/>
      <c r="H583" s="3"/>
      <c r="I583" s="3"/>
      <c r="J583" s="3"/>
      <c r="K583" s="3"/>
      <c r="L583" s="3"/>
      <c r="M583" s="3"/>
      <c r="N583" s="3"/>
      <c r="O583" s="3"/>
      <c r="P583" s="3"/>
      <c r="Q583" s="3"/>
      <c r="R583" s="3"/>
      <c r="S583" s="3"/>
      <c r="T583" s="3"/>
      <c r="U583" s="3"/>
      <c r="V583" s="3"/>
      <c r="W583" s="3"/>
      <c r="X583" s="3"/>
      <c r="Y583" s="3"/>
      <c r="Z583" s="3"/>
    </row>
    <row r="584" hidden="1">
      <c r="A584" s="27" t="s">
        <v>2826</v>
      </c>
      <c r="B584" s="29" t="s">
        <v>744</v>
      </c>
      <c r="C584" s="3"/>
      <c r="D584" s="3"/>
      <c r="E584" s="3"/>
      <c r="F584" s="3"/>
      <c r="G584" s="3"/>
      <c r="H584" s="3"/>
      <c r="I584" s="3"/>
      <c r="J584" s="3"/>
      <c r="K584" s="3"/>
      <c r="L584" s="3"/>
      <c r="M584" s="3"/>
      <c r="N584" s="3"/>
      <c r="O584" s="3"/>
      <c r="P584" s="3"/>
      <c r="Q584" s="3"/>
      <c r="R584" s="3"/>
      <c r="S584" s="3"/>
      <c r="T584" s="3"/>
      <c r="U584" s="3"/>
      <c r="V584" s="3"/>
      <c r="W584" s="3"/>
      <c r="X584" s="3"/>
      <c r="Y584" s="3"/>
      <c r="Z584" s="3"/>
    </row>
    <row r="585" hidden="1">
      <c r="A585" s="27" t="s">
        <v>2827</v>
      </c>
      <c r="B585" s="29" t="s">
        <v>745</v>
      </c>
      <c r="C585" s="3"/>
      <c r="D585" s="3"/>
      <c r="E585" s="3"/>
      <c r="F585" s="3"/>
      <c r="G585" s="3"/>
      <c r="H585" s="3"/>
      <c r="I585" s="3"/>
      <c r="J585" s="3"/>
      <c r="K585" s="3"/>
      <c r="L585" s="3"/>
      <c r="M585" s="3"/>
      <c r="N585" s="3"/>
      <c r="O585" s="3"/>
      <c r="P585" s="3"/>
      <c r="Q585" s="3"/>
      <c r="R585" s="3"/>
      <c r="S585" s="3"/>
      <c r="T585" s="3"/>
      <c r="U585" s="3"/>
      <c r="V585" s="3"/>
      <c r="W585" s="3"/>
      <c r="X585" s="3"/>
      <c r="Y585" s="3"/>
      <c r="Z585" s="3"/>
    </row>
    <row r="586" hidden="1">
      <c r="A586" s="27" t="s">
        <v>2828</v>
      </c>
      <c r="B586" s="29" t="s">
        <v>746</v>
      </c>
      <c r="C586" s="3"/>
      <c r="D586" s="3"/>
      <c r="E586" s="3"/>
      <c r="F586" s="3"/>
      <c r="G586" s="3"/>
      <c r="H586" s="3"/>
      <c r="I586" s="3"/>
      <c r="J586" s="3"/>
      <c r="K586" s="3"/>
      <c r="L586" s="3"/>
      <c r="M586" s="3"/>
      <c r="N586" s="3"/>
      <c r="O586" s="3"/>
      <c r="P586" s="3"/>
      <c r="Q586" s="3"/>
      <c r="R586" s="3"/>
      <c r="S586" s="3"/>
      <c r="T586" s="3"/>
      <c r="U586" s="3"/>
      <c r="V586" s="3"/>
      <c r="W586" s="3"/>
      <c r="X586" s="3"/>
      <c r="Y586" s="3"/>
      <c r="Z586" s="3"/>
    </row>
    <row r="587" hidden="1">
      <c r="A587" s="27" t="s">
        <v>2829</v>
      </c>
      <c r="B587" s="29" t="s">
        <v>747</v>
      </c>
      <c r="C587" s="3"/>
      <c r="D587" s="3"/>
      <c r="E587" s="3"/>
      <c r="F587" s="3"/>
      <c r="G587" s="3"/>
      <c r="H587" s="3"/>
      <c r="I587" s="3"/>
      <c r="J587" s="3"/>
      <c r="K587" s="3"/>
      <c r="L587" s="3"/>
      <c r="M587" s="3"/>
      <c r="N587" s="3"/>
      <c r="O587" s="3"/>
      <c r="P587" s="3"/>
      <c r="Q587" s="3"/>
      <c r="R587" s="3"/>
      <c r="S587" s="3"/>
      <c r="T587" s="3"/>
      <c r="U587" s="3"/>
      <c r="V587" s="3"/>
      <c r="W587" s="3"/>
      <c r="X587" s="3"/>
      <c r="Y587" s="3"/>
      <c r="Z587" s="3"/>
    </row>
    <row r="588" hidden="1">
      <c r="A588" s="27" t="s">
        <v>2830</v>
      </c>
      <c r="B588" s="29" t="s">
        <v>748</v>
      </c>
      <c r="C588" s="3"/>
      <c r="D588" s="3"/>
      <c r="E588" s="3"/>
      <c r="F588" s="3"/>
      <c r="G588" s="3"/>
      <c r="H588" s="3"/>
      <c r="I588" s="3"/>
      <c r="J588" s="3"/>
      <c r="K588" s="3"/>
      <c r="L588" s="3"/>
      <c r="M588" s="3"/>
      <c r="N588" s="3"/>
      <c r="O588" s="3"/>
      <c r="P588" s="3"/>
      <c r="Q588" s="3"/>
      <c r="R588" s="3"/>
      <c r="S588" s="3"/>
      <c r="T588" s="3"/>
      <c r="U588" s="3"/>
      <c r="V588" s="3"/>
      <c r="W588" s="3"/>
      <c r="X588" s="3"/>
      <c r="Y588" s="3"/>
      <c r="Z588" s="3"/>
    </row>
    <row r="589" hidden="1">
      <c r="A589" s="27" t="s">
        <v>2831</v>
      </c>
      <c r="B589" s="29" t="s">
        <v>749</v>
      </c>
      <c r="C589" s="3"/>
      <c r="D589" s="3"/>
      <c r="E589" s="3"/>
      <c r="F589" s="3"/>
      <c r="G589" s="3"/>
      <c r="H589" s="3"/>
      <c r="I589" s="3"/>
      <c r="J589" s="3"/>
      <c r="K589" s="3"/>
      <c r="L589" s="3"/>
      <c r="M589" s="3"/>
      <c r="N589" s="3"/>
      <c r="O589" s="3"/>
      <c r="P589" s="3"/>
      <c r="Q589" s="3"/>
      <c r="R589" s="3"/>
      <c r="S589" s="3"/>
      <c r="T589" s="3"/>
      <c r="U589" s="3"/>
      <c r="V589" s="3"/>
      <c r="W589" s="3"/>
      <c r="X589" s="3"/>
      <c r="Y589" s="3"/>
      <c r="Z589" s="3"/>
    </row>
    <row r="590" hidden="1">
      <c r="A590" s="27" t="s">
        <v>2832</v>
      </c>
      <c r="B590" s="29" t="s">
        <v>750</v>
      </c>
      <c r="C590" s="3"/>
      <c r="D590" s="3"/>
      <c r="E590" s="3"/>
      <c r="F590" s="3"/>
      <c r="G590" s="3"/>
      <c r="H590" s="3"/>
      <c r="I590" s="3"/>
      <c r="J590" s="3"/>
      <c r="K590" s="3"/>
      <c r="L590" s="3"/>
      <c r="M590" s="3"/>
      <c r="N590" s="3"/>
      <c r="O590" s="3"/>
      <c r="P590" s="3"/>
      <c r="Q590" s="3"/>
      <c r="R590" s="3"/>
      <c r="S590" s="3"/>
      <c r="T590" s="3"/>
      <c r="U590" s="3"/>
      <c r="V590" s="3"/>
      <c r="W590" s="3"/>
      <c r="X590" s="3"/>
      <c r="Y590" s="3"/>
      <c r="Z590" s="3"/>
    </row>
    <row r="591" hidden="1">
      <c r="A591" s="27" t="s">
        <v>2833</v>
      </c>
      <c r="B591" s="29" t="s">
        <v>752</v>
      </c>
      <c r="C591" s="3"/>
      <c r="D591" s="3"/>
      <c r="E591" s="3"/>
      <c r="F591" s="3"/>
      <c r="G591" s="3"/>
      <c r="H591" s="3"/>
      <c r="I591" s="3"/>
      <c r="J591" s="3"/>
      <c r="K591" s="3"/>
      <c r="L591" s="3"/>
      <c r="M591" s="3"/>
      <c r="N591" s="3"/>
      <c r="O591" s="3"/>
      <c r="P591" s="3"/>
      <c r="Q591" s="3"/>
      <c r="R591" s="3"/>
      <c r="S591" s="3"/>
      <c r="T591" s="3"/>
      <c r="U591" s="3"/>
      <c r="V591" s="3"/>
      <c r="W591" s="3"/>
      <c r="X591" s="3"/>
      <c r="Y591" s="3"/>
      <c r="Z591" s="3"/>
    </row>
    <row r="592" hidden="1">
      <c r="A592" s="27" t="s">
        <v>2834</v>
      </c>
      <c r="B592" s="29" t="s">
        <v>753</v>
      </c>
      <c r="C592" s="3"/>
      <c r="D592" s="3"/>
      <c r="E592" s="3"/>
      <c r="F592" s="3"/>
      <c r="G592" s="3"/>
      <c r="H592" s="3"/>
      <c r="I592" s="3"/>
      <c r="J592" s="3"/>
      <c r="K592" s="3"/>
      <c r="L592" s="3"/>
      <c r="M592" s="3"/>
      <c r="N592" s="3"/>
      <c r="O592" s="3"/>
      <c r="P592" s="3"/>
      <c r="Q592" s="3"/>
      <c r="R592" s="3"/>
      <c r="S592" s="3"/>
      <c r="T592" s="3"/>
      <c r="U592" s="3"/>
      <c r="V592" s="3"/>
      <c r="W592" s="3"/>
      <c r="X592" s="3"/>
      <c r="Y592" s="3"/>
      <c r="Z592" s="3"/>
    </row>
    <row r="593" hidden="1">
      <c r="A593" s="27" t="s">
        <v>2835</v>
      </c>
      <c r="B593" s="29" t="s">
        <v>754</v>
      </c>
      <c r="C593" s="3"/>
      <c r="D593" s="3"/>
      <c r="E593" s="3"/>
      <c r="F593" s="3"/>
      <c r="G593" s="3"/>
      <c r="H593" s="3"/>
      <c r="I593" s="3"/>
      <c r="J593" s="3"/>
      <c r="K593" s="3"/>
      <c r="L593" s="3"/>
      <c r="M593" s="3"/>
      <c r="N593" s="3"/>
      <c r="O593" s="3"/>
      <c r="P593" s="3"/>
      <c r="Q593" s="3"/>
      <c r="R593" s="3"/>
      <c r="S593" s="3"/>
      <c r="T593" s="3"/>
      <c r="U593" s="3"/>
      <c r="V593" s="3"/>
      <c r="W593" s="3"/>
      <c r="X593" s="3"/>
      <c r="Y593" s="3"/>
      <c r="Z593" s="3"/>
    </row>
    <row r="594" hidden="1">
      <c r="A594" s="27" t="s">
        <v>2836</v>
      </c>
      <c r="B594" s="29" t="s">
        <v>755</v>
      </c>
      <c r="C594" s="3"/>
      <c r="D594" s="3"/>
      <c r="E594" s="3"/>
      <c r="F594" s="3"/>
      <c r="G594" s="3"/>
      <c r="H594" s="3"/>
      <c r="I594" s="3"/>
      <c r="J594" s="3"/>
      <c r="K594" s="3"/>
      <c r="L594" s="3"/>
      <c r="M594" s="3"/>
      <c r="N594" s="3"/>
      <c r="O594" s="3"/>
      <c r="P594" s="3"/>
      <c r="Q594" s="3"/>
      <c r="R594" s="3"/>
      <c r="S594" s="3"/>
      <c r="T594" s="3"/>
      <c r="U594" s="3"/>
      <c r="V594" s="3"/>
      <c r="W594" s="3"/>
      <c r="X594" s="3"/>
      <c r="Y594" s="3"/>
      <c r="Z594" s="3"/>
    </row>
    <row r="595" hidden="1">
      <c r="A595" s="27" t="s">
        <v>2837</v>
      </c>
      <c r="B595" s="29" t="s">
        <v>756</v>
      </c>
      <c r="C595" s="3"/>
      <c r="D595" s="3"/>
      <c r="E595" s="3"/>
      <c r="F595" s="3"/>
      <c r="G595" s="3"/>
      <c r="H595" s="3"/>
      <c r="I595" s="3"/>
      <c r="J595" s="3"/>
      <c r="K595" s="3"/>
      <c r="L595" s="3"/>
      <c r="M595" s="3"/>
      <c r="N595" s="3"/>
      <c r="O595" s="3"/>
      <c r="P595" s="3"/>
      <c r="Q595" s="3"/>
      <c r="R595" s="3"/>
      <c r="S595" s="3"/>
      <c r="T595" s="3"/>
      <c r="U595" s="3"/>
      <c r="V595" s="3"/>
      <c r="W595" s="3"/>
      <c r="X595" s="3"/>
      <c r="Y595" s="3"/>
      <c r="Z595" s="3"/>
    </row>
    <row r="596" hidden="1">
      <c r="A596" s="27" t="s">
        <v>2838</v>
      </c>
      <c r="B596" s="29" t="s">
        <v>757</v>
      </c>
      <c r="C596" s="3"/>
      <c r="D596" s="3"/>
      <c r="E596" s="3"/>
      <c r="F596" s="3"/>
      <c r="G596" s="3"/>
      <c r="H596" s="3"/>
      <c r="I596" s="3"/>
      <c r="J596" s="3"/>
      <c r="K596" s="3"/>
      <c r="L596" s="3"/>
      <c r="M596" s="3"/>
      <c r="N596" s="3"/>
      <c r="O596" s="3"/>
      <c r="P596" s="3"/>
      <c r="Q596" s="3"/>
      <c r="R596" s="3"/>
      <c r="S596" s="3"/>
      <c r="T596" s="3"/>
      <c r="U596" s="3"/>
      <c r="V596" s="3"/>
      <c r="W596" s="3"/>
      <c r="X596" s="3"/>
      <c r="Y596" s="3"/>
      <c r="Z596" s="3"/>
    </row>
    <row r="597" hidden="1">
      <c r="A597" s="27" t="s">
        <v>2839</v>
      </c>
      <c r="B597" s="29" t="s">
        <v>759</v>
      </c>
      <c r="C597" s="3"/>
      <c r="D597" s="3"/>
      <c r="E597" s="3"/>
      <c r="F597" s="3"/>
      <c r="G597" s="3"/>
      <c r="H597" s="3"/>
      <c r="I597" s="3"/>
      <c r="J597" s="3"/>
      <c r="K597" s="3"/>
      <c r="L597" s="3"/>
      <c r="M597" s="3"/>
      <c r="N597" s="3"/>
      <c r="O597" s="3"/>
      <c r="P597" s="3"/>
      <c r="Q597" s="3"/>
      <c r="R597" s="3"/>
      <c r="S597" s="3"/>
      <c r="T597" s="3"/>
      <c r="U597" s="3"/>
      <c r="V597" s="3"/>
      <c r="W597" s="3"/>
      <c r="X597" s="3"/>
      <c r="Y597" s="3"/>
      <c r="Z597" s="3"/>
    </row>
    <row r="598" hidden="1">
      <c r="A598" s="27" t="s">
        <v>2840</v>
      </c>
      <c r="B598" s="29" t="s">
        <v>760</v>
      </c>
      <c r="C598" s="3"/>
      <c r="D598" s="3"/>
      <c r="E598" s="3"/>
      <c r="F598" s="3"/>
      <c r="G598" s="3"/>
      <c r="H598" s="3"/>
      <c r="I598" s="3"/>
      <c r="J598" s="3"/>
      <c r="K598" s="3"/>
      <c r="L598" s="3"/>
      <c r="M598" s="3"/>
      <c r="N598" s="3"/>
      <c r="O598" s="3"/>
      <c r="P598" s="3"/>
      <c r="Q598" s="3"/>
      <c r="R598" s="3"/>
      <c r="S598" s="3"/>
      <c r="T598" s="3"/>
      <c r="U598" s="3"/>
      <c r="V598" s="3"/>
      <c r="W598" s="3"/>
      <c r="X598" s="3"/>
      <c r="Y598" s="3"/>
      <c r="Z598" s="3"/>
    </row>
    <row r="599" hidden="1">
      <c r="A599" s="27" t="s">
        <v>2841</v>
      </c>
      <c r="B599" s="29" t="s">
        <v>761</v>
      </c>
      <c r="C599" s="3"/>
      <c r="D599" s="3"/>
      <c r="E599" s="3"/>
      <c r="F599" s="3"/>
      <c r="G599" s="3"/>
      <c r="H599" s="3"/>
      <c r="I599" s="3"/>
      <c r="J599" s="3"/>
      <c r="K599" s="3"/>
      <c r="L599" s="3"/>
      <c r="M599" s="3"/>
      <c r="N599" s="3"/>
      <c r="O599" s="3"/>
      <c r="P599" s="3"/>
      <c r="Q599" s="3"/>
      <c r="R599" s="3"/>
      <c r="S599" s="3"/>
      <c r="T599" s="3"/>
      <c r="U599" s="3"/>
      <c r="V599" s="3"/>
      <c r="W599" s="3"/>
      <c r="X599" s="3"/>
      <c r="Y599" s="3"/>
      <c r="Z599" s="3"/>
    </row>
    <row r="600" hidden="1">
      <c r="A600" s="27" t="s">
        <v>2842</v>
      </c>
      <c r="B600" s="29" t="s">
        <v>762</v>
      </c>
      <c r="C600" s="3"/>
      <c r="D600" s="3"/>
      <c r="E600" s="3"/>
      <c r="F600" s="3"/>
      <c r="G600" s="3"/>
      <c r="H600" s="3"/>
      <c r="I600" s="3"/>
      <c r="J600" s="3"/>
      <c r="K600" s="3"/>
      <c r="L600" s="3"/>
      <c r="M600" s="3"/>
      <c r="N600" s="3"/>
      <c r="O600" s="3"/>
      <c r="P600" s="3"/>
      <c r="Q600" s="3"/>
      <c r="R600" s="3"/>
      <c r="S600" s="3"/>
      <c r="T600" s="3"/>
      <c r="U600" s="3"/>
      <c r="V600" s="3"/>
      <c r="W600" s="3"/>
      <c r="X600" s="3"/>
      <c r="Y600" s="3"/>
      <c r="Z600" s="3"/>
    </row>
    <row r="601" hidden="1">
      <c r="A601" s="27" t="s">
        <v>2843</v>
      </c>
      <c r="B601" s="29" t="s">
        <v>763</v>
      </c>
      <c r="C601" s="3"/>
      <c r="D601" s="3"/>
      <c r="E601" s="3"/>
      <c r="F601" s="3"/>
      <c r="G601" s="3"/>
      <c r="H601" s="3"/>
      <c r="I601" s="3"/>
      <c r="J601" s="3"/>
      <c r="K601" s="3"/>
      <c r="L601" s="3"/>
      <c r="M601" s="3"/>
      <c r="N601" s="3"/>
      <c r="O601" s="3"/>
      <c r="P601" s="3"/>
      <c r="Q601" s="3"/>
      <c r="R601" s="3"/>
      <c r="S601" s="3"/>
      <c r="T601" s="3"/>
      <c r="U601" s="3"/>
      <c r="V601" s="3"/>
      <c r="W601" s="3"/>
      <c r="X601" s="3"/>
      <c r="Y601" s="3"/>
      <c r="Z601" s="3"/>
    </row>
    <row r="602" hidden="1">
      <c r="A602" s="27" t="s">
        <v>2844</v>
      </c>
      <c r="B602" s="29" t="s">
        <v>764</v>
      </c>
      <c r="C602" s="3"/>
      <c r="D602" s="3"/>
      <c r="E602" s="3"/>
      <c r="F602" s="3"/>
      <c r="G602" s="3"/>
      <c r="H602" s="3"/>
      <c r="I602" s="3"/>
      <c r="J602" s="3"/>
      <c r="K602" s="3"/>
      <c r="L602" s="3"/>
      <c r="M602" s="3"/>
      <c r="N602" s="3"/>
      <c r="O602" s="3"/>
      <c r="P602" s="3"/>
      <c r="Q602" s="3"/>
      <c r="R602" s="3"/>
      <c r="S602" s="3"/>
      <c r="T602" s="3"/>
      <c r="U602" s="3"/>
      <c r="V602" s="3"/>
      <c r="W602" s="3"/>
      <c r="X602" s="3"/>
      <c r="Y602" s="3"/>
      <c r="Z602" s="3"/>
    </row>
    <row r="603" hidden="1">
      <c r="A603" s="27" t="s">
        <v>2845</v>
      </c>
      <c r="B603" s="29" t="s">
        <v>766</v>
      </c>
      <c r="C603" s="3"/>
      <c r="D603" s="3"/>
      <c r="E603" s="3"/>
      <c r="F603" s="3"/>
      <c r="G603" s="3"/>
      <c r="H603" s="3"/>
      <c r="I603" s="3"/>
      <c r="J603" s="3"/>
      <c r="K603" s="3"/>
      <c r="L603" s="3"/>
      <c r="M603" s="3"/>
      <c r="N603" s="3"/>
      <c r="O603" s="3"/>
      <c r="P603" s="3"/>
      <c r="Q603" s="3"/>
      <c r="R603" s="3"/>
      <c r="S603" s="3"/>
      <c r="T603" s="3"/>
      <c r="U603" s="3"/>
      <c r="V603" s="3"/>
      <c r="W603" s="3"/>
      <c r="X603" s="3"/>
      <c r="Y603" s="3"/>
      <c r="Z603" s="3"/>
    </row>
    <row r="604" hidden="1">
      <c r="A604" s="27" t="s">
        <v>2846</v>
      </c>
      <c r="B604" s="29" t="s">
        <v>767</v>
      </c>
      <c r="C604" s="3"/>
      <c r="D604" s="3"/>
      <c r="E604" s="3"/>
      <c r="F604" s="3"/>
      <c r="G604" s="3"/>
      <c r="H604" s="3"/>
      <c r="I604" s="3"/>
      <c r="J604" s="3"/>
      <c r="K604" s="3"/>
      <c r="L604" s="3"/>
      <c r="M604" s="3"/>
      <c r="N604" s="3"/>
      <c r="O604" s="3"/>
      <c r="P604" s="3"/>
      <c r="Q604" s="3"/>
      <c r="R604" s="3"/>
      <c r="S604" s="3"/>
      <c r="T604" s="3"/>
      <c r="U604" s="3"/>
      <c r="V604" s="3"/>
      <c r="W604" s="3"/>
      <c r="X604" s="3"/>
      <c r="Y604" s="3"/>
      <c r="Z604" s="3"/>
    </row>
    <row r="605" hidden="1">
      <c r="A605" s="27" t="s">
        <v>2847</v>
      </c>
      <c r="B605" s="29" t="s">
        <v>768</v>
      </c>
      <c r="C605" s="3"/>
      <c r="D605" s="3"/>
      <c r="E605" s="3"/>
      <c r="F605" s="3"/>
      <c r="G605" s="3"/>
      <c r="H605" s="3"/>
      <c r="I605" s="3"/>
      <c r="J605" s="3"/>
      <c r="K605" s="3"/>
      <c r="L605" s="3"/>
      <c r="M605" s="3"/>
      <c r="N605" s="3"/>
      <c r="O605" s="3"/>
      <c r="P605" s="3"/>
      <c r="Q605" s="3"/>
      <c r="R605" s="3"/>
      <c r="S605" s="3"/>
      <c r="T605" s="3"/>
      <c r="U605" s="3"/>
      <c r="V605" s="3"/>
      <c r="W605" s="3"/>
      <c r="X605" s="3"/>
      <c r="Y605" s="3"/>
      <c r="Z605" s="3"/>
    </row>
    <row r="606" hidden="1">
      <c r="A606" s="27" t="s">
        <v>2848</v>
      </c>
      <c r="B606" s="29" t="s">
        <v>770</v>
      </c>
      <c r="C606" s="3"/>
      <c r="D606" s="3"/>
      <c r="E606" s="3"/>
      <c r="F606" s="3"/>
      <c r="G606" s="3"/>
      <c r="H606" s="3"/>
      <c r="I606" s="3"/>
      <c r="J606" s="3"/>
      <c r="K606" s="3"/>
      <c r="L606" s="3"/>
      <c r="M606" s="3"/>
      <c r="N606" s="3"/>
      <c r="O606" s="3"/>
      <c r="P606" s="3"/>
      <c r="Q606" s="3"/>
      <c r="R606" s="3"/>
      <c r="S606" s="3"/>
      <c r="T606" s="3"/>
      <c r="U606" s="3"/>
      <c r="V606" s="3"/>
      <c r="W606" s="3"/>
      <c r="X606" s="3"/>
      <c r="Y606" s="3"/>
      <c r="Z606" s="3"/>
    </row>
    <row r="607" hidden="1">
      <c r="A607" s="27" t="s">
        <v>2849</v>
      </c>
      <c r="B607" s="29" t="s">
        <v>771</v>
      </c>
      <c r="C607" s="3"/>
      <c r="D607" s="3"/>
      <c r="E607" s="3"/>
      <c r="F607" s="3"/>
      <c r="G607" s="3"/>
      <c r="H607" s="3"/>
      <c r="I607" s="3"/>
      <c r="J607" s="3"/>
      <c r="K607" s="3"/>
      <c r="L607" s="3"/>
      <c r="M607" s="3"/>
      <c r="N607" s="3"/>
      <c r="O607" s="3"/>
      <c r="P607" s="3"/>
      <c r="Q607" s="3"/>
      <c r="R607" s="3"/>
      <c r="S607" s="3"/>
      <c r="T607" s="3"/>
      <c r="U607" s="3"/>
      <c r="V607" s="3"/>
      <c r="W607" s="3"/>
      <c r="X607" s="3"/>
      <c r="Y607" s="3"/>
      <c r="Z607" s="3"/>
    </row>
    <row r="608" hidden="1">
      <c r="A608" s="27" t="s">
        <v>2850</v>
      </c>
      <c r="B608" s="29" t="s">
        <v>772</v>
      </c>
      <c r="C608" s="3"/>
      <c r="D608" s="3"/>
      <c r="E608" s="3"/>
      <c r="F608" s="3"/>
      <c r="G608" s="3"/>
      <c r="H608" s="3"/>
      <c r="I608" s="3"/>
      <c r="J608" s="3"/>
      <c r="K608" s="3"/>
      <c r="L608" s="3"/>
      <c r="M608" s="3"/>
      <c r="N608" s="3"/>
      <c r="O608" s="3"/>
      <c r="P608" s="3"/>
      <c r="Q608" s="3"/>
      <c r="R608" s="3"/>
      <c r="S608" s="3"/>
      <c r="T608" s="3"/>
      <c r="U608" s="3"/>
      <c r="V608" s="3"/>
      <c r="W608" s="3"/>
      <c r="X608" s="3"/>
      <c r="Y608" s="3"/>
      <c r="Z608" s="3"/>
    </row>
    <row r="609" hidden="1">
      <c r="A609" s="27" t="s">
        <v>2851</v>
      </c>
      <c r="B609" s="29" t="s">
        <v>773</v>
      </c>
      <c r="C609" s="3"/>
      <c r="D609" s="3"/>
      <c r="E609" s="3"/>
      <c r="F609" s="3"/>
      <c r="G609" s="3"/>
      <c r="H609" s="3"/>
      <c r="I609" s="3"/>
      <c r="J609" s="3"/>
      <c r="K609" s="3"/>
      <c r="L609" s="3"/>
      <c r="M609" s="3"/>
      <c r="N609" s="3"/>
      <c r="O609" s="3"/>
      <c r="P609" s="3"/>
      <c r="Q609" s="3"/>
      <c r="R609" s="3"/>
      <c r="S609" s="3"/>
      <c r="T609" s="3"/>
      <c r="U609" s="3"/>
      <c r="V609" s="3"/>
      <c r="W609" s="3"/>
      <c r="X609" s="3"/>
      <c r="Y609" s="3"/>
      <c r="Z609" s="3"/>
    </row>
    <row r="610" hidden="1">
      <c r="A610" s="27" t="s">
        <v>2852</v>
      </c>
      <c r="B610" s="29" t="s">
        <v>774</v>
      </c>
      <c r="C610" s="3"/>
      <c r="D610" s="3"/>
      <c r="E610" s="3"/>
      <c r="F610" s="3"/>
      <c r="G610" s="3"/>
      <c r="H610" s="3"/>
      <c r="I610" s="3"/>
      <c r="J610" s="3"/>
      <c r="K610" s="3"/>
      <c r="L610" s="3"/>
      <c r="M610" s="3"/>
      <c r="N610" s="3"/>
      <c r="O610" s="3"/>
      <c r="P610" s="3"/>
      <c r="Q610" s="3"/>
      <c r="R610" s="3"/>
      <c r="S610" s="3"/>
      <c r="T610" s="3"/>
      <c r="U610" s="3"/>
      <c r="V610" s="3"/>
      <c r="W610" s="3"/>
      <c r="X610" s="3"/>
      <c r="Y610" s="3"/>
      <c r="Z610" s="3"/>
    </row>
    <row r="611" hidden="1">
      <c r="A611" s="27" t="s">
        <v>2853</v>
      </c>
      <c r="B611" s="29" t="s">
        <v>775</v>
      </c>
      <c r="C611" s="3"/>
      <c r="D611" s="3"/>
      <c r="E611" s="3"/>
      <c r="F611" s="3"/>
      <c r="G611" s="3"/>
      <c r="H611" s="3"/>
      <c r="I611" s="3"/>
      <c r="J611" s="3"/>
      <c r="K611" s="3"/>
      <c r="L611" s="3"/>
      <c r="M611" s="3"/>
      <c r="N611" s="3"/>
      <c r="O611" s="3"/>
      <c r="P611" s="3"/>
      <c r="Q611" s="3"/>
      <c r="R611" s="3"/>
      <c r="S611" s="3"/>
      <c r="T611" s="3"/>
      <c r="U611" s="3"/>
      <c r="V611" s="3"/>
      <c r="W611" s="3"/>
      <c r="X611" s="3"/>
      <c r="Y611" s="3"/>
      <c r="Z611" s="3"/>
    </row>
    <row r="612" hidden="1">
      <c r="A612" s="27" t="s">
        <v>2854</v>
      </c>
      <c r="B612" s="29" t="s">
        <v>777</v>
      </c>
      <c r="C612" s="3"/>
      <c r="D612" s="3"/>
      <c r="E612" s="3"/>
      <c r="F612" s="3"/>
      <c r="G612" s="3"/>
      <c r="H612" s="3"/>
      <c r="I612" s="3"/>
      <c r="J612" s="3"/>
      <c r="K612" s="3"/>
      <c r="L612" s="3"/>
      <c r="M612" s="3"/>
      <c r="N612" s="3"/>
      <c r="O612" s="3"/>
      <c r="P612" s="3"/>
      <c r="Q612" s="3"/>
      <c r="R612" s="3"/>
      <c r="S612" s="3"/>
      <c r="T612" s="3"/>
      <c r="U612" s="3"/>
      <c r="V612" s="3"/>
      <c r="W612" s="3"/>
      <c r="X612" s="3"/>
      <c r="Y612" s="3"/>
      <c r="Z612" s="3"/>
    </row>
    <row r="613" hidden="1">
      <c r="A613" s="27" t="s">
        <v>2855</v>
      </c>
      <c r="B613" s="29" t="s">
        <v>778</v>
      </c>
      <c r="C613" s="3"/>
      <c r="D613" s="3"/>
      <c r="E613" s="3"/>
      <c r="F613" s="3"/>
      <c r="G613" s="3"/>
      <c r="H613" s="3"/>
      <c r="I613" s="3"/>
      <c r="J613" s="3"/>
      <c r="K613" s="3"/>
      <c r="L613" s="3"/>
      <c r="M613" s="3"/>
      <c r="N613" s="3"/>
      <c r="O613" s="3"/>
      <c r="P613" s="3"/>
      <c r="Q613" s="3"/>
      <c r="R613" s="3"/>
      <c r="S613" s="3"/>
      <c r="T613" s="3"/>
      <c r="U613" s="3"/>
      <c r="V613" s="3"/>
      <c r="W613" s="3"/>
      <c r="X613" s="3"/>
      <c r="Y613" s="3"/>
      <c r="Z613" s="3"/>
    </row>
    <row r="614" hidden="1">
      <c r="A614" s="27" t="s">
        <v>2856</v>
      </c>
      <c r="B614" s="29" t="s">
        <v>779</v>
      </c>
      <c r="C614" s="3"/>
      <c r="D614" s="3"/>
      <c r="E614" s="3"/>
      <c r="F614" s="3"/>
      <c r="G614" s="3"/>
      <c r="H614" s="3"/>
      <c r="I614" s="3"/>
      <c r="J614" s="3"/>
      <c r="K614" s="3"/>
      <c r="L614" s="3"/>
      <c r="M614" s="3"/>
      <c r="N614" s="3"/>
      <c r="O614" s="3"/>
      <c r="P614" s="3"/>
      <c r="Q614" s="3"/>
      <c r="R614" s="3"/>
      <c r="S614" s="3"/>
      <c r="T614" s="3"/>
      <c r="U614" s="3"/>
      <c r="V614" s="3"/>
      <c r="W614" s="3"/>
      <c r="X614" s="3"/>
      <c r="Y614" s="3"/>
      <c r="Z614" s="3"/>
    </row>
    <row r="615" hidden="1">
      <c r="A615" s="27" t="s">
        <v>2857</v>
      </c>
      <c r="B615" s="29" t="s">
        <v>780</v>
      </c>
      <c r="C615" s="3"/>
      <c r="D615" s="3"/>
      <c r="E615" s="3"/>
      <c r="F615" s="3"/>
      <c r="G615" s="3"/>
      <c r="H615" s="3"/>
      <c r="I615" s="3"/>
      <c r="J615" s="3"/>
      <c r="K615" s="3"/>
      <c r="L615" s="3"/>
      <c r="M615" s="3"/>
      <c r="N615" s="3"/>
      <c r="O615" s="3"/>
      <c r="P615" s="3"/>
      <c r="Q615" s="3"/>
      <c r="R615" s="3"/>
      <c r="S615" s="3"/>
      <c r="T615" s="3"/>
      <c r="U615" s="3"/>
      <c r="V615" s="3"/>
      <c r="W615" s="3"/>
      <c r="X615" s="3"/>
      <c r="Y615" s="3"/>
      <c r="Z615" s="3"/>
    </row>
    <row r="616" hidden="1">
      <c r="A616" s="27" t="s">
        <v>2858</v>
      </c>
      <c r="B616" s="29" t="s">
        <v>781</v>
      </c>
      <c r="C616" s="3"/>
      <c r="D616" s="3"/>
      <c r="E616" s="3"/>
      <c r="F616" s="3"/>
      <c r="G616" s="3"/>
      <c r="H616" s="3"/>
      <c r="I616" s="3"/>
      <c r="J616" s="3"/>
      <c r="K616" s="3"/>
      <c r="L616" s="3"/>
      <c r="M616" s="3"/>
      <c r="N616" s="3"/>
      <c r="O616" s="3"/>
      <c r="P616" s="3"/>
      <c r="Q616" s="3"/>
      <c r="R616" s="3"/>
      <c r="S616" s="3"/>
      <c r="T616" s="3"/>
      <c r="U616" s="3"/>
      <c r="V616" s="3"/>
      <c r="W616" s="3"/>
      <c r="X616" s="3"/>
      <c r="Y616" s="3"/>
      <c r="Z616" s="3"/>
    </row>
    <row r="617" hidden="1">
      <c r="A617" s="27" t="s">
        <v>2859</v>
      </c>
      <c r="B617" s="29" t="s">
        <v>782</v>
      </c>
      <c r="C617" s="3"/>
      <c r="D617" s="3"/>
      <c r="E617" s="3"/>
      <c r="F617" s="3"/>
      <c r="G617" s="3"/>
      <c r="H617" s="3"/>
      <c r="I617" s="3"/>
      <c r="J617" s="3"/>
      <c r="K617" s="3"/>
      <c r="L617" s="3"/>
      <c r="M617" s="3"/>
      <c r="N617" s="3"/>
      <c r="O617" s="3"/>
      <c r="P617" s="3"/>
      <c r="Q617" s="3"/>
      <c r="R617" s="3"/>
      <c r="S617" s="3"/>
      <c r="T617" s="3"/>
      <c r="U617" s="3"/>
      <c r="V617" s="3"/>
      <c r="W617" s="3"/>
      <c r="X617" s="3"/>
      <c r="Y617" s="3"/>
      <c r="Z617" s="3"/>
    </row>
    <row r="618" hidden="1">
      <c r="A618" s="27" t="s">
        <v>2860</v>
      </c>
      <c r="B618" s="29" t="s">
        <v>783</v>
      </c>
      <c r="C618" s="3"/>
      <c r="D618" s="3"/>
      <c r="E618" s="3"/>
      <c r="F618" s="3"/>
      <c r="G618" s="3"/>
      <c r="H618" s="3"/>
      <c r="I618" s="3"/>
      <c r="J618" s="3"/>
      <c r="K618" s="3"/>
      <c r="L618" s="3"/>
      <c r="M618" s="3"/>
      <c r="N618" s="3"/>
      <c r="O618" s="3"/>
      <c r="P618" s="3"/>
      <c r="Q618" s="3"/>
      <c r="R618" s="3"/>
      <c r="S618" s="3"/>
      <c r="T618" s="3"/>
      <c r="U618" s="3"/>
      <c r="V618" s="3"/>
      <c r="W618" s="3"/>
      <c r="X618" s="3"/>
      <c r="Y618" s="3"/>
      <c r="Z618" s="3"/>
    </row>
    <row r="619" hidden="1">
      <c r="A619" s="27" t="s">
        <v>2861</v>
      </c>
      <c r="B619" s="29" t="s">
        <v>785</v>
      </c>
      <c r="C619" s="3"/>
      <c r="D619" s="3"/>
      <c r="E619" s="3"/>
      <c r="F619" s="3"/>
      <c r="G619" s="3"/>
      <c r="H619" s="3"/>
      <c r="I619" s="3"/>
      <c r="J619" s="3"/>
      <c r="K619" s="3"/>
      <c r="L619" s="3"/>
      <c r="M619" s="3"/>
      <c r="N619" s="3"/>
      <c r="O619" s="3"/>
      <c r="P619" s="3"/>
      <c r="Q619" s="3"/>
      <c r="R619" s="3"/>
      <c r="S619" s="3"/>
      <c r="T619" s="3"/>
      <c r="U619" s="3"/>
      <c r="V619" s="3"/>
      <c r="W619" s="3"/>
      <c r="X619" s="3"/>
      <c r="Y619" s="3"/>
      <c r="Z619" s="3"/>
    </row>
    <row r="620" hidden="1">
      <c r="A620" s="27" t="s">
        <v>2862</v>
      </c>
      <c r="B620" s="29" t="s">
        <v>786</v>
      </c>
      <c r="C620" s="3"/>
      <c r="D620" s="3"/>
      <c r="E620" s="3"/>
      <c r="F620" s="3"/>
      <c r="G620" s="3"/>
      <c r="H620" s="3"/>
      <c r="I620" s="3"/>
      <c r="J620" s="3"/>
      <c r="K620" s="3"/>
      <c r="L620" s="3"/>
      <c r="M620" s="3"/>
      <c r="N620" s="3"/>
      <c r="O620" s="3"/>
      <c r="P620" s="3"/>
      <c r="Q620" s="3"/>
      <c r="R620" s="3"/>
      <c r="S620" s="3"/>
      <c r="T620" s="3"/>
      <c r="U620" s="3"/>
      <c r="V620" s="3"/>
      <c r="W620" s="3"/>
      <c r="X620" s="3"/>
      <c r="Y620" s="3"/>
      <c r="Z620" s="3"/>
    </row>
    <row r="621" hidden="1">
      <c r="A621" s="27" t="s">
        <v>2863</v>
      </c>
      <c r="B621" s="29" t="s">
        <v>787</v>
      </c>
      <c r="C621" s="3"/>
      <c r="D621" s="3"/>
      <c r="E621" s="3"/>
      <c r="F621" s="3"/>
      <c r="G621" s="3"/>
      <c r="H621" s="3"/>
      <c r="I621" s="3"/>
      <c r="J621" s="3"/>
      <c r="K621" s="3"/>
      <c r="L621" s="3"/>
      <c r="M621" s="3"/>
      <c r="N621" s="3"/>
      <c r="O621" s="3"/>
      <c r="P621" s="3"/>
      <c r="Q621" s="3"/>
      <c r="R621" s="3"/>
      <c r="S621" s="3"/>
      <c r="T621" s="3"/>
      <c r="U621" s="3"/>
      <c r="V621" s="3"/>
      <c r="W621" s="3"/>
      <c r="X621" s="3"/>
      <c r="Y621" s="3"/>
      <c r="Z621" s="3"/>
    </row>
    <row r="622" hidden="1">
      <c r="A622" s="27" t="s">
        <v>2864</v>
      </c>
      <c r="B622" s="29" t="s">
        <v>788</v>
      </c>
      <c r="C622" s="3"/>
      <c r="D622" s="3"/>
      <c r="E622" s="3"/>
      <c r="F622" s="3"/>
      <c r="G622" s="3"/>
      <c r="H622" s="3"/>
      <c r="I622" s="3"/>
      <c r="J622" s="3"/>
      <c r="K622" s="3"/>
      <c r="L622" s="3"/>
      <c r="M622" s="3"/>
      <c r="N622" s="3"/>
      <c r="O622" s="3"/>
      <c r="P622" s="3"/>
      <c r="Q622" s="3"/>
      <c r="R622" s="3"/>
      <c r="S622" s="3"/>
      <c r="T622" s="3"/>
      <c r="U622" s="3"/>
      <c r="V622" s="3"/>
      <c r="W622" s="3"/>
      <c r="X622" s="3"/>
      <c r="Y622" s="3"/>
      <c r="Z622" s="3"/>
    </row>
    <row r="623" hidden="1">
      <c r="A623" s="27" t="s">
        <v>2865</v>
      </c>
      <c r="B623" s="29" t="s">
        <v>789</v>
      </c>
      <c r="C623" s="3"/>
      <c r="D623" s="3"/>
      <c r="E623" s="3"/>
      <c r="F623" s="3"/>
      <c r="G623" s="3"/>
      <c r="H623" s="3"/>
      <c r="I623" s="3"/>
      <c r="J623" s="3"/>
      <c r="K623" s="3"/>
      <c r="L623" s="3"/>
      <c r="M623" s="3"/>
      <c r="N623" s="3"/>
      <c r="O623" s="3"/>
      <c r="P623" s="3"/>
      <c r="Q623" s="3"/>
      <c r="R623" s="3"/>
      <c r="S623" s="3"/>
      <c r="T623" s="3"/>
      <c r="U623" s="3"/>
      <c r="V623" s="3"/>
      <c r="W623" s="3"/>
      <c r="X623" s="3"/>
      <c r="Y623" s="3"/>
      <c r="Z623" s="3"/>
    </row>
    <row r="624" hidden="1">
      <c r="A624" s="27" t="s">
        <v>2866</v>
      </c>
      <c r="B624" s="29" t="s">
        <v>790</v>
      </c>
      <c r="C624" s="3"/>
      <c r="D624" s="3"/>
      <c r="E624" s="3"/>
      <c r="F624" s="3"/>
      <c r="G624" s="3"/>
      <c r="H624" s="3"/>
      <c r="I624" s="3"/>
      <c r="J624" s="3"/>
      <c r="K624" s="3"/>
      <c r="L624" s="3"/>
      <c r="M624" s="3"/>
      <c r="N624" s="3"/>
      <c r="O624" s="3"/>
      <c r="P624" s="3"/>
      <c r="Q624" s="3"/>
      <c r="R624" s="3"/>
      <c r="S624" s="3"/>
      <c r="T624" s="3"/>
      <c r="U624" s="3"/>
      <c r="V624" s="3"/>
      <c r="W624" s="3"/>
      <c r="X624" s="3"/>
      <c r="Y624" s="3"/>
      <c r="Z624" s="3"/>
    </row>
    <row r="625" hidden="1">
      <c r="A625" s="27" t="s">
        <v>2867</v>
      </c>
      <c r="B625" s="29" t="s">
        <v>792</v>
      </c>
      <c r="C625" s="3"/>
      <c r="D625" s="3"/>
      <c r="E625" s="3"/>
      <c r="F625" s="3"/>
      <c r="G625" s="3"/>
      <c r="H625" s="3"/>
      <c r="I625" s="3"/>
      <c r="J625" s="3"/>
      <c r="K625" s="3"/>
      <c r="L625" s="3"/>
      <c r="M625" s="3"/>
      <c r="N625" s="3"/>
      <c r="O625" s="3"/>
      <c r="P625" s="3"/>
      <c r="Q625" s="3"/>
      <c r="R625" s="3"/>
      <c r="S625" s="3"/>
      <c r="T625" s="3"/>
      <c r="U625" s="3"/>
      <c r="V625" s="3"/>
      <c r="W625" s="3"/>
      <c r="X625" s="3"/>
      <c r="Y625" s="3"/>
      <c r="Z625" s="3"/>
    </row>
    <row r="626" hidden="1">
      <c r="A626" s="27" t="s">
        <v>2868</v>
      </c>
      <c r="B626" s="29" t="s">
        <v>793</v>
      </c>
      <c r="C626" s="3"/>
      <c r="D626" s="3"/>
      <c r="E626" s="3"/>
      <c r="F626" s="3"/>
      <c r="G626" s="3"/>
      <c r="H626" s="3"/>
      <c r="I626" s="3"/>
      <c r="J626" s="3"/>
      <c r="K626" s="3"/>
      <c r="L626" s="3"/>
      <c r="M626" s="3"/>
      <c r="N626" s="3"/>
      <c r="O626" s="3"/>
      <c r="P626" s="3"/>
      <c r="Q626" s="3"/>
      <c r="R626" s="3"/>
      <c r="S626" s="3"/>
      <c r="T626" s="3"/>
      <c r="U626" s="3"/>
      <c r="V626" s="3"/>
      <c r="W626" s="3"/>
      <c r="X626" s="3"/>
      <c r="Y626" s="3"/>
      <c r="Z626" s="3"/>
    </row>
    <row r="627" hidden="1">
      <c r="A627" s="27" t="s">
        <v>2869</v>
      </c>
      <c r="B627" s="29" t="s">
        <v>794</v>
      </c>
      <c r="C627" s="3"/>
      <c r="D627" s="3"/>
      <c r="E627" s="3"/>
      <c r="F627" s="3"/>
      <c r="G627" s="3"/>
      <c r="H627" s="3"/>
      <c r="I627" s="3"/>
      <c r="J627" s="3"/>
      <c r="K627" s="3"/>
      <c r="L627" s="3"/>
      <c r="M627" s="3"/>
      <c r="N627" s="3"/>
      <c r="O627" s="3"/>
      <c r="P627" s="3"/>
      <c r="Q627" s="3"/>
      <c r="R627" s="3"/>
      <c r="S627" s="3"/>
      <c r="T627" s="3"/>
      <c r="U627" s="3"/>
      <c r="V627" s="3"/>
      <c r="W627" s="3"/>
      <c r="X627" s="3"/>
      <c r="Y627" s="3"/>
      <c r="Z627" s="3"/>
    </row>
    <row r="628" hidden="1">
      <c r="A628" s="27" t="s">
        <v>2870</v>
      </c>
      <c r="B628" s="29" t="s">
        <v>795</v>
      </c>
      <c r="C628" s="3"/>
      <c r="D628" s="3"/>
      <c r="E628" s="3"/>
      <c r="F628" s="3"/>
      <c r="G628" s="3"/>
      <c r="H628" s="3"/>
      <c r="I628" s="3"/>
      <c r="J628" s="3"/>
      <c r="K628" s="3"/>
      <c r="L628" s="3"/>
      <c r="M628" s="3"/>
      <c r="N628" s="3"/>
      <c r="O628" s="3"/>
      <c r="P628" s="3"/>
      <c r="Q628" s="3"/>
      <c r="R628" s="3"/>
      <c r="S628" s="3"/>
      <c r="T628" s="3"/>
      <c r="U628" s="3"/>
      <c r="V628" s="3"/>
      <c r="W628" s="3"/>
      <c r="X628" s="3"/>
      <c r="Y628" s="3"/>
      <c r="Z628" s="3"/>
    </row>
    <row r="629" hidden="1">
      <c r="A629" s="27" t="s">
        <v>2871</v>
      </c>
      <c r="B629" s="29" t="s">
        <v>796</v>
      </c>
      <c r="C629" s="3"/>
      <c r="D629" s="3"/>
      <c r="E629" s="3"/>
      <c r="F629" s="3"/>
      <c r="G629" s="3"/>
      <c r="H629" s="3"/>
      <c r="I629" s="3"/>
      <c r="J629" s="3"/>
      <c r="K629" s="3"/>
      <c r="L629" s="3"/>
      <c r="M629" s="3"/>
      <c r="N629" s="3"/>
      <c r="O629" s="3"/>
      <c r="P629" s="3"/>
      <c r="Q629" s="3"/>
      <c r="R629" s="3"/>
      <c r="S629" s="3"/>
      <c r="T629" s="3"/>
      <c r="U629" s="3"/>
      <c r="V629" s="3"/>
      <c r="W629" s="3"/>
      <c r="X629" s="3"/>
      <c r="Y629" s="3"/>
      <c r="Z629" s="3"/>
    </row>
    <row r="630" hidden="1">
      <c r="A630" s="27" t="s">
        <v>2872</v>
      </c>
      <c r="B630" s="29" t="s">
        <v>797</v>
      </c>
      <c r="C630" s="3"/>
      <c r="D630" s="3"/>
      <c r="E630" s="3"/>
      <c r="F630" s="3"/>
      <c r="G630" s="3"/>
      <c r="H630" s="3"/>
      <c r="I630" s="3"/>
      <c r="J630" s="3"/>
      <c r="K630" s="3"/>
      <c r="L630" s="3"/>
      <c r="M630" s="3"/>
      <c r="N630" s="3"/>
      <c r="O630" s="3"/>
      <c r="P630" s="3"/>
      <c r="Q630" s="3"/>
      <c r="R630" s="3"/>
      <c r="S630" s="3"/>
      <c r="T630" s="3"/>
      <c r="U630" s="3"/>
      <c r="V630" s="3"/>
      <c r="W630" s="3"/>
      <c r="X630" s="3"/>
      <c r="Y630" s="3"/>
      <c r="Z630" s="3"/>
    </row>
    <row r="631" hidden="1">
      <c r="A631" s="27" t="s">
        <v>2873</v>
      </c>
      <c r="B631" s="29" t="s">
        <v>798</v>
      </c>
      <c r="C631" s="3"/>
      <c r="D631" s="3"/>
      <c r="E631" s="3"/>
      <c r="F631" s="3"/>
      <c r="G631" s="3"/>
      <c r="H631" s="3"/>
      <c r="I631" s="3"/>
      <c r="J631" s="3"/>
      <c r="K631" s="3"/>
      <c r="L631" s="3"/>
      <c r="M631" s="3"/>
      <c r="N631" s="3"/>
      <c r="O631" s="3"/>
      <c r="P631" s="3"/>
      <c r="Q631" s="3"/>
      <c r="R631" s="3"/>
      <c r="S631" s="3"/>
      <c r="T631" s="3"/>
      <c r="U631" s="3"/>
      <c r="V631" s="3"/>
      <c r="W631" s="3"/>
      <c r="X631" s="3"/>
      <c r="Y631" s="3"/>
      <c r="Z631" s="3"/>
    </row>
    <row r="632" hidden="1">
      <c r="A632" s="27" t="s">
        <v>2874</v>
      </c>
      <c r="B632" s="29" t="s">
        <v>800</v>
      </c>
      <c r="C632" s="3"/>
      <c r="D632" s="3"/>
      <c r="E632" s="3"/>
      <c r="F632" s="3"/>
      <c r="G632" s="3"/>
      <c r="H632" s="3"/>
      <c r="I632" s="3"/>
      <c r="J632" s="3"/>
      <c r="K632" s="3"/>
      <c r="L632" s="3"/>
      <c r="M632" s="3"/>
      <c r="N632" s="3"/>
      <c r="O632" s="3"/>
      <c r="P632" s="3"/>
      <c r="Q632" s="3"/>
      <c r="R632" s="3"/>
      <c r="S632" s="3"/>
      <c r="T632" s="3"/>
      <c r="U632" s="3"/>
      <c r="V632" s="3"/>
      <c r="W632" s="3"/>
      <c r="X632" s="3"/>
      <c r="Y632" s="3"/>
      <c r="Z632" s="3"/>
    </row>
    <row r="633" hidden="1">
      <c r="A633" s="27" t="s">
        <v>2875</v>
      </c>
      <c r="B633" s="29" t="s">
        <v>801</v>
      </c>
      <c r="C633" s="3"/>
      <c r="D633" s="3"/>
      <c r="E633" s="3"/>
      <c r="F633" s="3"/>
      <c r="G633" s="3"/>
      <c r="H633" s="3"/>
      <c r="I633" s="3"/>
      <c r="J633" s="3"/>
      <c r="K633" s="3"/>
      <c r="L633" s="3"/>
      <c r="M633" s="3"/>
      <c r="N633" s="3"/>
      <c r="O633" s="3"/>
      <c r="P633" s="3"/>
      <c r="Q633" s="3"/>
      <c r="R633" s="3"/>
      <c r="S633" s="3"/>
      <c r="T633" s="3"/>
      <c r="U633" s="3"/>
      <c r="V633" s="3"/>
      <c r="W633" s="3"/>
      <c r="X633" s="3"/>
      <c r="Y633" s="3"/>
      <c r="Z633" s="3"/>
    </row>
    <row r="634" hidden="1">
      <c r="A634" s="27" t="s">
        <v>2876</v>
      </c>
      <c r="B634" s="29" t="s">
        <v>802</v>
      </c>
      <c r="C634" s="3"/>
      <c r="D634" s="3"/>
      <c r="E634" s="3"/>
      <c r="F634" s="3"/>
      <c r="G634" s="3"/>
      <c r="H634" s="3"/>
      <c r="I634" s="3"/>
      <c r="J634" s="3"/>
      <c r="K634" s="3"/>
      <c r="L634" s="3"/>
      <c r="M634" s="3"/>
      <c r="N634" s="3"/>
      <c r="O634" s="3"/>
      <c r="P634" s="3"/>
      <c r="Q634" s="3"/>
      <c r="R634" s="3"/>
      <c r="S634" s="3"/>
      <c r="T634" s="3"/>
      <c r="U634" s="3"/>
      <c r="V634" s="3"/>
      <c r="W634" s="3"/>
      <c r="X634" s="3"/>
      <c r="Y634" s="3"/>
      <c r="Z634" s="3"/>
    </row>
    <row r="635" hidden="1">
      <c r="A635" s="27" t="s">
        <v>2877</v>
      </c>
      <c r="B635" s="29" t="s">
        <v>803</v>
      </c>
      <c r="C635" s="3"/>
      <c r="D635" s="3"/>
      <c r="E635" s="3"/>
      <c r="F635" s="3"/>
      <c r="G635" s="3"/>
      <c r="H635" s="3"/>
      <c r="I635" s="3"/>
      <c r="J635" s="3"/>
      <c r="K635" s="3"/>
      <c r="L635" s="3"/>
      <c r="M635" s="3"/>
      <c r="N635" s="3"/>
      <c r="O635" s="3"/>
      <c r="P635" s="3"/>
      <c r="Q635" s="3"/>
      <c r="R635" s="3"/>
      <c r="S635" s="3"/>
      <c r="T635" s="3"/>
      <c r="U635" s="3"/>
      <c r="V635" s="3"/>
      <c r="W635" s="3"/>
      <c r="X635" s="3"/>
      <c r="Y635" s="3"/>
      <c r="Z635" s="3"/>
    </row>
    <row r="636" hidden="1">
      <c r="A636" s="27" t="s">
        <v>2878</v>
      </c>
      <c r="B636" s="29" t="s">
        <v>804</v>
      </c>
      <c r="C636" s="3"/>
      <c r="D636" s="3"/>
      <c r="E636" s="3"/>
      <c r="F636" s="3"/>
      <c r="G636" s="3"/>
      <c r="H636" s="3"/>
      <c r="I636" s="3"/>
      <c r="J636" s="3"/>
      <c r="K636" s="3"/>
      <c r="L636" s="3"/>
      <c r="M636" s="3"/>
      <c r="N636" s="3"/>
      <c r="O636" s="3"/>
      <c r="P636" s="3"/>
      <c r="Q636" s="3"/>
      <c r="R636" s="3"/>
      <c r="S636" s="3"/>
      <c r="T636" s="3"/>
      <c r="U636" s="3"/>
      <c r="V636" s="3"/>
      <c r="W636" s="3"/>
      <c r="X636" s="3"/>
      <c r="Y636" s="3"/>
      <c r="Z636" s="3"/>
    </row>
    <row r="637" hidden="1">
      <c r="A637" s="27" t="s">
        <v>2879</v>
      </c>
      <c r="B637" s="29" t="s">
        <v>805</v>
      </c>
      <c r="C637" s="3"/>
      <c r="D637" s="3"/>
      <c r="E637" s="3"/>
      <c r="F637" s="3"/>
      <c r="G637" s="3"/>
      <c r="H637" s="3"/>
      <c r="I637" s="3"/>
      <c r="J637" s="3"/>
      <c r="K637" s="3"/>
      <c r="L637" s="3"/>
      <c r="M637" s="3"/>
      <c r="N637" s="3"/>
      <c r="O637" s="3"/>
      <c r="P637" s="3"/>
      <c r="Q637" s="3"/>
      <c r="R637" s="3"/>
      <c r="S637" s="3"/>
      <c r="T637" s="3"/>
      <c r="U637" s="3"/>
      <c r="V637" s="3"/>
      <c r="W637" s="3"/>
      <c r="X637" s="3"/>
      <c r="Y637" s="3"/>
      <c r="Z637" s="3"/>
    </row>
    <row r="638" hidden="1">
      <c r="A638" s="27" t="s">
        <v>2880</v>
      </c>
      <c r="B638" s="29" t="s">
        <v>807</v>
      </c>
      <c r="C638" s="3"/>
      <c r="D638" s="3"/>
      <c r="E638" s="3"/>
      <c r="F638" s="3"/>
      <c r="G638" s="3"/>
      <c r="H638" s="3"/>
      <c r="I638" s="3"/>
      <c r="J638" s="3"/>
      <c r="K638" s="3"/>
      <c r="L638" s="3"/>
      <c r="M638" s="3"/>
      <c r="N638" s="3"/>
      <c r="O638" s="3"/>
      <c r="P638" s="3"/>
      <c r="Q638" s="3"/>
      <c r="R638" s="3"/>
      <c r="S638" s="3"/>
      <c r="T638" s="3"/>
      <c r="U638" s="3"/>
      <c r="V638" s="3"/>
      <c r="W638" s="3"/>
      <c r="X638" s="3"/>
      <c r="Y638" s="3"/>
      <c r="Z638" s="3"/>
    </row>
    <row r="639" hidden="1">
      <c r="A639" s="27" t="s">
        <v>2881</v>
      </c>
      <c r="B639" s="29" t="s">
        <v>808</v>
      </c>
      <c r="C639" s="3"/>
      <c r="D639" s="3"/>
      <c r="E639" s="3"/>
      <c r="F639" s="3"/>
      <c r="G639" s="3"/>
      <c r="H639" s="3"/>
      <c r="I639" s="3"/>
      <c r="J639" s="3"/>
      <c r="K639" s="3"/>
      <c r="L639" s="3"/>
      <c r="M639" s="3"/>
      <c r="N639" s="3"/>
      <c r="O639" s="3"/>
      <c r="P639" s="3"/>
      <c r="Q639" s="3"/>
      <c r="R639" s="3"/>
      <c r="S639" s="3"/>
      <c r="T639" s="3"/>
      <c r="U639" s="3"/>
      <c r="V639" s="3"/>
      <c r="W639" s="3"/>
      <c r="X639" s="3"/>
      <c r="Y639" s="3"/>
      <c r="Z639" s="3"/>
    </row>
    <row r="640" hidden="1">
      <c r="A640" s="27" t="s">
        <v>2882</v>
      </c>
      <c r="B640" s="29" t="s">
        <v>809</v>
      </c>
      <c r="C640" s="3"/>
      <c r="D640" s="3"/>
      <c r="E640" s="3"/>
      <c r="F640" s="3"/>
      <c r="G640" s="3"/>
      <c r="H640" s="3"/>
      <c r="I640" s="3"/>
      <c r="J640" s="3"/>
      <c r="K640" s="3"/>
      <c r="L640" s="3"/>
      <c r="M640" s="3"/>
      <c r="N640" s="3"/>
      <c r="O640" s="3"/>
      <c r="P640" s="3"/>
      <c r="Q640" s="3"/>
      <c r="R640" s="3"/>
      <c r="S640" s="3"/>
      <c r="T640" s="3"/>
      <c r="U640" s="3"/>
      <c r="V640" s="3"/>
      <c r="W640" s="3"/>
      <c r="X640" s="3"/>
      <c r="Y640" s="3"/>
      <c r="Z640" s="3"/>
    </row>
    <row r="641" hidden="1">
      <c r="A641" s="27" t="s">
        <v>2883</v>
      </c>
      <c r="B641" s="29" t="s">
        <v>810</v>
      </c>
      <c r="C641" s="3"/>
      <c r="D641" s="3"/>
      <c r="E641" s="3"/>
      <c r="F641" s="3"/>
      <c r="G641" s="3"/>
      <c r="H641" s="3"/>
      <c r="I641" s="3"/>
      <c r="J641" s="3"/>
      <c r="K641" s="3"/>
      <c r="L641" s="3"/>
      <c r="M641" s="3"/>
      <c r="N641" s="3"/>
      <c r="O641" s="3"/>
      <c r="P641" s="3"/>
      <c r="Q641" s="3"/>
      <c r="R641" s="3"/>
      <c r="S641" s="3"/>
      <c r="T641" s="3"/>
      <c r="U641" s="3"/>
      <c r="V641" s="3"/>
      <c r="W641" s="3"/>
      <c r="X641" s="3"/>
      <c r="Y641" s="3"/>
      <c r="Z641" s="3"/>
    </row>
    <row r="642" hidden="1">
      <c r="A642" s="27" t="s">
        <v>2884</v>
      </c>
      <c r="B642" s="29" t="s">
        <v>811</v>
      </c>
      <c r="C642" s="3"/>
      <c r="D642" s="3"/>
      <c r="E642" s="3"/>
      <c r="F642" s="3"/>
      <c r="G642" s="3"/>
      <c r="H642" s="3"/>
      <c r="I642" s="3"/>
      <c r="J642" s="3"/>
      <c r="K642" s="3"/>
      <c r="L642" s="3"/>
      <c r="M642" s="3"/>
      <c r="N642" s="3"/>
      <c r="O642" s="3"/>
      <c r="P642" s="3"/>
      <c r="Q642" s="3"/>
      <c r="R642" s="3"/>
      <c r="S642" s="3"/>
      <c r="T642" s="3"/>
      <c r="U642" s="3"/>
      <c r="V642" s="3"/>
      <c r="W642" s="3"/>
      <c r="X642" s="3"/>
      <c r="Y642" s="3"/>
      <c r="Z642" s="3"/>
    </row>
    <row r="643" hidden="1">
      <c r="A643" s="27" t="s">
        <v>2885</v>
      </c>
      <c r="B643" s="29" t="s">
        <v>812</v>
      </c>
      <c r="C643" s="3"/>
      <c r="D643" s="3"/>
      <c r="E643" s="3"/>
      <c r="F643" s="3"/>
      <c r="G643" s="3"/>
      <c r="H643" s="3"/>
      <c r="I643" s="3"/>
      <c r="J643" s="3"/>
      <c r="K643" s="3"/>
      <c r="L643" s="3"/>
      <c r="M643" s="3"/>
      <c r="N643" s="3"/>
      <c r="O643" s="3"/>
      <c r="P643" s="3"/>
      <c r="Q643" s="3"/>
      <c r="R643" s="3"/>
      <c r="S643" s="3"/>
      <c r="T643" s="3"/>
      <c r="U643" s="3"/>
      <c r="V643" s="3"/>
      <c r="W643" s="3"/>
      <c r="X643" s="3"/>
      <c r="Y643" s="3"/>
      <c r="Z643" s="3"/>
    </row>
    <row r="644" hidden="1">
      <c r="A644" s="27" t="s">
        <v>2886</v>
      </c>
      <c r="B644" s="29" t="s">
        <v>814</v>
      </c>
      <c r="C644" s="3"/>
      <c r="D644" s="3"/>
      <c r="E644" s="3"/>
      <c r="F644" s="3"/>
      <c r="G644" s="3"/>
      <c r="H644" s="3"/>
      <c r="I644" s="3"/>
      <c r="J644" s="3"/>
      <c r="K644" s="3"/>
      <c r="L644" s="3"/>
      <c r="M644" s="3"/>
      <c r="N644" s="3"/>
      <c r="O644" s="3"/>
      <c r="P644" s="3"/>
      <c r="Q644" s="3"/>
      <c r="R644" s="3"/>
      <c r="S644" s="3"/>
      <c r="T644" s="3"/>
      <c r="U644" s="3"/>
      <c r="V644" s="3"/>
      <c r="W644" s="3"/>
      <c r="X644" s="3"/>
      <c r="Y644" s="3"/>
      <c r="Z644" s="3"/>
    </row>
    <row r="645" hidden="1">
      <c r="A645" s="27" t="s">
        <v>2887</v>
      </c>
      <c r="B645" s="29" t="s">
        <v>815</v>
      </c>
      <c r="C645" s="3"/>
      <c r="D645" s="3"/>
      <c r="E645" s="3"/>
      <c r="F645" s="3"/>
      <c r="G645" s="3"/>
      <c r="H645" s="3"/>
      <c r="I645" s="3"/>
      <c r="J645" s="3"/>
      <c r="K645" s="3"/>
      <c r="L645" s="3"/>
      <c r="M645" s="3"/>
      <c r="N645" s="3"/>
      <c r="O645" s="3"/>
      <c r="P645" s="3"/>
      <c r="Q645" s="3"/>
      <c r="R645" s="3"/>
      <c r="S645" s="3"/>
      <c r="T645" s="3"/>
      <c r="U645" s="3"/>
      <c r="V645" s="3"/>
      <c r="W645" s="3"/>
      <c r="X645" s="3"/>
      <c r="Y645" s="3"/>
      <c r="Z645" s="3"/>
    </row>
    <row r="646" hidden="1">
      <c r="A646" s="27" t="s">
        <v>2888</v>
      </c>
      <c r="B646" s="29" t="s">
        <v>816</v>
      </c>
      <c r="C646" s="3"/>
      <c r="D646" s="3"/>
      <c r="E646" s="3"/>
      <c r="F646" s="3"/>
      <c r="G646" s="3"/>
      <c r="H646" s="3"/>
      <c r="I646" s="3"/>
      <c r="J646" s="3"/>
      <c r="K646" s="3"/>
      <c r="L646" s="3"/>
      <c r="M646" s="3"/>
      <c r="N646" s="3"/>
      <c r="O646" s="3"/>
      <c r="P646" s="3"/>
      <c r="Q646" s="3"/>
      <c r="R646" s="3"/>
      <c r="S646" s="3"/>
      <c r="T646" s="3"/>
      <c r="U646" s="3"/>
      <c r="V646" s="3"/>
      <c r="W646" s="3"/>
      <c r="X646" s="3"/>
      <c r="Y646" s="3"/>
      <c r="Z646" s="3"/>
    </row>
    <row r="647" hidden="1">
      <c r="A647" s="27" t="s">
        <v>2889</v>
      </c>
      <c r="B647" s="29" t="s">
        <v>817</v>
      </c>
      <c r="C647" s="3"/>
      <c r="D647" s="3"/>
      <c r="E647" s="3"/>
      <c r="F647" s="3"/>
      <c r="G647" s="3"/>
      <c r="H647" s="3"/>
      <c r="I647" s="3"/>
      <c r="J647" s="3"/>
      <c r="K647" s="3"/>
      <c r="L647" s="3"/>
      <c r="M647" s="3"/>
      <c r="N647" s="3"/>
      <c r="O647" s="3"/>
      <c r="P647" s="3"/>
      <c r="Q647" s="3"/>
      <c r="R647" s="3"/>
      <c r="S647" s="3"/>
      <c r="T647" s="3"/>
      <c r="U647" s="3"/>
      <c r="V647" s="3"/>
      <c r="W647" s="3"/>
      <c r="X647" s="3"/>
      <c r="Y647" s="3"/>
      <c r="Z647" s="3"/>
    </row>
    <row r="648" hidden="1">
      <c r="A648" s="27" t="s">
        <v>2890</v>
      </c>
      <c r="B648" s="29" t="s">
        <v>818</v>
      </c>
      <c r="C648" s="3"/>
      <c r="D648" s="3"/>
      <c r="E648" s="3"/>
      <c r="F648" s="3"/>
      <c r="G648" s="3"/>
      <c r="H648" s="3"/>
      <c r="I648" s="3"/>
      <c r="J648" s="3"/>
      <c r="K648" s="3"/>
      <c r="L648" s="3"/>
      <c r="M648" s="3"/>
      <c r="N648" s="3"/>
      <c r="O648" s="3"/>
      <c r="P648" s="3"/>
      <c r="Q648" s="3"/>
      <c r="R648" s="3"/>
      <c r="S648" s="3"/>
      <c r="T648" s="3"/>
      <c r="U648" s="3"/>
      <c r="V648" s="3"/>
      <c r="W648" s="3"/>
      <c r="X648" s="3"/>
      <c r="Y648" s="3"/>
      <c r="Z648" s="3"/>
    </row>
    <row r="649" hidden="1">
      <c r="A649" s="27" t="s">
        <v>2891</v>
      </c>
      <c r="B649" s="29" t="s">
        <v>820</v>
      </c>
      <c r="C649" s="3"/>
      <c r="D649" s="3"/>
      <c r="E649" s="3"/>
      <c r="F649" s="3"/>
      <c r="G649" s="3"/>
      <c r="H649" s="3"/>
      <c r="I649" s="3"/>
      <c r="J649" s="3"/>
      <c r="K649" s="3"/>
      <c r="L649" s="3"/>
      <c r="M649" s="3"/>
      <c r="N649" s="3"/>
      <c r="O649" s="3"/>
      <c r="P649" s="3"/>
      <c r="Q649" s="3"/>
      <c r="R649" s="3"/>
      <c r="S649" s="3"/>
      <c r="T649" s="3"/>
      <c r="U649" s="3"/>
      <c r="V649" s="3"/>
      <c r="W649" s="3"/>
      <c r="X649" s="3"/>
      <c r="Y649" s="3"/>
      <c r="Z649" s="3"/>
    </row>
    <row r="650" hidden="1">
      <c r="A650" s="27" t="s">
        <v>2892</v>
      </c>
      <c r="B650" s="29" t="s">
        <v>821</v>
      </c>
      <c r="C650" s="3"/>
      <c r="D650" s="3"/>
      <c r="E650" s="3"/>
      <c r="F650" s="3"/>
      <c r="G650" s="3"/>
      <c r="H650" s="3"/>
      <c r="I650" s="3"/>
      <c r="J650" s="3"/>
      <c r="K650" s="3"/>
      <c r="L650" s="3"/>
      <c r="M650" s="3"/>
      <c r="N650" s="3"/>
      <c r="O650" s="3"/>
      <c r="P650" s="3"/>
      <c r="Q650" s="3"/>
      <c r="R650" s="3"/>
      <c r="S650" s="3"/>
      <c r="T650" s="3"/>
      <c r="U650" s="3"/>
      <c r="V650" s="3"/>
      <c r="W650" s="3"/>
      <c r="X650" s="3"/>
      <c r="Y650" s="3"/>
      <c r="Z650" s="3"/>
    </row>
    <row r="651" hidden="1">
      <c r="A651" s="27" t="s">
        <v>2893</v>
      </c>
      <c r="B651" s="29" t="s">
        <v>822</v>
      </c>
      <c r="C651" s="3"/>
      <c r="D651" s="3"/>
      <c r="E651" s="3"/>
      <c r="F651" s="3"/>
      <c r="G651" s="3"/>
      <c r="H651" s="3"/>
      <c r="I651" s="3"/>
      <c r="J651" s="3"/>
      <c r="K651" s="3"/>
      <c r="L651" s="3"/>
      <c r="M651" s="3"/>
      <c r="N651" s="3"/>
      <c r="O651" s="3"/>
      <c r="P651" s="3"/>
      <c r="Q651" s="3"/>
      <c r="R651" s="3"/>
      <c r="S651" s="3"/>
      <c r="T651" s="3"/>
      <c r="U651" s="3"/>
      <c r="V651" s="3"/>
      <c r="W651" s="3"/>
      <c r="X651" s="3"/>
      <c r="Y651" s="3"/>
      <c r="Z651" s="3"/>
    </row>
    <row r="652" hidden="1">
      <c r="A652" s="27" t="s">
        <v>2894</v>
      </c>
      <c r="B652" s="29" t="s">
        <v>823</v>
      </c>
      <c r="C652" s="3"/>
      <c r="D652" s="3"/>
      <c r="E652" s="3"/>
      <c r="F652" s="3"/>
      <c r="G652" s="3"/>
      <c r="H652" s="3"/>
      <c r="I652" s="3"/>
      <c r="J652" s="3"/>
      <c r="K652" s="3"/>
      <c r="L652" s="3"/>
      <c r="M652" s="3"/>
      <c r="N652" s="3"/>
      <c r="O652" s="3"/>
      <c r="P652" s="3"/>
      <c r="Q652" s="3"/>
      <c r="R652" s="3"/>
      <c r="S652" s="3"/>
      <c r="T652" s="3"/>
      <c r="U652" s="3"/>
      <c r="V652" s="3"/>
      <c r="W652" s="3"/>
      <c r="X652" s="3"/>
      <c r="Y652" s="3"/>
      <c r="Z652" s="3"/>
    </row>
    <row r="653" hidden="1">
      <c r="A653" s="27" t="s">
        <v>2895</v>
      </c>
      <c r="B653" s="29" t="s">
        <v>825</v>
      </c>
      <c r="C653" s="3"/>
      <c r="D653" s="3"/>
      <c r="E653" s="3"/>
      <c r="F653" s="3"/>
      <c r="G653" s="3"/>
      <c r="H653" s="3"/>
      <c r="I653" s="3"/>
      <c r="J653" s="3"/>
      <c r="K653" s="3"/>
      <c r="L653" s="3"/>
      <c r="M653" s="3"/>
      <c r="N653" s="3"/>
      <c r="O653" s="3"/>
      <c r="P653" s="3"/>
      <c r="Q653" s="3"/>
      <c r="R653" s="3"/>
      <c r="S653" s="3"/>
      <c r="T653" s="3"/>
      <c r="U653" s="3"/>
      <c r="V653" s="3"/>
      <c r="W653" s="3"/>
      <c r="X653" s="3"/>
      <c r="Y653" s="3"/>
      <c r="Z653" s="3"/>
    </row>
    <row r="654" hidden="1">
      <c r="A654" s="27" t="s">
        <v>2896</v>
      </c>
      <c r="B654" s="29" t="s">
        <v>826</v>
      </c>
      <c r="C654" s="3"/>
      <c r="D654" s="3"/>
      <c r="E654" s="3"/>
      <c r="F654" s="3"/>
      <c r="G654" s="3"/>
      <c r="H654" s="3"/>
      <c r="I654" s="3"/>
      <c r="J654" s="3"/>
      <c r="K654" s="3"/>
      <c r="L654" s="3"/>
      <c r="M654" s="3"/>
      <c r="N654" s="3"/>
      <c r="O654" s="3"/>
      <c r="P654" s="3"/>
      <c r="Q654" s="3"/>
      <c r="R654" s="3"/>
      <c r="S654" s="3"/>
      <c r="T654" s="3"/>
      <c r="U654" s="3"/>
      <c r="V654" s="3"/>
      <c r="W654" s="3"/>
      <c r="X654" s="3"/>
      <c r="Y654" s="3"/>
      <c r="Z654" s="3"/>
    </row>
    <row r="655" hidden="1">
      <c r="A655" s="27" t="s">
        <v>2897</v>
      </c>
      <c r="B655" s="29" t="s">
        <v>827</v>
      </c>
      <c r="C655" s="3"/>
      <c r="D655" s="3"/>
      <c r="E655" s="3"/>
      <c r="F655" s="3"/>
      <c r="G655" s="3"/>
      <c r="H655" s="3"/>
      <c r="I655" s="3"/>
      <c r="J655" s="3"/>
      <c r="K655" s="3"/>
      <c r="L655" s="3"/>
      <c r="M655" s="3"/>
      <c r="N655" s="3"/>
      <c r="O655" s="3"/>
      <c r="P655" s="3"/>
      <c r="Q655" s="3"/>
      <c r="R655" s="3"/>
      <c r="S655" s="3"/>
      <c r="T655" s="3"/>
      <c r="U655" s="3"/>
      <c r="V655" s="3"/>
      <c r="W655" s="3"/>
      <c r="X655" s="3"/>
      <c r="Y655" s="3"/>
      <c r="Z655" s="3"/>
    </row>
    <row r="656" hidden="1">
      <c r="A656" s="27" t="s">
        <v>2898</v>
      </c>
      <c r="B656" s="29" t="s">
        <v>828</v>
      </c>
      <c r="C656" s="3"/>
      <c r="D656" s="3"/>
      <c r="E656" s="3"/>
      <c r="F656" s="3"/>
      <c r="G656" s="3"/>
      <c r="H656" s="3"/>
      <c r="I656" s="3"/>
      <c r="J656" s="3"/>
      <c r="K656" s="3"/>
      <c r="L656" s="3"/>
      <c r="M656" s="3"/>
      <c r="N656" s="3"/>
      <c r="O656" s="3"/>
      <c r="P656" s="3"/>
      <c r="Q656" s="3"/>
      <c r="R656" s="3"/>
      <c r="S656" s="3"/>
      <c r="T656" s="3"/>
      <c r="U656" s="3"/>
      <c r="V656" s="3"/>
      <c r="W656" s="3"/>
      <c r="X656" s="3"/>
      <c r="Y656" s="3"/>
      <c r="Z656" s="3"/>
    </row>
    <row r="657" hidden="1">
      <c r="A657" s="27" t="s">
        <v>2899</v>
      </c>
      <c r="B657" s="29" t="s">
        <v>829</v>
      </c>
      <c r="C657" s="3"/>
      <c r="D657" s="3"/>
      <c r="E657" s="3"/>
      <c r="F657" s="3"/>
      <c r="G657" s="3"/>
      <c r="H657" s="3"/>
      <c r="I657" s="3"/>
      <c r="J657" s="3"/>
      <c r="K657" s="3"/>
      <c r="L657" s="3"/>
      <c r="M657" s="3"/>
      <c r="N657" s="3"/>
      <c r="O657" s="3"/>
      <c r="P657" s="3"/>
      <c r="Q657" s="3"/>
      <c r="R657" s="3"/>
      <c r="S657" s="3"/>
      <c r="T657" s="3"/>
      <c r="U657" s="3"/>
      <c r="V657" s="3"/>
      <c r="W657" s="3"/>
      <c r="X657" s="3"/>
      <c r="Y657" s="3"/>
      <c r="Z657" s="3"/>
    </row>
    <row r="658" hidden="1">
      <c r="A658" s="27" t="s">
        <v>2900</v>
      </c>
      <c r="B658" s="29" t="s">
        <v>831</v>
      </c>
      <c r="C658" s="3"/>
      <c r="D658" s="3"/>
      <c r="E658" s="3"/>
      <c r="F658" s="3"/>
      <c r="G658" s="3"/>
      <c r="H658" s="3"/>
      <c r="I658" s="3"/>
      <c r="J658" s="3"/>
      <c r="K658" s="3"/>
      <c r="L658" s="3"/>
      <c r="M658" s="3"/>
      <c r="N658" s="3"/>
      <c r="O658" s="3"/>
      <c r="P658" s="3"/>
      <c r="Q658" s="3"/>
      <c r="R658" s="3"/>
      <c r="S658" s="3"/>
      <c r="T658" s="3"/>
      <c r="U658" s="3"/>
      <c r="V658" s="3"/>
      <c r="W658" s="3"/>
      <c r="X658" s="3"/>
      <c r="Y658" s="3"/>
      <c r="Z658" s="3"/>
    </row>
    <row r="659" hidden="1">
      <c r="A659" s="27" t="s">
        <v>2901</v>
      </c>
      <c r="B659" s="29" t="s">
        <v>832</v>
      </c>
      <c r="C659" s="3"/>
      <c r="D659" s="3"/>
      <c r="E659" s="3"/>
      <c r="F659" s="3"/>
      <c r="G659" s="3"/>
      <c r="H659" s="3"/>
      <c r="I659" s="3"/>
      <c r="J659" s="3"/>
      <c r="K659" s="3"/>
      <c r="L659" s="3"/>
      <c r="M659" s="3"/>
      <c r="N659" s="3"/>
      <c r="O659" s="3"/>
      <c r="P659" s="3"/>
      <c r="Q659" s="3"/>
      <c r="R659" s="3"/>
      <c r="S659" s="3"/>
      <c r="T659" s="3"/>
      <c r="U659" s="3"/>
      <c r="V659" s="3"/>
      <c r="W659" s="3"/>
      <c r="X659" s="3"/>
      <c r="Y659" s="3"/>
      <c r="Z659" s="3"/>
    </row>
    <row r="660" hidden="1">
      <c r="A660" s="27" t="s">
        <v>2902</v>
      </c>
      <c r="B660" s="29" t="s">
        <v>833</v>
      </c>
      <c r="C660" s="3"/>
      <c r="D660" s="3"/>
      <c r="E660" s="3"/>
      <c r="F660" s="3"/>
      <c r="G660" s="3"/>
      <c r="H660" s="3"/>
      <c r="I660" s="3"/>
      <c r="J660" s="3"/>
      <c r="K660" s="3"/>
      <c r="L660" s="3"/>
      <c r="M660" s="3"/>
      <c r="N660" s="3"/>
      <c r="O660" s="3"/>
      <c r="P660" s="3"/>
      <c r="Q660" s="3"/>
      <c r="R660" s="3"/>
      <c r="S660" s="3"/>
      <c r="T660" s="3"/>
      <c r="U660" s="3"/>
      <c r="V660" s="3"/>
      <c r="W660" s="3"/>
      <c r="X660" s="3"/>
      <c r="Y660" s="3"/>
      <c r="Z660" s="3"/>
    </row>
    <row r="661" hidden="1">
      <c r="A661" s="27" t="s">
        <v>2903</v>
      </c>
      <c r="B661" s="29" t="s">
        <v>834</v>
      </c>
      <c r="C661" s="3"/>
      <c r="D661" s="3"/>
      <c r="E661" s="3"/>
      <c r="F661" s="3"/>
      <c r="G661" s="3"/>
      <c r="H661" s="3"/>
      <c r="I661" s="3"/>
      <c r="J661" s="3"/>
      <c r="K661" s="3"/>
      <c r="L661" s="3"/>
      <c r="M661" s="3"/>
      <c r="N661" s="3"/>
      <c r="O661" s="3"/>
      <c r="P661" s="3"/>
      <c r="Q661" s="3"/>
      <c r="R661" s="3"/>
      <c r="S661" s="3"/>
      <c r="T661" s="3"/>
      <c r="U661" s="3"/>
      <c r="V661" s="3"/>
      <c r="W661" s="3"/>
      <c r="X661" s="3"/>
      <c r="Y661" s="3"/>
      <c r="Z661" s="3"/>
    </row>
    <row r="662" hidden="1">
      <c r="A662" s="27" t="s">
        <v>2904</v>
      </c>
      <c r="B662" s="29" t="s">
        <v>835</v>
      </c>
      <c r="C662" s="3"/>
      <c r="D662" s="3"/>
      <c r="E662" s="3"/>
      <c r="F662" s="3"/>
      <c r="G662" s="3"/>
      <c r="H662" s="3"/>
      <c r="I662" s="3"/>
      <c r="J662" s="3"/>
      <c r="K662" s="3"/>
      <c r="L662" s="3"/>
      <c r="M662" s="3"/>
      <c r="N662" s="3"/>
      <c r="O662" s="3"/>
      <c r="P662" s="3"/>
      <c r="Q662" s="3"/>
      <c r="R662" s="3"/>
      <c r="S662" s="3"/>
      <c r="T662" s="3"/>
      <c r="U662" s="3"/>
      <c r="V662" s="3"/>
      <c r="W662" s="3"/>
      <c r="X662" s="3"/>
      <c r="Y662" s="3"/>
      <c r="Z662" s="3"/>
    </row>
    <row r="663" hidden="1">
      <c r="A663" s="27" t="s">
        <v>2905</v>
      </c>
      <c r="B663" s="29" t="s">
        <v>837</v>
      </c>
      <c r="C663" s="3"/>
      <c r="D663" s="3"/>
      <c r="E663" s="3"/>
      <c r="F663" s="3"/>
      <c r="G663" s="3"/>
      <c r="H663" s="3"/>
      <c r="I663" s="3"/>
      <c r="J663" s="3"/>
      <c r="K663" s="3"/>
      <c r="L663" s="3"/>
      <c r="M663" s="3"/>
      <c r="N663" s="3"/>
      <c r="O663" s="3"/>
      <c r="P663" s="3"/>
      <c r="Q663" s="3"/>
      <c r="R663" s="3"/>
      <c r="S663" s="3"/>
      <c r="T663" s="3"/>
      <c r="U663" s="3"/>
      <c r="V663" s="3"/>
      <c r="W663" s="3"/>
      <c r="X663" s="3"/>
      <c r="Y663" s="3"/>
      <c r="Z663" s="3"/>
    </row>
    <row r="664" hidden="1">
      <c r="A664" s="27" t="s">
        <v>2906</v>
      </c>
      <c r="B664" s="29" t="s">
        <v>838</v>
      </c>
      <c r="C664" s="3"/>
      <c r="D664" s="3"/>
      <c r="E664" s="3"/>
      <c r="F664" s="3"/>
      <c r="G664" s="3"/>
      <c r="H664" s="3"/>
      <c r="I664" s="3"/>
      <c r="J664" s="3"/>
      <c r="K664" s="3"/>
      <c r="L664" s="3"/>
      <c r="M664" s="3"/>
      <c r="N664" s="3"/>
      <c r="O664" s="3"/>
      <c r="P664" s="3"/>
      <c r="Q664" s="3"/>
      <c r="R664" s="3"/>
      <c r="S664" s="3"/>
      <c r="T664" s="3"/>
      <c r="U664" s="3"/>
      <c r="V664" s="3"/>
      <c r="W664" s="3"/>
      <c r="X664" s="3"/>
      <c r="Y664" s="3"/>
      <c r="Z664" s="3"/>
    </row>
    <row r="665" hidden="1">
      <c r="A665" s="27" t="s">
        <v>2907</v>
      </c>
      <c r="B665" s="29" t="s">
        <v>839</v>
      </c>
      <c r="C665" s="3"/>
      <c r="D665" s="3"/>
      <c r="E665" s="3"/>
      <c r="F665" s="3"/>
      <c r="G665" s="3"/>
      <c r="H665" s="3"/>
      <c r="I665" s="3"/>
      <c r="J665" s="3"/>
      <c r="K665" s="3"/>
      <c r="L665" s="3"/>
      <c r="M665" s="3"/>
      <c r="N665" s="3"/>
      <c r="O665" s="3"/>
      <c r="P665" s="3"/>
      <c r="Q665" s="3"/>
      <c r="R665" s="3"/>
      <c r="S665" s="3"/>
      <c r="T665" s="3"/>
      <c r="U665" s="3"/>
      <c r="V665" s="3"/>
      <c r="W665" s="3"/>
      <c r="X665" s="3"/>
      <c r="Y665" s="3"/>
      <c r="Z665" s="3"/>
    </row>
    <row r="666" hidden="1">
      <c r="A666" s="27" t="s">
        <v>2908</v>
      </c>
      <c r="B666" s="29" t="s">
        <v>840</v>
      </c>
      <c r="C666" s="3"/>
      <c r="D666" s="3"/>
      <c r="E666" s="3"/>
      <c r="F666" s="3"/>
      <c r="G666" s="3"/>
      <c r="H666" s="3"/>
      <c r="I666" s="3"/>
      <c r="J666" s="3"/>
      <c r="K666" s="3"/>
      <c r="L666" s="3"/>
      <c r="M666" s="3"/>
      <c r="N666" s="3"/>
      <c r="O666" s="3"/>
      <c r="P666" s="3"/>
      <c r="Q666" s="3"/>
      <c r="R666" s="3"/>
      <c r="S666" s="3"/>
      <c r="T666" s="3"/>
      <c r="U666" s="3"/>
      <c r="V666" s="3"/>
      <c r="W666" s="3"/>
      <c r="X666" s="3"/>
      <c r="Y666" s="3"/>
      <c r="Z666" s="3"/>
    </row>
    <row r="667" hidden="1">
      <c r="A667" s="27" t="s">
        <v>2909</v>
      </c>
      <c r="B667" s="29" t="s">
        <v>841</v>
      </c>
      <c r="C667" s="3"/>
      <c r="D667" s="3"/>
      <c r="E667" s="3"/>
      <c r="F667" s="3"/>
      <c r="G667" s="3"/>
      <c r="H667" s="3"/>
      <c r="I667" s="3"/>
      <c r="J667" s="3"/>
      <c r="K667" s="3"/>
      <c r="L667" s="3"/>
      <c r="M667" s="3"/>
      <c r="N667" s="3"/>
      <c r="O667" s="3"/>
      <c r="P667" s="3"/>
      <c r="Q667" s="3"/>
      <c r="R667" s="3"/>
      <c r="S667" s="3"/>
      <c r="T667" s="3"/>
      <c r="U667" s="3"/>
      <c r="V667" s="3"/>
      <c r="W667" s="3"/>
      <c r="X667" s="3"/>
      <c r="Y667" s="3"/>
      <c r="Z667" s="3"/>
    </row>
    <row r="668" hidden="1">
      <c r="A668" s="27" t="s">
        <v>2910</v>
      </c>
      <c r="B668" s="29" t="s">
        <v>843</v>
      </c>
      <c r="C668" s="3"/>
      <c r="D668" s="3"/>
      <c r="E668" s="3"/>
      <c r="F668" s="3"/>
      <c r="G668" s="3"/>
      <c r="H668" s="3"/>
      <c r="I668" s="3"/>
      <c r="J668" s="3"/>
      <c r="K668" s="3"/>
      <c r="L668" s="3"/>
      <c r="M668" s="3"/>
      <c r="N668" s="3"/>
      <c r="O668" s="3"/>
      <c r="P668" s="3"/>
      <c r="Q668" s="3"/>
      <c r="R668" s="3"/>
      <c r="S668" s="3"/>
      <c r="T668" s="3"/>
      <c r="U668" s="3"/>
      <c r="V668" s="3"/>
      <c r="W668" s="3"/>
      <c r="X668" s="3"/>
      <c r="Y668" s="3"/>
      <c r="Z668" s="3"/>
    </row>
    <row r="669" hidden="1">
      <c r="A669" s="27" t="s">
        <v>2911</v>
      </c>
      <c r="B669" s="29" t="s">
        <v>844</v>
      </c>
      <c r="C669" s="3"/>
      <c r="D669" s="3"/>
      <c r="E669" s="3"/>
      <c r="F669" s="3"/>
      <c r="G669" s="3"/>
      <c r="H669" s="3"/>
      <c r="I669" s="3"/>
      <c r="J669" s="3"/>
      <c r="K669" s="3"/>
      <c r="L669" s="3"/>
      <c r="M669" s="3"/>
      <c r="N669" s="3"/>
      <c r="O669" s="3"/>
      <c r="P669" s="3"/>
      <c r="Q669" s="3"/>
      <c r="R669" s="3"/>
      <c r="S669" s="3"/>
      <c r="T669" s="3"/>
      <c r="U669" s="3"/>
      <c r="V669" s="3"/>
      <c r="W669" s="3"/>
      <c r="X669" s="3"/>
      <c r="Y669" s="3"/>
      <c r="Z669" s="3"/>
    </row>
    <row r="670" hidden="1">
      <c r="A670" s="27" t="s">
        <v>2912</v>
      </c>
      <c r="B670" s="29" t="s">
        <v>845</v>
      </c>
      <c r="C670" s="3"/>
      <c r="D670" s="3"/>
      <c r="E670" s="3"/>
      <c r="F670" s="3"/>
      <c r="G670" s="3"/>
      <c r="H670" s="3"/>
      <c r="I670" s="3"/>
      <c r="J670" s="3"/>
      <c r="K670" s="3"/>
      <c r="L670" s="3"/>
      <c r="M670" s="3"/>
      <c r="N670" s="3"/>
      <c r="O670" s="3"/>
      <c r="P670" s="3"/>
      <c r="Q670" s="3"/>
      <c r="R670" s="3"/>
      <c r="S670" s="3"/>
      <c r="T670" s="3"/>
      <c r="U670" s="3"/>
      <c r="V670" s="3"/>
      <c r="W670" s="3"/>
      <c r="X670" s="3"/>
      <c r="Y670" s="3"/>
      <c r="Z670" s="3"/>
    </row>
    <row r="671" hidden="1">
      <c r="A671" s="27" t="s">
        <v>2913</v>
      </c>
      <c r="B671" s="29" t="s">
        <v>846</v>
      </c>
      <c r="C671" s="3"/>
      <c r="D671" s="3"/>
      <c r="E671" s="3"/>
      <c r="F671" s="3"/>
      <c r="G671" s="3"/>
      <c r="H671" s="3"/>
      <c r="I671" s="3"/>
      <c r="J671" s="3"/>
      <c r="K671" s="3"/>
      <c r="L671" s="3"/>
      <c r="M671" s="3"/>
      <c r="N671" s="3"/>
      <c r="O671" s="3"/>
      <c r="P671" s="3"/>
      <c r="Q671" s="3"/>
      <c r="R671" s="3"/>
      <c r="S671" s="3"/>
      <c r="T671" s="3"/>
      <c r="U671" s="3"/>
      <c r="V671" s="3"/>
      <c r="W671" s="3"/>
      <c r="X671" s="3"/>
      <c r="Y671" s="3"/>
      <c r="Z671" s="3"/>
    </row>
    <row r="672" hidden="1">
      <c r="A672" s="27" t="s">
        <v>2914</v>
      </c>
      <c r="B672" s="29" t="s">
        <v>848</v>
      </c>
      <c r="C672" s="3"/>
      <c r="D672" s="3"/>
      <c r="E672" s="3"/>
      <c r="F672" s="3"/>
      <c r="G672" s="3"/>
      <c r="H672" s="3"/>
      <c r="I672" s="3"/>
      <c r="J672" s="3"/>
      <c r="K672" s="3"/>
      <c r="L672" s="3"/>
      <c r="M672" s="3"/>
      <c r="N672" s="3"/>
      <c r="O672" s="3"/>
      <c r="P672" s="3"/>
      <c r="Q672" s="3"/>
      <c r="R672" s="3"/>
      <c r="S672" s="3"/>
      <c r="T672" s="3"/>
      <c r="U672" s="3"/>
      <c r="V672" s="3"/>
      <c r="W672" s="3"/>
      <c r="X672" s="3"/>
      <c r="Y672" s="3"/>
      <c r="Z672" s="3"/>
    </row>
    <row r="673" hidden="1">
      <c r="A673" s="27" t="s">
        <v>2915</v>
      </c>
      <c r="B673" s="29" t="s">
        <v>849</v>
      </c>
      <c r="C673" s="3"/>
      <c r="D673" s="3"/>
      <c r="E673" s="3"/>
      <c r="F673" s="3"/>
      <c r="G673" s="3"/>
      <c r="H673" s="3"/>
      <c r="I673" s="3"/>
      <c r="J673" s="3"/>
      <c r="K673" s="3"/>
      <c r="L673" s="3"/>
      <c r="M673" s="3"/>
      <c r="N673" s="3"/>
      <c r="O673" s="3"/>
      <c r="P673" s="3"/>
      <c r="Q673" s="3"/>
      <c r="R673" s="3"/>
      <c r="S673" s="3"/>
      <c r="T673" s="3"/>
      <c r="U673" s="3"/>
      <c r="V673" s="3"/>
      <c r="W673" s="3"/>
      <c r="X673" s="3"/>
      <c r="Y673" s="3"/>
      <c r="Z673" s="3"/>
    </row>
    <row r="674" hidden="1">
      <c r="A674" s="27" t="s">
        <v>2916</v>
      </c>
      <c r="B674" s="29" t="s">
        <v>850</v>
      </c>
      <c r="C674" s="3"/>
      <c r="D674" s="3"/>
      <c r="E674" s="3"/>
      <c r="F674" s="3"/>
      <c r="G674" s="3"/>
      <c r="H674" s="3"/>
      <c r="I674" s="3"/>
      <c r="J674" s="3"/>
      <c r="K674" s="3"/>
      <c r="L674" s="3"/>
      <c r="M674" s="3"/>
      <c r="N674" s="3"/>
      <c r="O674" s="3"/>
      <c r="P674" s="3"/>
      <c r="Q674" s="3"/>
      <c r="R674" s="3"/>
      <c r="S674" s="3"/>
      <c r="T674" s="3"/>
      <c r="U674" s="3"/>
      <c r="V674" s="3"/>
      <c r="W674" s="3"/>
      <c r="X674" s="3"/>
      <c r="Y674" s="3"/>
      <c r="Z674" s="3"/>
    </row>
    <row r="675" hidden="1">
      <c r="A675" s="27" t="s">
        <v>2917</v>
      </c>
      <c r="B675" s="29" t="s">
        <v>851</v>
      </c>
      <c r="C675" s="3"/>
      <c r="D675" s="3"/>
      <c r="E675" s="3"/>
      <c r="F675" s="3"/>
      <c r="G675" s="3"/>
      <c r="H675" s="3"/>
      <c r="I675" s="3"/>
      <c r="J675" s="3"/>
      <c r="K675" s="3"/>
      <c r="L675" s="3"/>
      <c r="M675" s="3"/>
      <c r="N675" s="3"/>
      <c r="O675" s="3"/>
      <c r="P675" s="3"/>
      <c r="Q675" s="3"/>
      <c r="R675" s="3"/>
      <c r="S675" s="3"/>
      <c r="T675" s="3"/>
      <c r="U675" s="3"/>
      <c r="V675" s="3"/>
      <c r="W675" s="3"/>
      <c r="X675" s="3"/>
      <c r="Y675" s="3"/>
      <c r="Z675" s="3"/>
    </row>
    <row r="676" hidden="1">
      <c r="A676" s="27" t="s">
        <v>2918</v>
      </c>
      <c r="B676" s="29" t="s">
        <v>852</v>
      </c>
      <c r="C676" s="3"/>
      <c r="D676" s="3"/>
      <c r="E676" s="3"/>
      <c r="F676" s="3"/>
      <c r="G676" s="3"/>
      <c r="H676" s="3"/>
      <c r="I676" s="3"/>
      <c r="J676" s="3"/>
      <c r="K676" s="3"/>
      <c r="L676" s="3"/>
      <c r="M676" s="3"/>
      <c r="N676" s="3"/>
      <c r="O676" s="3"/>
      <c r="P676" s="3"/>
      <c r="Q676" s="3"/>
      <c r="R676" s="3"/>
      <c r="S676" s="3"/>
      <c r="T676" s="3"/>
      <c r="U676" s="3"/>
      <c r="V676" s="3"/>
      <c r="W676" s="3"/>
      <c r="X676" s="3"/>
      <c r="Y676" s="3"/>
      <c r="Z676" s="3"/>
    </row>
    <row r="677" hidden="1">
      <c r="A677" s="27" t="s">
        <v>2919</v>
      </c>
      <c r="B677" s="29" t="s">
        <v>854</v>
      </c>
      <c r="C677" s="3"/>
      <c r="D677" s="3"/>
      <c r="E677" s="3"/>
      <c r="F677" s="3"/>
      <c r="G677" s="3"/>
      <c r="H677" s="3"/>
      <c r="I677" s="3"/>
      <c r="J677" s="3"/>
      <c r="K677" s="3"/>
      <c r="L677" s="3"/>
      <c r="M677" s="3"/>
      <c r="N677" s="3"/>
      <c r="O677" s="3"/>
      <c r="P677" s="3"/>
      <c r="Q677" s="3"/>
      <c r="R677" s="3"/>
      <c r="S677" s="3"/>
      <c r="T677" s="3"/>
      <c r="U677" s="3"/>
      <c r="V677" s="3"/>
      <c r="W677" s="3"/>
      <c r="X677" s="3"/>
      <c r="Y677" s="3"/>
      <c r="Z677" s="3"/>
    </row>
    <row r="678" hidden="1">
      <c r="A678" s="27" t="s">
        <v>2920</v>
      </c>
      <c r="B678" s="29" t="s">
        <v>856</v>
      </c>
      <c r="C678" s="3"/>
      <c r="D678" s="3"/>
      <c r="E678" s="3"/>
      <c r="F678" s="3"/>
      <c r="G678" s="3"/>
      <c r="H678" s="3"/>
      <c r="I678" s="3"/>
      <c r="J678" s="3"/>
      <c r="K678" s="3"/>
      <c r="L678" s="3"/>
      <c r="M678" s="3"/>
      <c r="N678" s="3"/>
      <c r="O678" s="3"/>
      <c r="P678" s="3"/>
      <c r="Q678" s="3"/>
      <c r="R678" s="3"/>
      <c r="S678" s="3"/>
      <c r="T678" s="3"/>
      <c r="U678" s="3"/>
      <c r="V678" s="3"/>
      <c r="W678" s="3"/>
      <c r="X678" s="3"/>
      <c r="Y678" s="3"/>
      <c r="Z678" s="3"/>
    </row>
    <row r="679" hidden="1">
      <c r="A679" s="27" t="s">
        <v>2921</v>
      </c>
      <c r="B679" s="29" t="s">
        <v>857</v>
      </c>
      <c r="C679" s="3"/>
      <c r="D679" s="3"/>
      <c r="E679" s="3"/>
      <c r="F679" s="3"/>
      <c r="G679" s="3"/>
      <c r="H679" s="3"/>
      <c r="I679" s="3"/>
      <c r="J679" s="3"/>
      <c r="K679" s="3"/>
      <c r="L679" s="3"/>
      <c r="M679" s="3"/>
      <c r="N679" s="3"/>
      <c r="O679" s="3"/>
      <c r="P679" s="3"/>
      <c r="Q679" s="3"/>
      <c r="R679" s="3"/>
      <c r="S679" s="3"/>
      <c r="T679" s="3"/>
      <c r="U679" s="3"/>
      <c r="V679" s="3"/>
      <c r="W679" s="3"/>
      <c r="X679" s="3"/>
      <c r="Y679" s="3"/>
      <c r="Z679" s="3"/>
    </row>
    <row r="680" hidden="1">
      <c r="A680" s="27" t="s">
        <v>2922</v>
      </c>
      <c r="B680" s="29" t="s">
        <v>858</v>
      </c>
      <c r="C680" s="3"/>
      <c r="D680" s="3"/>
      <c r="E680" s="3"/>
      <c r="F680" s="3"/>
      <c r="G680" s="3"/>
      <c r="H680" s="3"/>
      <c r="I680" s="3"/>
      <c r="J680" s="3"/>
      <c r="K680" s="3"/>
      <c r="L680" s="3"/>
      <c r="M680" s="3"/>
      <c r="N680" s="3"/>
      <c r="O680" s="3"/>
      <c r="P680" s="3"/>
      <c r="Q680" s="3"/>
      <c r="R680" s="3"/>
      <c r="S680" s="3"/>
      <c r="T680" s="3"/>
      <c r="U680" s="3"/>
      <c r="V680" s="3"/>
      <c r="W680" s="3"/>
      <c r="X680" s="3"/>
      <c r="Y680" s="3"/>
      <c r="Z680" s="3"/>
    </row>
    <row r="681" hidden="1">
      <c r="A681" s="27" t="s">
        <v>2923</v>
      </c>
      <c r="B681" s="29" t="s">
        <v>859</v>
      </c>
      <c r="C681" s="3"/>
      <c r="D681" s="3"/>
      <c r="E681" s="3"/>
      <c r="F681" s="3"/>
      <c r="G681" s="3"/>
      <c r="H681" s="3"/>
      <c r="I681" s="3"/>
      <c r="J681" s="3"/>
      <c r="K681" s="3"/>
      <c r="L681" s="3"/>
      <c r="M681" s="3"/>
      <c r="N681" s="3"/>
      <c r="O681" s="3"/>
      <c r="P681" s="3"/>
      <c r="Q681" s="3"/>
      <c r="R681" s="3"/>
      <c r="S681" s="3"/>
      <c r="T681" s="3"/>
      <c r="U681" s="3"/>
      <c r="V681" s="3"/>
      <c r="W681" s="3"/>
      <c r="X681" s="3"/>
      <c r="Y681" s="3"/>
      <c r="Z681" s="3"/>
    </row>
    <row r="682" hidden="1">
      <c r="A682" s="27" t="s">
        <v>2924</v>
      </c>
      <c r="B682" s="29" t="s">
        <v>860</v>
      </c>
      <c r="C682" s="3"/>
      <c r="D682" s="3"/>
      <c r="E682" s="3"/>
      <c r="F682" s="3"/>
      <c r="G682" s="3"/>
      <c r="H682" s="3"/>
      <c r="I682" s="3"/>
      <c r="J682" s="3"/>
      <c r="K682" s="3"/>
      <c r="L682" s="3"/>
      <c r="M682" s="3"/>
      <c r="N682" s="3"/>
      <c r="O682" s="3"/>
      <c r="P682" s="3"/>
      <c r="Q682" s="3"/>
      <c r="R682" s="3"/>
      <c r="S682" s="3"/>
      <c r="T682" s="3"/>
      <c r="U682" s="3"/>
      <c r="V682" s="3"/>
      <c r="W682" s="3"/>
      <c r="X682" s="3"/>
      <c r="Y682" s="3"/>
      <c r="Z682" s="3"/>
    </row>
    <row r="683" hidden="1">
      <c r="A683" s="27" t="s">
        <v>2925</v>
      </c>
      <c r="B683" s="29" t="s">
        <v>862</v>
      </c>
      <c r="C683" s="3"/>
      <c r="D683" s="3"/>
      <c r="E683" s="3"/>
      <c r="F683" s="3"/>
      <c r="G683" s="3"/>
      <c r="H683" s="3"/>
      <c r="I683" s="3"/>
      <c r="J683" s="3"/>
      <c r="K683" s="3"/>
      <c r="L683" s="3"/>
      <c r="M683" s="3"/>
      <c r="N683" s="3"/>
      <c r="O683" s="3"/>
      <c r="P683" s="3"/>
      <c r="Q683" s="3"/>
      <c r="R683" s="3"/>
      <c r="S683" s="3"/>
      <c r="T683" s="3"/>
      <c r="U683" s="3"/>
      <c r="V683" s="3"/>
      <c r="W683" s="3"/>
      <c r="X683" s="3"/>
      <c r="Y683" s="3"/>
      <c r="Z683" s="3"/>
    </row>
    <row r="684" hidden="1">
      <c r="A684" s="27" t="s">
        <v>2926</v>
      </c>
      <c r="B684" s="29" t="s">
        <v>863</v>
      </c>
      <c r="C684" s="3"/>
      <c r="D684" s="3"/>
      <c r="E684" s="3"/>
      <c r="F684" s="3"/>
      <c r="G684" s="3"/>
      <c r="H684" s="3"/>
      <c r="I684" s="3"/>
      <c r="J684" s="3"/>
      <c r="K684" s="3"/>
      <c r="L684" s="3"/>
      <c r="M684" s="3"/>
      <c r="N684" s="3"/>
      <c r="O684" s="3"/>
      <c r="P684" s="3"/>
      <c r="Q684" s="3"/>
      <c r="R684" s="3"/>
      <c r="S684" s="3"/>
      <c r="T684" s="3"/>
      <c r="U684" s="3"/>
      <c r="V684" s="3"/>
      <c r="W684" s="3"/>
      <c r="X684" s="3"/>
      <c r="Y684" s="3"/>
      <c r="Z684" s="3"/>
    </row>
    <row r="685" hidden="1">
      <c r="A685" s="27" t="s">
        <v>2927</v>
      </c>
      <c r="B685" s="29" t="s">
        <v>864</v>
      </c>
      <c r="C685" s="3"/>
      <c r="D685" s="3"/>
      <c r="E685" s="3"/>
      <c r="F685" s="3"/>
      <c r="G685" s="3"/>
      <c r="H685" s="3"/>
      <c r="I685" s="3"/>
      <c r="J685" s="3"/>
      <c r="K685" s="3"/>
      <c r="L685" s="3"/>
      <c r="M685" s="3"/>
      <c r="N685" s="3"/>
      <c r="O685" s="3"/>
      <c r="P685" s="3"/>
      <c r="Q685" s="3"/>
      <c r="R685" s="3"/>
      <c r="S685" s="3"/>
      <c r="T685" s="3"/>
      <c r="U685" s="3"/>
      <c r="V685" s="3"/>
      <c r="W685" s="3"/>
      <c r="X685" s="3"/>
      <c r="Y685" s="3"/>
      <c r="Z685" s="3"/>
    </row>
    <row r="686" hidden="1">
      <c r="A686" s="27" t="s">
        <v>2928</v>
      </c>
      <c r="B686" s="29" t="s">
        <v>865</v>
      </c>
      <c r="C686" s="3"/>
      <c r="D686" s="3"/>
      <c r="E686" s="3"/>
      <c r="F686" s="3"/>
      <c r="G686" s="3"/>
      <c r="H686" s="3"/>
      <c r="I686" s="3"/>
      <c r="J686" s="3"/>
      <c r="K686" s="3"/>
      <c r="L686" s="3"/>
      <c r="M686" s="3"/>
      <c r="N686" s="3"/>
      <c r="O686" s="3"/>
      <c r="P686" s="3"/>
      <c r="Q686" s="3"/>
      <c r="R686" s="3"/>
      <c r="S686" s="3"/>
      <c r="T686" s="3"/>
      <c r="U686" s="3"/>
      <c r="V686" s="3"/>
      <c r="W686" s="3"/>
      <c r="X686" s="3"/>
      <c r="Y686" s="3"/>
      <c r="Z686" s="3"/>
    </row>
    <row r="687" hidden="1">
      <c r="A687" s="27" t="s">
        <v>2929</v>
      </c>
      <c r="B687" s="29" t="s">
        <v>867</v>
      </c>
      <c r="C687" s="3"/>
      <c r="D687" s="3"/>
      <c r="E687" s="3"/>
      <c r="F687" s="3"/>
      <c r="G687" s="3"/>
      <c r="H687" s="3"/>
      <c r="I687" s="3"/>
      <c r="J687" s="3"/>
      <c r="K687" s="3"/>
      <c r="L687" s="3"/>
      <c r="M687" s="3"/>
      <c r="N687" s="3"/>
      <c r="O687" s="3"/>
      <c r="P687" s="3"/>
      <c r="Q687" s="3"/>
      <c r="R687" s="3"/>
      <c r="S687" s="3"/>
      <c r="T687" s="3"/>
      <c r="U687" s="3"/>
      <c r="V687" s="3"/>
      <c r="W687" s="3"/>
      <c r="X687" s="3"/>
      <c r="Y687" s="3"/>
      <c r="Z687" s="3"/>
    </row>
    <row r="688" hidden="1">
      <c r="A688" s="27" t="s">
        <v>2930</v>
      </c>
      <c r="B688" s="29" t="s">
        <v>868</v>
      </c>
      <c r="C688" s="3"/>
      <c r="D688" s="3"/>
      <c r="E688" s="3"/>
      <c r="F688" s="3"/>
      <c r="G688" s="3"/>
      <c r="H688" s="3"/>
      <c r="I688" s="3"/>
      <c r="J688" s="3"/>
      <c r="K688" s="3"/>
      <c r="L688" s="3"/>
      <c r="M688" s="3"/>
      <c r="N688" s="3"/>
      <c r="O688" s="3"/>
      <c r="P688" s="3"/>
      <c r="Q688" s="3"/>
      <c r="R688" s="3"/>
      <c r="S688" s="3"/>
      <c r="T688" s="3"/>
      <c r="U688" s="3"/>
      <c r="V688" s="3"/>
      <c r="W688" s="3"/>
      <c r="X688" s="3"/>
      <c r="Y688" s="3"/>
      <c r="Z688" s="3"/>
    </row>
    <row r="689" hidden="1">
      <c r="A689" s="27" t="s">
        <v>2931</v>
      </c>
      <c r="B689" s="29" t="s">
        <v>869</v>
      </c>
      <c r="C689" s="3"/>
      <c r="D689" s="3"/>
      <c r="E689" s="3"/>
      <c r="F689" s="3"/>
      <c r="G689" s="3"/>
      <c r="H689" s="3"/>
      <c r="I689" s="3"/>
      <c r="J689" s="3"/>
      <c r="K689" s="3"/>
      <c r="L689" s="3"/>
      <c r="M689" s="3"/>
      <c r="N689" s="3"/>
      <c r="O689" s="3"/>
      <c r="P689" s="3"/>
      <c r="Q689" s="3"/>
      <c r="R689" s="3"/>
      <c r="S689" s="3"/>
      <c r="T689" s="3"/>
      <c r="U689" s="3"/>
      <c r="V689" s="3"/>
      <c r="W689" s="3"/>
      <c r="X689" s="3"/>
      <c r="Y689" s="3"/>
      <c r="Z689" s="3"/>
    </row>
    <row r="690" hidden="1">
      <c r="A690" s="27" t="s">
        <v>2932</v>
      </c>
      <c r="B690" s="29" t="s">
        <v>870</v>
      </c>
      <c r="C690" s="3"/>
      <c r="D690" s="3"/>
      <c r="E690" s="3"/>
      <c r="F690" s="3"/>
      <c r="G690" s="3"/>
      <c r="H690" s="3"/>
      <c r="I690" s="3"/>
      <c r="J690" s="3"/>
      <c r="K690" s="3"/>
      <c r="L690" s="3"/>
      <c r="M690" s="3"/>
      <c r="N690" s="3"/>
      <c r="O690" s="3"/>
      <c r="P690" s="3"/>
      <c r="Q690" s="3"/>
      <c r="R690" s="3"/>
      <c r="S690" s="3"/>
      <c r="T690" s="3"/>
      <c r="U690" s="3"/>
      <c r="V690" s="3"/>
      <c r="W690" s="3"/>
      <c r="X690" s="3"/>
      <c r="Y690" s="3"/>
      <c r="Z690" s="3"/>
    </row>
    <row r="691" hidden="1">
      <c r="A691" s="27" t="s">
        <v>2933</v>
      </c>
      <c r="B691" s="29" t="s">
        <v>871</v>
      </c>
      <c r="C691" s="3"/>
      <c r="D691" s="3"/>
      <c r="E691" s="3"/>
      <c r="F691" s="3"/>
      <c r="G691" s="3"/>
      <c r="H691" s="3"/>
      <c r="I691" s="3"/>
      <c r="J691" s="3"/>
      <c r="K691" s="3"/>
      <c r="L691" s="3"/>
      <c r="M691" s="3"/>
      <c r="N691" s="3"/>
      <c r="O691" s="3"/>
      <c r="P691" s="3"/>
      <c r="Q691" s="3"/>
      <c r="R691" s="3"/>
      <c r="S691" s="3"/>
      <c r="T691" s="3"/>
      <c r="U691" s="3"/>
      <c r="V691" s="3"/>
      <c r="W691" s="3"/>
      <c r="X691" s="3"/>
      <c r="Y691" s="3"/>
      <c r="Z691" s="3"/>
    </row>
    <row r="692" hidden="1">
      <c r="A692" s="27" t="s">
        <v>2934</v>
      </c>
      <c r="B692" s="29" t="s">
        <v>872</v>
      </c>
      <c r="C692" s="3"/>
      <c r="D692" s="3"/>
      <c r="E692" s="3"/>
      <c r="F692" s="3"/>
      <c r="G692" s="3"/>
      <c r="H692" s="3"/>
      <c r="I692" s="3"/>
      <c r="J692" s="3"/>
      <c r="K692" s="3"/>
      <c r="L692" s="3"/>
      <c r="M692" s="3"/>
      <c r="N692" s="3"/>
      <c r="O692" s="3"/>
      <c r="P692" s="3"/>
      <c r="Q692" s="3"/>
      <c r="R692" s="3"/>
      <c r="S692" s="3"/>
      <c r="T692" s="3"/>
      <c r="U692" s="3"/>
      <c r="V692" s="3"/>
      <c r="W692" s="3"/>
      <c r="X692" s="3"/>
      <c r="Y692" s="3"/>
      <c r="Z692" s="3"/>
    </row>
    <row r="693" hidden="1">
      <c r="A693" s="27" t="s">
        <v>2935</v>
      </c>
      <c r="B693" s="29" t="s">
        <v>873</v>
      </c>
      <c r="C693" s="3"/>
      <c r="D693" s="3"/>
      <c r="E693" s="3"/>
      <c r="F693" s="3"/>
      <c r="G693" s="3"/>
      <c r="H693" s="3"/>
      <c r="I693" s="3"/>
      <c r="J693" s="3"/>
      <c r="K693" s="3"/>
      <c r="L693" s="3"/>
      <c r="M693" s="3"/>
      <c r="N693" s="3"/>
      <c r="O693" s="3"/>
      <c r="P693" s="3"/>
      <c r="Q693" s="3"/>
      <c r="R693" s="3"/>
      <c r="S693" s="3"/>
      <c r="T693" s="3"/>
      <c r="U693" s="3"/>
      <c r="V693" s="3"/>
      <c r="W693" s="3"/>
      <c r="X693" s="3"/>
      <c r="Y693" s="3"/>
      <c r="Z693" s="3"/>
    </row>
    <row r="694" hidden="1">
      <c r="A694" s="27" t="s">
        <v>2936</v>
      </c>
      <c r="B694" s="29" t="s">
        <v>875</v>
      </c>
      <c r="C694" s="3"/>
      <c r="D694" s="3"/>
      <c r="E694" s="3"/>
      <c r="F694" s="3"/>
      <c r="G694" s="3"/>
      <c r="H694" s="3"/>
      <c r="I694" s="3"/>
      <c r="J694" s="3"/>
      <c r="K694" s="3"/>
      <c r="L694" s="3"/>
      <c r="M694" s="3"/>
      <c r="N694" s="3"/>
      <c r="O694" s="3"/>
      <c r="P694" s="3"/>
      <c r="Q694" s="3"/>
      <c r="R694" s="3"/>
      <c r="S694" s="3"/>
      <c r="T694" s="3"/>
      <c r="U694" s="3"/>
      <c r="V694" s="3"/>
      <c r="W694" s="3"/>
      <c r="X694" s="3"/>
      <c r="Y694" s="3"/>
      <c r="Z694" s="3"/>
    </row>
    <row r="695" hidden="1">
      <c r="A695" s="27" t="s">
        <v>2937</v>
      </c>
      <c r="B695" s="29" t="s">
        <v>876</v>
      </c>
      <c r="C695" s="3"/>
      <c r="D695" s="3"/>
      <c r="E695" s="3"/>
      <c r="F695" s="3"/>
      <c r="G695" s="3"/>
      <c r="H695" s="3"/>
      <c r="I695" s="3"/>
      <c r="J695" s="3"/>
      <c r="K695" s="3"/>
      <c r="L695" s="3"/>
      <c r="M695" s="3"/>
      <c r="N695" s="3"/>
      <c r="O695" s="3"/>
      <c r="P695" s="3"/>
      <c r="Q695" s="3"/>
      <c r="R695" s="3"/>
      <c r="S695" s="3"/>
      <c r="T695" s="3"/>
      <c r="U695" s="3"/>
      <c r="V695" s="3"/>
      <c r="W695" s="3"/>
      <c r="X695" s="3"/>
      <c r="Y695" s="3"/>
      <c r="Z695" s="3"/>
    </row>
    <row r="696" hidden="1">
      <c r="A696" s="27" t="s">
        <v>2938</v>
      </c>
      <c r="B696" s="29" t="s">
        <v>877</v>
      </c>
      <c r="C696" s="3"/>
      <c r="D696" s="3"/>
      <c r="E696" s="3"/>
      <c r="F696" s="3"/>
      <c r="G696" s="3"/>
      <c r="H696" s="3"/>
      <c r="I696" s="3"/>
      <c r="J696" s="3"/>
      <c r="K696" s="3"/>
      <c r="L696" s="3"/>
      <c r="M696" s="3"/>
      <c r="N696" s="3"/>
      <c r="O696" s="3"/>
      <c r="P696" s="3"/>
      <c r="Q696" s="3"/>
      <c r="R696" s="3"/>
      <c r="S696" s="3"/>
      <c r="T696" s="3"/>
      <c r="U696" s="3"/>
      <c r="V696" s="3"/>
      <c r="W696" s="3"/>
      <c r="X696" s="3"/>
      <c r="Y696" s="3"/>
      <c r="Z696" s="3"/>
    </row>
    <row r="697" hidden="1">
      <c r="A697" s="27" t="s">
        <v>2939</v>
      </c>
      <c r="B697" s="29" t="s">
        <v>878</v>
      </c>
      <c r="C697" s="3"/>
      <c r="D697" s="3"/>
      <c r="E697" s="3"/>
      <c r="F697" s="3"/>
      <c r="G697" s="3"/>
      <c r="H697" s="3"/>
      <c r="I697" s="3"/>
      <c r="J697" s="3"/>
      <c r="K697" s="3"/>
      <c r="L697" s="3"/>
      <c r="M697" s="3"/>
      <c r="N697" s="3"/>
      <c r="O697" s="3"/>
      <c r="P697" s="3"/>
      <c r="Q697" s="3"/>
      <c r="R697" s="3"/>
      <c r="S697" s="3"/>
      <c r="T697" s="3"/>
      <c r="U697" s="3"/>
      <c r="V697" s="3"/>
      <c r="W697" s="3"/>
      <c r="X697" s="3"/>
      <c r="Y697" s="3"/>
      <c r="Z697" s="3"/>
    </row>
    <row r="698" hidden="1">
      <c r="A698" s="27" t="s">
        <v>2940</v>
      </c>
      <c r="B698" s="29" t="s">
        <v>879</v>
      </c>
      <c r="C698" s="3"/>
      <c r="D698" s="3"/>
      <c r="E698" s="3"/>
      <c r="F698" s="3"/>
      <c r="G698" s="3"/>
      <c r="H698" s="3"/>
      <c r="I698" s="3"/>
      <c r="J698" s="3"/>
      <c r="K698" s="3"/>
      <c r="L698" s="3"/>
      <c r="M698" s="3"/>
      <c r="N698" s="3"/>
      <c r="O698" s="3"/>
      <c r="P698" s="3"/>
      <c r="Q698" s="3"/>
      <c r="R698" s="3"/>
      <c r="S698" s="3"/>
      <c r="T698" s="3"/>
      <c r="U698" s="3"/>
      <c r="V698" s="3"/>
      <c r="W698" s="3"/>
      <c r="X698" s="3"/>
      <c r="Y698" s="3"/>
      <c r="Z698" s="3"/>
    </row>
    <row r="699" hidden="1">
      <c r="A699" s="27" t="s">
        <v>2941</v>
      </c>
      <c r="B699" s="29" t="s">
        <v>880</v>
      </c>
      <c r="C699" s="3"/>
      <c r="D699" s="3"/>
      <c r="E699" s="3"/>
      <c r="F699" s="3"/>
      <c r="G699" s="3"/>
      <c r="H699" s="3"/>
      <c r="I699" s="3"/>
      <c r="J699" s="3"/>
      <c r="K699" s="3"/>
      <c r="L699" s="3"/>
      <c r="M699" s="3"/>
      <c r="N699" s="3"/>
      <c r="O699" s="3"/>
      <c r="P699" s="3"/>
      <c r="Q699" s="3"/>
      <c r="R699" s="3"/>
      <c r="S699" s="3"/>
      <c r="T699" s="3"/>
      <c r="U699" s="3"/>
      <c r="V699" s="3"/>
      <c r="W699" s="3"/>
      <c r="X699" s="3"/>
      <c r="Y699" s="3"/>
      <c r="Z699" s="3"/>
    </row>
    <row r="700" hidden="1">
      <c r="A700" s="27" t="s">
        <v>2942</v>
      </c>
      <c r="B700" s="29" t="s">
        <v>882</v>
      </c>
      <c r="C700" s="3"/>
      <c r="D700" s="3"/>
      <c r="E700" s="3"/>
      <c r="F700" s="3"/>
      <c r="G700" s="3"/>
      <c r="H700" s="3"/>
      <c r="I700" s="3"/>
      <c r="J700" s="3"/>
      <c r="K700" s="3"/>
      <c r="L700" s="3"/>
      <c r="M700" s="3"/>
      <c r="N700" s="3"/>
      <c r="O700" s="3"/>
      <c r="P700" s="3"/>
      <c r="Q700" s="3"/>
      <c r="R700" s="3"/>
      <c r="S700" s="3"/>
      <c r="T700" s="3"/>
      <c r="U700" s="3"/>
      <c r="V700" s="3"/>
      <c r="W700" s="3"/>
      <c r="X700" s="3"/>
      <c r="Y700" s="3"/>
      <c r="Z700" s="3"/>
    </row>
    <row r="701" hidden="1">
      <c r="A701" s="27" t="s">
        <v>2943</v>
      </c>
      <c r="B701" s="29" t="s">
        <v>883</v>
      </c>
      <c r="C701" s="3"/>
      <c r="D701" s="3"/>
      <c r="E701" s="3"/>
      <c r="F701" s="3"/>
      <c r="G701" s="3"/>
      <c r="H701" s="3"/>
      <c r="I701" s="3"/>
      <c r="J701" s="3"/>
      <c r="K701" s="3"/>
      <c r="L701" s="3"/>
      <c r="M701" s="3"/>
      <c r="N701" s="3"/>
      <c r="O701" s="3"/>
      <c r="P701" s="3"/>
      <c r="Q701" s="3"/>
      <c r="R701" s="3"/>
      <c r="S701" s="3"/>
      <c r="T701" s="3"/>
      <c r="U701" s="3"/>
      <c r="V701" s="3"/>
      <c r="W701" s="3"/>
      <c r="X701" s="3"/>
      <c r="Y701" s="3"/>
      <c r="Z701" s="3"/>
    </row>
    <row r="702" hidden="1">
      <c r="A702" s="27" t="s">
        <v>2944</v>
      </c>
      <c r="B702" s="29" t="s">
        <v>884</v>
      </c>
      <c r="C702" s="3"/>
      <c r="D702" s="3"/>
      <c r="E702" s="3"/>
      <c r="F702" s="3"/>
      <c r="G702" s="3"/>
      <c r="H702" s="3"/>
      <c r="I702" s="3"/>
      <c r="J702" s="3"/>
      <c r="K702" s="3"/>
      <c r="L702" s="3"/>
      <c r="M702" s="3"/>
      <c r="N702" s="3"/>
      <c r="O702" s="3"/>
      <c r="P702" s="3"/>
      <c r="Q702" s="3"/>
      <c r="R702" s="3"/>
      <c r="S702" s="3"/>
      <c r="T702" s="3"/>
      <c r="U702" s="3"/>
      <c r="V702" s="3"/>
      <c r="W702" s="3"/>
      <c r="X702" s="3"/>
      <c r="Y702" s="3"/>
      <c r="Z702" s="3"/>
    </row>
    <row r="703" hidden="1">
      <c r="A703" s="27" t="s">
        <v>2945</v>
      </c>
      <c r="B703" s="29" t="s">
        <v>885</v>
      </c>
      <c r="C703" s="3"/>
      <c r="D703" s="3"/>
      <c r="E703" s="3"/>
      <c r="F703" s="3"/>
      <c r="G703" s="3"/>
      <c r="H703" s="3"/>
      <c r="I703" s="3"/>
      <c r="J703" s="3"/>
      <c r="K703" s="3"/>
      <c r="L703" s="3"/>
      <c r="M703" s="3"/>
      <c r="N703" s="3"/>
      <c r="O703" s="3"/>
      <c r="P703" s="3"/>
      <c r="Q703" s="3"/>
      <c r="R703" s="3"/>
      <c r="S703" s="3"/>
      <c r="T703" s="3"/>
      <c r="U703" s="3"/>
      <c r="V703" s="3"/>
      <c r="W703" s="3"/>
      <c r="X703" s="3"/>
      <c r="Y703" s="3"/>
      <c r="Z703" s="3"/>
    </row>
    <row r="704" hidden="1">
      <c r="A704" s="27" t="s">
        <v>2946</v>
      </c>
      <c r="B704" s="29" t="s">
        <v>886</v>
      </c>
      <c r="C704" s="3"/>
      <c r="D704" s="3"/>
      <c r="E704" s="3"/>
      <c r="F704" s="3"/>
      <c r="G704" s="3"/>
      <c r="H704" s="3"/>
      <c r="I704" s="3"/>
      <c r="J704" s="3"/>
      <c r="K704" s="3"/>
      <c r="L704" s="3"/>
      <c r="M704" s="3"/>
      <c r="N704" s="3"/>
      <c r="O704" s="3"/>
      <c r="P704" s="3"/>
      <c r="Q704" s="3"/>
      <c r="R704" s="3"/>
      <c r="S704" s="3"/>
      <c r="T704" s="3"/>
      <c r="U704" s="3"/>
      <c r="V704" s="3"/>
      <c r="W704" s="3"/>
      <c r="X704" s="3"/>
      <c r="Y704" s="3"/>
      <c r="Z704" s="3"/>
    </row>
    <row r="705" hidden="1">
      <c r="A705" s="27" t="s">
        <v>2947</v>
      </c>
      <c r="B705" s="29" t="s">
        <v>887</v>
      </c>
      <c r="C705" s="3"/>
      <c r="D705" s="3"/>
      <c r="E705" s="3"/>
      <c r="F705" s="3"/>
      <c r="G705" s="3"/>
      <c r="H705" s="3"/>
      <c r="I705" s="3"/>
      <c r="J705" s="3"/>
      <c r="K705" s="3"/>
      <c r="L705" s="3"/>
      <c r="M705" s="3"/>
      <c r="N705" s="3"/>
      <c r="O705" s="3"/>
      <c r="P705" s="3"/>
      <c r="Q705" s="3"/>
      <c r="R705" s="3"/>
      <c r="S705" s="3"/>
      <c r="T705" s="3"/>
      <c r="U705" s="3"/>
      <c r="V705" s="3"/>
      <c r="W705" s="3"/>
      <c r="X705" s="3"/>
      <c r="Y705" s="3"/>
      <c r="Z705" s="3"/>
    </row>
    <row r="706" hidden="1">
      <c r="A706" s="27" t="s">
        <v>2948</v>
      </c>
      <c r="B706" s="29" t="s">
        <v>888</v>
      </c>
      <c r="C706" s="3"/>
      <c r="D706" s="3"/>
      <c r="E706" s="3"/>
      <c r="F706" s="3"/>
      <c r="G706" s="3"/>
      <c r="H706" s="3"/>
      <c r="I706" s="3"/>
      <c r="J706" s="3"/>
      <c r="K706" s="3"/>
      <c r="L706" s="3"/>
      <c r="M706" s="3"/>
      <c r="N706" s="3"/>
      <c r="O706" s="3"/>
      <c r="P706" s="3"/>
      <c r="Q706" s="3"/>
      <c r="R706" s="3"/>
      <c r="S706" s="3"/>
      <c r="T706" s="3"/>
      <c r="U706" s="3"/>
      <c r="V706" s="3"/>
      <c r="W706" s="3"/>
      <c r="X706" s="3"/>
      <c r="Y706" s="3"/>
      <c r="Z706" s="3"/>
    </row>
    <row r="707" hidden="1">
      <c r="A707" s="27" t="s">
        <v>2949</v>
      </c>
      <c r="B707" s="29" t="s">
        <v>890</v>
      </c>
      <c r="C707" s="3"/>
      <c r="D707" s="3"/>
      <c r="E707" s="3"/>
      <c r="F707" s="3"/>
      <c r="G707" s="3"/>
      <c r="H707" s="3"/>
      <c r="I707" s="3"/>
      <c r="J707" s="3"/>
      <c r="K707" s="3"/>
      <c r="L707" s="3"/>
      <c r="M707" s="3"/>
      <c r="N707" s="3"/>
      <c r="O707" s="3"/>
      <c r="P707" s="3"/>
      <c r="Q707" s="3"/>
      <c r="R707" s="3"/>
      <c r="S707" s="3"/>
      <c r="T707" s="3"/>
      <c r="U707" s="3"/>
      <c r="V707" s="3"/>
      <c r="W707" s="3"/>
      <c r="X707" s="3"/>
      <c r="Y707" s="3"/>
      <c r="Z707" s="3"/>
    </row>
    <row r="708" hidden="1">
      <c r="A708" s="27" t="s">
        <v>2950</v>
      </c>
      <c r="B708" s="29" t="s">
        <v>891</v>
      </c>
      <c r="C708" s="3"/>
      <c r="D708" s="3"/>
      <c r="E708" s="3"/>
      <c r="F708" s="3"/>
      <c r="G708" s="3"/>
      <c r="H708" s="3"/>
      <c r="I708" s="3"/>
      <c r="J708" s="3"/>
      <c r="K708" s="3"/>
      <c r="L708" s="3"/>
      <c r="M708" s="3"/>
      <c r="N708" s="3"/>
      <c r="O708" s="3"/>
      <c r="P708" s="3"/>
      <c r="Q708" s="3"/>
      <c r="R708" s="3"/>
      <c r="S708" s="3"/>
      <c r="T708" s="3"/>
      <c r="U708" s="3"/>
      <c r="V708" s="3"/>
      <c r="W708" s="3"/>
      <c r="X708" s="3"/>
      <c r="Y708" s="3"/>
      <c r="Z708" s="3"/>
    </row>
    <row r="709" hidden="1">
      <c r="A709" s="27" t="s">
        <v>2951</v>
      </c>
      <c r="B709" s="29" t="s">
        <v>892</v>
      </c>
      <c r="C709" s="3"/>
      <c r="D709" s="3"/>
      <c r="E709" s="3"/>
      <c r="F709" s="3"/>
      <c r="G709" s="3"/>
      <c r="H709" s="3"/>
      <c r="I709" s="3"/>
      <c r="J709" s="3"/>
      <c r="K709" s="3"/>
      <c r="L709" s="3"/>
      <c r="M709" s="3"/>
      <c r="N709" s="3"/>
      <c r="O709" s="3"/>
      <c r="P709" s="3"/>
      <c r="Q709" s="3"/>
      <c r="R709" s="3"/>
      <c r="S709" s="3"/>
      <c r="T709" s="3"/>
      <c r="U709" s="3"/>
      <c r="V709" s="3"/>
      <c r="W709" s="3"/>
      <c r="X709" s="3"/>
      <c r="Y709" s="3"/>
      <c r="Z709" s="3"/>
    </row>
    <row r="710" hidden="1">
      <c r="A710" s="27" t="s">
        <v>2952</v>
      </c>
      <c r="B710" s="29" t="s">
        <v>893</v>
      </c>
      <c r="C710" s="3"/>
      <c r="D710" s="3"/>
      <c r="E710" s="3"/>
      <c r="F710" s="3"/>
      <c r="G710" s="3"/>
      <c r="H710" s="3"/>
      <c r="I710" s="3"/>
      <c r="J710" s="3"/>
      <c r="K710" s="3"/>
      <c r="L710" s="3"/>
      <c r="M710" s="3"/>
      <c r="N710" s="3"/>
      <c r="O710" s="3"/>
      <c r="P710" s="3"/>
      <c r="Q710" s="3"/>
      <c r="R710" s="3"/>
      <c r="S710" s="3"/>
      <c r="T710" s="3"/>
      <c r="U710" s="3"/>
      <c r="V710" s="3"/>
      <c r="W710" s="3"/>
      <c r="X710" s="3"/>
      <c r="Y710" s="3"/>
      <c r="Z710" s="3"/>
    </row>
    <row r="711" hidden="1">
      <c r="A711" s="27" t="s">
        <v>2953</v>
      </c>
      <c r="B711" s="29" t="s">
        <v>894</v>
      </c>
      <c r="C711" s="3"/>
      <c r="D711" s="3"/>
      <c r="E711" s="3"/>
      <c r="F711" s="3"/>
      <c r="G711" s="3"/>
      <c r="H711" s="3"/>
      <c r="I711" s="3"/>
      <c r="J711" s="3"/>
      <c r="K711" s="3"/>
      <c r="L711" s="3"/>
      <c r="M711" s="3"/>
      <c r="N711" s="3"/>
      <c r="O711" s="3"/>
      <c r="P711" s="3"/>
      <c r="Q711" s="3"/>
      <c r="R711" s="3"/>
      <c r="S711" s="3"/>
      <c r="T711" s="3"/>
      <c r="U711" s="3"/>
      <c r="V711" s="3"/>
      <c r="W711" s="3"/>
      <c r="X711" s="3"/>
      <c r="Y711" s="3"/>
      <c r="Z711" s="3"/>
    </row>
    <row r="712" hidden="1">
      <c r="A712" s="27" t="s">
        <v>2954</v>
      </c>
      <c r="B712" s="29" t="s">
        <v>895</v>
      </c>
      <c r="C712" s="3"/>
      <c r="D712" s="3"/>
      <c r="E712" s="3"/>
      <c r="F712" s="3"/>
      <c r="G712" s="3"/>
      <c r="H712" s="3"/>
      <c r="I712" s="3"/>
      <c r="J712" s="3"/>
      <c r="K712" s="3"/>
      <c r="L712" s="3"/>
      <c r="M712" s="3"/>
      <c r="N712" s="3"/>
      <c r="O712" s="3"/>
      <c r="P712" s="3"/>
      <c r="Q712" s="3"/>
      <c r="R712" s="3"/>
      <c r="S712" s="3"/>
      <c r="T712" s="3"/>
      <c r="U712" s="3"/>
      <c r="V712" s="3"/>
      <c r="W712" s="3"/>
      <c r="X712" s="3"/>
      <c r="Y712" s="3"/>
      <c r="Z712" s="3"/>
    </row>
    <row r="713" hidden="1">
      <c r="A713" s="27" t="s">
        <v>2955</v>
      </c>
      <c r="B713" s="29" t="s">
        <v>896</v>
      </c>
      <c r="C713" s="3"/>
      <c r="D713" s="3"/>
      <c r="E713" s="3"/>
      <c r="F713" s="3"/>
      <c r="G713" s="3"/>
      <c r="H713" s="3"/>
      <c r="I713" s="3"/>
      <c r="J713" s="3"/>
      <c r="K713" s="3"/>
      <c r="L713" s="3"/>
      <c r="M713" s="3"/>
      <c r="N713" s="3"/>
      <c r="O713" s="3"/>
      <c r="P713" s="3"/>
      <c r="Q713" s="3"/>
      <c r="R713" s="3"/>
      <c r="S713" s="3"/>
      <c r="T713" s="3"/>
      <c r="U713" s="3"/>
      <c r="V713" s="3"/>
      <c r="W713" s="3"/>
      <c r="X713" s="3"/>
      <c r="Y713" s="3"/>
      <c r="Z713" s="3"/>
    </row>
    <row r="714" hidden="1">
      <c r="A714" s="27" t="s">
        <v>2956</v>
      </c>
      <c r="B714" s="29" t="s">
        <v>898</v>
      </c>
      <c r="C714" s="3"/>
      <c r="D714" s="3"/>
      <c r="E714" s="3"/>
      <c r="F714" s="3"/>
      <c r="G714" s="3"/>
      <c r="H714" s="3"/>
      <c r="I714" s="3"/>
      <c r="J714" s="3"/>
      <c r="K714" s="3"/>
      <c r="L714" s="3"/>
      <c r="M714" s="3"/>
      <c r="N714" s="3"/>
      <c r="O714" s="3"/>
      <c r="P714" s="3"/>
      <c r="Q714" s="3"/>
      <c r="R714" s="3"/>
      <c r="S714" s="3"/>
      <c r="T714" s="3"/>
      <c r="U714" s="3"/>
      <c r="V714" s="3"/>
      <c r="W714" s="3"/>
      <c r="X714" s="3"/>
      <c r="Y714" s="3"/>
      <c r="Z714" s="3"/>
    </row>
    <row r="715" hidden="1">
      <c r="A715" s="27" t="s">
        <v>2957</v>
      </c>
      <c r="B715" s="29" t="s">
        <v>899</v>
      </c>
      <c r="C715" s="3"/>
      <c r="D715" s="3"/>
      <c r="E715" s="3"/>
      <c r="F715" s="3"/>
      <c r="G715" s="3"/>
      <c r="H715" s="3"/>
      <c r="I715" s="3"/>
      <c r="J715" s="3"/>
      <c r="K715" s="3"/>
      <c r="L715" s="3"/>
      <c r="M715" s="3"/>
      <c r="N715" s="3"/>
      <c r="O715" s="3"/>
      <c r="P715" s="3"/>
      <c r="Q715" s="3"/>
      <c r="R715" s="3"/>
      <c r="S715" s="3"/>
      <c r="T715" s="3"/>
      <c r="U715" s="3"/>
      <c r="V715" s="3"/>
      <c r="W715" s="3"/>
      <c r="X715" s="3"/>
      <c r="Y715" s="3"/>
      <c r="Z715" s="3"/>
    </row>
    <row r="716" hidden="1">
      <c r="A716" s="27" t="s">
        <v>2958</v>
      </c>
      <c r="B716" s="29" t="s">
        <v>900</v>
      </c>
      <c r="C716" s="3"/>
      <c r="D716" s="3"/>
      <c r="E716" s="3"/>
      <c r="F716" s="3"/>
      <c r="G716" s="3"/>
      <c r="H716" s="3"/>
      <c r="I716" s="3"/>
      <c r="J716" s="3"/>
      <c r="K716" s="3"/>
      <c r="L716" s="3"/>
      <c r="M716" s="3"/>
      <c r="N716" s="3"/>
      <c r="O716" s="3"/>
      <c r="P716" s="3"/>
      <c r="Q716" s="3"/>
      <c r="R716" s="3"/>
      <c r="S716" s="3"/>
      <c r="T716" s="3"/>
      <c r="U716" s="3"/>
      <c r="V716" s="3"/>
      <c r="W716" s="3"/>
      <c r="X716" s="3"/>
      <c r="Y716" s="3"/>
      <c r="Z716" s="3"/>
    </row>
    <row r="717" hidden="1">
      <c r="A717" s="27" t="s">
        <v>2959</v>
      </c>
      <c r="B717" s="29" t="s">
        <v>901</v>
      </c>
      <c r="C717" s="3"/>
      <c r="D717" s="3"/>
      <c r="E717" s="3"/>
      <c r="F717" s="3"/>
      <c r="G717" s="3"/>
      <c r="H717" s="3"/>
      <c r="I717" s="3"/>
      <c r="J717" s="3"/>
      <c r="K717" s="3"/>
      <c r="L717" s="3"/>
      <c r="M717" s="3"/>
      <c r="N717" s="3"/>
      <c r="O717" s="3"/>
      <c r="P717" s="3"/>
      <c r="Q717" s="3"/>
      <c r="R717" s="3"/>
      <c r="S717" s="3"/>
      <c r="T717" s="3"/>
      <c r="U717" s="3"/>
      <c r="V717" s="3"/>
      <c r="W717" s="3"/>
      <c r="X717" s="3"/>
      <c r="Y717" s="3"/>
      <c r="Z717" s="3"/>
    </row>
    <row r="718" hidden="1">
      <c r="A718" s="27" t="s">
        <v>2960</v>
      </c>
      <c r="B718" s="29" t="s">
        <v>902</v>
      </c>
      <c r="C718" s="3"/>
      <c r="D718" s="3"/>
      <c r="E718" s="3"/>
      <c r="F718" s="3"/>
      <c r="G718" s="3"/>
      <c r="H718" s="3"/>
      <c r="I718" s="3"/>
      <c r="J718" s="3"/>
      <c r="K718" s="3"/>
      <c r="L718" s="3"/>
      <c r="M718" s="3"/>
      <c r="N718" s="3"/>
      <c r="O718" s="3"/>
      <c r="P718" s="3"/>
      <c r="Q718" s="3"/>
      <c r="R718" s="3"/>
      <c r="S718" s="3"/>
      <c r="T718" s="3"/>
      <c r="U718" s="3"/>
      <c r="V718" s="3"/>
      <c r="W718" s="3"/>
      <c r="X718" s="3"/>
      <c r="Y718" s="3"/>
      <c r="Z718" s="3"/>
    </row>
    <row r="719" hidden="1">
      <c r="A719" s="27" t="s">
        <v>2961</v>
      </c>
      <c r="B719" s="29" t="s">
        <v>903</v>
      </c>
      <c r="C719" s="3"/>
      <c r="D719" s="3"/>
      <c r="E719" s="3"/>
      <c r="F719" s="3"/>
      <c r="G719" s="3"/>
      <c r="H719" s="3"/>
      <c r="I719" s="3"/>
      <c r="J719" s="3"/>
      <c r="K719" s="3"/>
      <c r="L719" s="3"/>
      <c r="M719" s="3"/>
      <c r="N719" s="3"/>
      <c r="O719" s="3"/>
      <c r="P719" s="3"/>
      <c r="Q719" s="3"/>
      <c r="R719" s="3"/>
      <c r="S719" s="3"/>
      <c r="T719" s="3"/>
      <c r="U719" s="3"/>
      <c r="V719" s="3"/>
      <c r="W719" s="3"/>
      <c r="X719" s="3"/>
      <c r="Y719" s="3"/>
      <c r="Z719" s="3"/>
    </row>
    <row r="720" hidden="1">
      <c r="A720" s="27" t="s">
        <v>2962</v>
      </c>
      <c r="B720" s="29" t="s">
        <v>905</v>
      </c>
      <c r="C720" s="3"/>
      <c r="D720" s="3"/>
      <c r="E720" s="3"/>
      <c r="F720" s="3"/>
      <c r="G720" s="3"/>
      <c r="H720" s="3"/>
      <c r="I720" s="3"/>
      <c r="J720" s="3"/>
      <c r="K720" s="3"/>
      <c r="L720" s="3"/>
      <c r="M720" s="3"/>
      <c r="N720" s="3"/>
      <c r="O720" s="3"/>
      <c r="P720" s="3"/>
      <c r="Q720" s="3"/>
      <c r="R720" s="3"/>
      <c r="S720" s="3"/>
      <c r="T720" s="3"/>
      <c r="U720" s="3"/>
      <c r="V720" s="3"/>
      <c r="W720" s="3"/>
      <c r="X720" s="3"/>
      <c r="Y720" s="3"/>
      <c r="Z720" s="3"/>
    </row>
    <row r="721" hidden="1">
      <c r="A721" s="27" t="s">
        <v>2963</v>
      </c>
      <c r="B721" s="29" t="s">
        <v>906</v>
      </c>
      <c r="C721" s="3"/>
      <c r="D721" s="3"/>
      <c r="E721" s="3"/>
      <c r="F721" s="3"/>
      <c r="G721" s="3"/>
      <c r="H721" s="3"/>
      <c r="I721" s="3"/>
      <c r="J721" s="3"/>
      <c r="K721" s="3"/>
      <c r="L721" s="3"/>
      <c r="M721" s="3"/>
      <c r="N721" s="3"/>
      <c r="O721" s="3"/>
      <c r="P721" s="3"/>
      <c r="Q721" s="3"/>
      <c r="R721" s="3"/>
      <c r="S721" s="3"/>
      <c r="T721" s="3"/>
      <c r="U721" s="3"/>
      <c r="V721" s="3"/>
      <c r="W721" s="3"/>
      <c r="X721" s="3"/>
      <c r="Y721" s="3"/>
      <c r="Z721" s="3"/>
    </row>
    <row r="722" hidden="1">
      <c r="A722" s="27" t="s">
        <v>2964</v>
      </c>
      <c r="B722" s="29" t="s">
        <v>907</v>
      </c>
      <c r="C722" s="3"/>
      <c r="D722" s="3"/>
      <c r="E722" s="3"/>
      <c r="F722" s="3"/>
      <c r="G722" s="3"/>
      <c r="H722" s="3"/>
      <c r="I722" s="3"/>
      <c r="J722" s="3"/>
      <c r="K722" s="3"/>
      <c r="L722" s="3"/>
      <c r="M722" s="3"/>
      <c r="N722" s="3"/>
      <c r="O722" s="3"/>
      <c r="P722" s="3"/>
      <c r="Q722" s="3"/>
      <c r="R722" s="3"/>
      <c r="S722" s="3"/>
      <c r="T722" s="3"/>
      <c r="U722" s="3"/>
      <c r="V722" s="3"/>
      <c r="W722" s="3"/>
      <c r="X722" s="3"/>
      <c r="Y722" s="3"/>
      <c r="Z722" s="3"/>
    </row>
    <row r="723" hidden="1">
      <c r="A723" s="27" t="s">
        <v>2965</v>
      </c>
      <c r="B723" s="29" t="s">
        <v>908</v>
      </c>
      <c r="C723" s="3"/>
      <c r="D723" s="3"/>
      <c r="E723" s="3"/>
      <c r="F723" s="3"/>
      <c r="G723" s="3"/>
      <c r="H723" s="3"/>
      <c r="I723" s="3"/>
      <c r="J723" s="3"/>
      <c r="K723" s="3"/>
      <c r="L723" s="3"/>
      <c r="M723" s="3"/>
      <c r="N723" s="3"/>
      <c r="O723" s="3"/>
      <c r="P723" s="3"/>
      <c r="Q723" s="3"/>
      <c r="R723" s="3"/>
      <c r="S723" s="3"/>
      <c r="T723" s="3"/>
      <c r="U723" s="3"/>
      <c r="V723" s="3"/>
      <c r="W723" s="3"/>
      <c r="X723" s="3"/>
      <c r="Y723" s="3"/>
      <c r="Z723" s="3"/>
    </row>
    <row r="724" hidden="1">
      <c r="A724" s="27" t="s">
        <v>2966</v>
      </c>
      <c r="B724" s="29" t="s">
        <v>909</v>
      </c>
      <c r="C724" s="3"/>
      <c r="D724" s="3"/>
      <c r="E724" s="3"/>
      <c r="F724" s="3"/>
      <c r="G724" s="3"/>
      <c r="H724" s="3"/>
      <c r="I724" s="3"/>
      <c r="J724" s="3"/>
      <c r="K724" s="3"/>
      <c r="L724" s="3"/>
      <c r="M724" s="3"/>
      <c r="N724" s="3"/>
      <c r="O724" s="3"/>
      <c r="P724" s="3"/>
      <c r="Q724" s="3"/>
      <c r="R724" s="3"/>
      <c r="S724" s="3"/>
      <c r="T724" s="3"/>
      <c r="U724" s="3"/>
      <c r="V724" s="3"/>
      <c r="W724" s="3"/>
      <c r="X724" s="3"/>
      <c r="Y724" s="3"/>
      <c r="Z724" s="3"/>
    </row>
    <row r="725" hidden="1">
      <c r="A725" s="27" t="s">
        <v>2967</v>
      </c>
      <c r="B725" s="29" t="s">
        <v>910</v>
      </c>
      <c r="C725" s="3"/>
      <c r="D725" s="3"/>
      <c r="E725" s="3"/>
      <c r="F725" s="3"/>
      <c r="G725" s="3"/>
      <c r="H725" s="3"/>
      <c r="I725" s="3"/>
      <c r="J725" s="3"/>
      <c r="K725" s="3"/>
      <c r="L725" s="3"/>
      <c r="M725" s="3"/>
      <c r="N725" s="3"/>
      <c r="O725" s="3"/>
      <c r="P725" s="3"/>
      <c r="Q725" s="3"/>
      <c r="R725" s="3"/>
      <c r="S725" s="3"/>
      <c r="T725" s="3"/>
      <c r="U725" s="3"/>
      <c r="V725" s="3"/>
      <c r="W725" s="3"/>
      <c r="X725" s="3"/>
      <c r="Y725" s="3"/>
      <c r="Z725" s="3"/>
    </row>
    <row r="726" hidden="1">
      <c r="A726" s="27" t="s">
        <v>2968</v>
      </c>
      <c r="B726" s="29" t="s">
        <v>911</v>
      </c>
      <c r="C726" s="3"/>
      <c r="D726" s="3"/>
      <c r="E726" s="3"/>
      <c r="F726" s="3"/>
      <c r="G726" s="3"/>
      <c r="H726" s="3"/>
      <c r="I726" s="3"/>
      <c r="J726" s="3"/>
      <c r="K726" s="3"/>
      <c r="L726" s="3"/>
      <c r="M726" s="3"/>
      <c r="N726" s="3"/>
      <c r="O726" s="3"/>
      <c r="P726" s="3"/>
      <c r="Q726" s="3"/>
      <c r="R726" s="3"/>
      <c r="S726" s="3"/>
      <c r="T726" s="3"/>
      <c r="U726" s="3"/>
      <c r="V726" s="3"/>
      <c r="W726" s="3"/>
      <c r="X726" s="3"/>
      <c r="Y726" s="3"/>
      <c r="Z726" s="3"/>
    </row>
    <row r="727" hidden="1">
      <c r="A727" s="27" t="s">
        <v>2969</v>
      </c>
      <c r="B727" s="29" t="s">
        <v>913</v>
      </c>
      <c r="C727" s="3"/>
      <c r="D727" s="3"/>
      <c r="E727" s="3"/>
      <c r="F727" s="3"/>
      <c r="G727" s="3"/>
      <c r="H727" s="3"/>
      <c r="I727" s="3"/>
      <c r="J727" s="3"/>
      <c r="K727" s="3"/>
      <c r="L727" s="3"/>
      <c r="M727" s="3"/>
      <c r="N727" s="3"/>
      <c r="O727" s="3"/>
      <c r="P727" s="3"/>
      <c r="Q727" s="3"/>
      <c r="R727" s="3"/>
      <c r="S727" s="3"/>
      <c r="T727" s="3"/>
      <c r="U727" s="3"/>
      <c r="V727" s="3"/>
      <c r="W727" s="3"/>
      <c r="X727" s="3"/>
      <c r="Y727" s="3"/>
      <c r="Z727" s="3"/>
    </row>
    <row r="728" hidden="1">
      <c r="A728" s="27" t="s">
        <v>2970</v>
      </c>
      <c r="B728" s="29" t="s">
        <v>914</v>
      </c>
      <c r="C728" s="3"/>
      <c r="D728" s="3"/>
      <c r="E728" s="3"/>
      <c r="F728" s="3"/>
      <c r="G728" s="3"/>
      <c r="H728" s="3"/>
      <c r="I728" s="3"/>
      <c r="J728" s="3"/>
      <c r="K728" s="3"/>
      <c r="L728" s="3"/>
      <c r="M728" s="3"/>
      <c r="N728" s="3"/>
      <c r="O728" s="3"/>
      <c r="P728" s="3"/>
      <c r="Q728" s="3"/>
      <c r="R728" s="3"/>
      <c r="S728" s="3"/>
      <c r="T728" s="3"/>
      <c r="U728" s="3"/>
      <c r="V728" s="3"/>
      <c r="W728" s="3"/>
      <c r="X728" s="3"/>
      <c r="Y728" s="3"/>
      <c r="Z728" s="3"/>
    </row>
    <row r="729" hidden="1">
      <c r="A729" s="27" t="s">
        <v>2971</v>
      </c>
      <c r="B729" s="29" t="s">
        <v>915</v>
      </c>
      <c r="C729" s="3"/>
      <c r="D729" s="3"/>
      <c r="E729" s="3"/>
      <c r="F729" s="3"/>
      <c r="G729" s="3"/>
      <c r="H729" s="3"/>
      <c r="I729" s="3"/>
      <c r="J729" s="3"/>
      <c r="K729" s="3"/>
      <c r="L729" s="3"/>
      <c r="M729" s="3"/>
      <c r="N729" s="3"/>
      <c r="O729" s="3"/>
      <c r="P729" s="3"/>
      <c r="Q729" s="3"/>
      <c r="R729" s="3"/>
      <c r="S729" s="3"/>
      <c r="T729" s="3"/>
      <c r="U729" s="3"/>
      <c r="V729" s="3"/>
      <c r="W729" s="3"/>
      <c r="X729" s="3"/>
      <c r="Y729" s="3"/>
      <c r="Z729" s="3"/>
    </row>
    <row r="730" hidden="1">
      <c r="A730" s="27" t="s">
        <v>2972</v>
      </c>
      <c r="B730" s="29" t="s">
        <v>916</v>
      </c>
      <c r="C730" s="3"/>
      <c r="D730" s="3"/>
      <c r="E730" s="3"/>
      <c r="F730" s="3"/>
      <c r="G730" s="3"/>
      <c r="H730" s="3"/>
      <c r="I730" s="3"/>
      <c r="J730" s="3"/>
      <c r="K730" s="3"/>
      <c r="L730" s="3"/>
      <c r="M730" s="3"/>
      <c r="N730" s="3"/>
      <c r="O730" s="3"/>
      <c r="P730" s="3"/>
      <c r="Q730" s="3"/>
      <c r="R730" s="3"/>
      <c r="S730" s="3"/>
      <c r="T730" s="3"/>
      <c r="U730" s="3"/>
      <c r="V730" s="3"/>
      <c r="W730" s="3"/>
      <c r="X730" s="3"/>
      <c r="Y730" s="3"/>
      <c r="Z730" s="3"/>
    </row>
    <row r="731" hidden="1">
      <c r="A731" s="27" t="s">
        <v>2973</v>
      </c>
      <c r="B731" s="29" t="s">
        <v>917</v>
      </c>
      <c r="C731" s="3"/>
      <c r="D731" s="3"/>
      <c r="E731" s="3"/>
      <c r="F731" s="3"/>
      <c r="G731" s="3"/>
      <c r="H731" s="3"/>
      <c r="I731" s="3"/>
      <c r="J731" s="3"/>
      <c r="K731" s="3"/>
      <c r="L731" s="3"/>
      <c r="M731" s="3"/>
      <c r="N731" s="3"/>
      <c r="O731" s="3"/>
      <c r="P731" s="3"/>
      <c r="Q731" s="3"/>
      <c r="R731" s="3"/>
      <c r="S731" s="3"/>
      <c r="T731" s="3"/>
      <c r="U731" s="3"/>
      <c r="V731" s="3"/>
      <c r="W731" s="3"/>
      <c r="X731" s="3"/>
      <c r="Y731" s="3"/>
      <c r="Z731" s="3"/>
    </row>
    <row r="732" hidden="1">
      <c r="A732" s="27" t="s">
        <v>2974</v>
      </c>
      <c r="B732" s="29" t="s">
        <v>918</v>
      </c>
      <c r="C732" s="3"/>
      <c r="D732" s="3"/>
      <c r="E732" s="3"/>
      <c r="F732" s="3"/>
      <c r="G732" s="3"/>
      <c r="H732" s="3"/>
      <c r="I732" s="3"/>
      <c r="J732" s="3"/>
      <c r="K732" s="3"/>
      <c r="L732" s="3"/>
      <c r="M732" s="3"/>
      <c r="N732" s="3"/>
      <c r="O732" s="3"/>
      <c r="P732" s="3"/>
      <c r="Q732" s="3"/>
      <c r="R732" s="3"/>
      <c r="S732" s="3"/>
      <c r="T732" s="3"/>
      <c r="U732" s="3"/>
      <c r="V732" s="3"/>
      <c r="W732" s="3"/>
      <c r="X732" s="3"/>
      <c r="Y732" s="3"/>
      <c r="Z732" s="3"/>
    </row>
    <row r="733" hidden="1">
      <c r="A733" s="27" t="s">
        <v>2975</v>
      </c>
      <c r="B733" s="29" t="s">
        <v>919</v>
      </c>
      <c r="C733" s="3"/>
      <c r="D733" s="3"/>
      <c r="E733" s="3"/>
      <c r="F733" s="3"/>
      <c r="G733" s="3"/>
      <c r="H733" s="3"/>
      <c r="I733" s="3"/>
      <c r="J733" s="3"/>
      <c r="K733" s="3"/>
      <c r="L733" s="3"/>
      <c r="M733" s="3"/>
      <c r="N733" s="3"/>
      <c r="O733" s="3"/>
      <c r="P733" s="3"/>
      <c r="Q733" s="3"/>
      <c r="R733" s="3"/>
      <c r="S733" s="3"/>
      <c r="T733" s="3"/>
      <c r="U733" s="3"/>
      <c r="V733" s="3"/>
      <c r="W733" s="3"/>
      <c r="X733" s="3"/>
      <c r="Y733" s="3"/>
      <c r="Z733" s="3"/>
    </row>
    <row r="734" hidden="1">
      <c r="A734" s="27" t="s">
        <v>2976</v>
      </c>
      <c r="B734" s="29" t="s">
        <v>920</v>
      </c>
      <c r="C734" s="3"/>
      <c r="D734" s="3"/>
      <c r="E734" s="3"/>
      <c r="F734" s="3"/>
      <c r="G734" s="3"/>
      <c r="H734" s="3"/>
      <c r="I734" s="3"/>
      <c r="J734" s="3"/>
      <c r="K734" s="3"/>
      <c r="L734" s="3"/>
      <c r="M734" s="3"/>
      <c r="N734" s="3"/>
      <c r="O734" s="3"/>
      <c r="P734" s="3"/>
      <c r="Q734" s="3"/>
      <c r="R734" s="3"/>
      <c r="S734" s="3"/>
      <c r="T734" s="3"/>
      <c r="U734" s="3"/>
      <c r="V734" s="3"/>
      <c r="W734" s="3"/>
      <c r="X734" s="3"/>
      <c r="Y734" s="3"/>
      <c r="Z734" s="3"/>
    </row>
    <row r="735" hidden="1">
      <c r="A735" s="27" t="s">
        <v>2977</v>
      </c>
      <c r="B735" s="29" t="s">
        <v>922</v>
      </c>
      <c r="C735" s="3"/>
      <c r="D735" s="3"/>
      <c r="E735" s="3"/>
      <c r="F735" s="3"/>
      <c r="G735" s="3"/>
      <c r="H735" s="3"/>
      <c r="I735" s="3"/>
      <c r="J735" s="3"/>
      <c r="K735" s="3"/>
      <c r="L735" s="3"/>
      <c r="M735" s="3"/>
      <c r="N735" s="3"/>
      <c r="O735" s="3"/>
      <c r="P735" s="3"/>
      <c r="Q735" s="3"/>
      <c r="R735" s="3"/>
      <c r="S735" s="3"/>
      <c r="T735" s="3"/>
      <c r="U735" s="3"/>
      <c r="V735" s="3"/>
      <c r="W735" s="3"/>
      <c r="X735" s="3"/>
      <c r="Y735" s="3"/>
      <c r="Z735" s="3"/>
    </row>
    <row r="736" hidden="1">
      <c r="A736" s="27" t="s">
        <v>2978</v>
      </c>
      <c r="B736" s="29" t="s">
        <v>923</v>
      </c>
      <c r="C736" s="3"/>
      <c r="D736" s="3"/>
      <c r="E736" s="3"/>
      <c r="F736" s="3"/>
      <c r="G736" s="3"/>
      <c r="H736" s="3"/>
      <c r="I736" s="3"/>
      <c r="J736" s="3"/>
      <c r="K736" s="3"/>
      <c r="L736" s="3"/>
      <c r="M736" s="3"/>
      <c r="N736" s="3"/>
      <c r="O736" s="3"/>
      <c r="P736" s="3"/>
      <c r="Q736" s="3"/>
      <c r="R736" s="3"/>
      <c r="S736" s="3"/>
      <c r="T736" s="3"/>
      <c r="U736" s="3"/>
      <c r="V736" s="3"/>
      <c r="W736" s="3"/>
      <c r="X736" s="3"/>
      <c r="Y736" s="3"/>
      <c r="Z736" s="3"/>
    </row>
    <row r="737" hidden="1">
      <c r="A737" s="27" t="s">
        <v>2979</v>
      </c>
      <c r="B737" s="29" t="s">
        <v>924</v>
      </c>
      <c r="C737" s="3"/>
      <c r="D737" s="3"/>
      <c r="E737" s="3"/>
      <c r="F737" s="3"/>
      <c r="G737" s="3"/>
      <c r="H737" s="3"/>
      <c r="I737" s="3"/>
      <c r="J737" s="3"/>
      <c r="K737" s="3"/>
      <c r="L737" s="3"/>
      <c r="M737" s="3"/>
      <c r="N737" s="3"/>
      <c r="O737" s="3"/>
      <c r="P737" s="3"/>
      <c r="Q737" s="3"/>
      <c r="R737" s="3"/>
      <c r="S737" s="3"/>
      <c r="T737" s="3"/>
      <c r="U737" s="3"/>
      <c r="V737" s="3"/>
      <c r="W737" s="3"/>
      <c r="X737" s="3"/>
      <c r="Y737" s="3"/>
      <c r="Z737" s="3"/>
    </row>
    <row r="738" hidden="1">
      <c r="A738" s="27" t="s">
        <v>2980</v>
      </c>
      <c r="B738" s="29" t="s">
        <v>925</v>
      </c>
      <c r="C738" s="3"/>
      <c r="D738" s="3"/>
      <c r="E738" s="3"/>
      <c r="F738" s="3"/>
      <c r="G738" s="3"/>
      <c r="H738" s="3"/>
      <c r="I738" s="3"/>
      <c r="J738" s="3"/>
      <c r="K738" s="3"/>
      <c r="L738" s="3"/>
      <c r="M738" s="3"/>
      <c r="N738" s="3"/>
      <c r="O738" s="3"/>
      <c r="P738" s="3"/>
      <c r="Q738" s="3"/>
      <c r="R738" s="3"/>
      <c r="S738" s="3"/>
      <c r="T738" s="3"/>
      <c r="U738" s="3"/>
      <c r="V738" s="3"/>
      <c r="W738" s="3"/>
      <c r="X738" s="3"/>
      <c r="Y738" s="3"/>
      <c r="Z738" s="3"/>
    </row>
    <row r="739" hidden="1">
      <c r="A739" s="27" t="s">
        <v>2981</v>
      </c>
      <c r="B739" s="29" t="s">
        <v>926</v>
      </c>
      <c r="C739" s="3"/>
      <c r="D739" s="3"/>
      <c r="E739" s="3"/>
      <c r="F739" s="3"/>
      <c r="G739" s="3"/>
      <c r="H739" s="3"/>
      <c r="I739" s="3"/>
      <c r="J739" s="3"/>
      <c r="K739" s="3"/>
      <c r="L739" s="3"/>
      <c r="M739" s="3"/>
      <c r="N739" s="3"/>
      <c r="O739" s="3"/>
      <c r="P739" s="3"/>
      <c r="Q739" s="3"/>
      <c r="R739" s="3"/>
      <c r="S739" s="3"/>
      <c r="T739" s="3"/>
      <c r="U739" s="3"/>
      <c r="V739" s="3"/>
      <c r="W739" s="3"/>
      <c r="X739" s="3"/>
      <c r="Y739" s="3"/>
      <c r="Z739" s="3"/>
    </row>
    <row r="740" hidden="1">
      <c r="A740" s="27" t="s">
        <v>2982</v>
      </c>
      <c r="B740" s="29" t="s">
        <v>927</v>
      </c>
      <c r="C740" s="3"/>
      <c r="D740" s="3"/>
      <c r="E740" s="3"/>
      <c r="F740" s="3"/>
      <c r="G740" s="3"/>
      <c r="H740" s="3"/>
      <c r="I740" s="3"/>
      <c r="J740" s="3"/>
      <c r="K740" s="3"/>
      <c r="L740" s="3"/>
      <c r="M740" s="3"/>
      <c r="N740" s="3"/>
      <c r="O740" s="3"/>
      <c r="P740" s="3"/>
      <c r="Q740" s="3"/>
      <c r="R740" s="3"/>
      <c r="S740" s="3"/>
      <c r="T740" s="3"/>
      <c r="U740" s="3"/>
      <c r="V740" s="3"/>
      <c r="W740" s="3"/>
      <c r="X740" s="3"/>
      <c r="Y740" s="3"/>
      <c r="Z740" s="3"/>
    </row>
    <row r="741" hidden="1">
      <c r="A741" s="27" t="s">
        <v>2983</v>
      </c>
      <c r="B741" s="29" t="s">
        <v>928</v>
      </c>
      <c r="C741" s="3"/>
      <c r="D741" s="3"/>
      <c r="E741" s="3"/>
      <c r="F741" s="3"/>
      <c r="G741" s="3"/>
      <c r="H741" s="3"/>
      <c r="I741" s="3"/>
      <c r="J741" s="3"/>
      <c r="K741" s="3"/>
      <c r="L741" s="3"/>
      <c r="M741" s="3"/>
      <c r="N741" s="3"/>
      <c r="O741" s="3"/>
      <c r="P741" s="3"/>
      <c r="Q741" s="3"/>
      <c r="R741" s="3"/>
      <c r="S741" s="3"/>
      <c r="T741" s="3"/>
      <c r="U741" s="3"/>
      <c r="V741" s="3"/>
      <c r="W741" s="3"/>
      <c r="X741" s="3"/>
      <c r="Y741" s="3"/>
      <c r="Z741" s="3"/>
    </row>
    <row r="742" hidden="1">
      <c r="A742" s="27" t="s">
        <v>2984</v>
      </c>
      <c r="B742" s="29" t="s">
        <v>930</v>
      </c>
      <c r="C742" s="3"/>
      <c r="D742" s="3"/>
      <c r="E742" s="3"/>
      <c r="F742" s="3"/>
      <c r="G742" s="3"/>
      <c r="H742" s="3"/>
      <c r="I742" s="3"/>
      <c r="J742" s="3"/>
      <c r="K742" s="3"/>
      <c r="L742" s="3"/>
      <c r="M742" s="3"/>
      <c r="N742" s="3"/>
      <c r="O742" s="3"/>
      <c r="P742" s="3"/>
      <c r="Q742" s="3"/>
      <c r="R742" s="3"/>
      <c r="S742" s="3"/>
      <c r="T742" s="3"/>
      <c r="U742" s="3"/>
      <c r="V742" s="3"/>
      <c r="W742" s="3"/>
      <c r="X742" s="3"/>
      <c r="Y742" s="3"/>
      <c r="Z742" s="3"/>
    </row>
    <row r="743" hidden="1">
      <c r="A743" s="27" t="s">
        <v>2985</v>
      </c>
      <c r="B743" s="29" t="s">
        <v>931</v>
      </c>
      <c r="C743" s="3"/>
      <c r="D743" s="3"/>
      <c r="E743" s="3"/>
      <c r="F743" s="3"/>
      <c r="G743" s="3"/>
      <c r="H743" s="3"/>
      <c r="I743" s="3"/>
      <c r="J743" s="3"/>
      <c r="K743" s="3"/>
      <c r="L743" s="3"/>
      <c r="M743" s="3"/>
      <c r="N743" s="3"/>
      <c r="O743" s="3"/>
      <c r="P743" s="3"/>
      <c r="Q743" s="3"/>
      <c r="R743" s="3"/>
      <c r="S743" s="3"/>
      <c r="T743" s="3"/>
      <c r="U743" s="3"/>
      <c r="V743" s="3"/>
      <c r="W743" s="3"/>
      <c r="X743" s="3"/>
      <c r="Y743" s="3"/>
      <c r="Z743" s="3"/>
    </row>
    <row r="744" hidden="1">
      <c r="A744" s="27" t="s">
        <v>2986</v>
      </c>
      <c r="B744" s="29" t="s">
        <v>932</v>
      </c>
      <c r="C744" s="3"/>
      <c r="D744" s="3"/>
      <c r="E744" s="3"/>
      <c r="F744" s="3"/>
      <c r="G744" s="3"/>
      <c r="H744" s="3"/>
      <c r="I744" s="3"/>
      <c r="J744" s="3"/>
      <c r="K744" s="3"/>
      <c r="L744" s="3"/>
      <c r="M744" s="3"/>
      <c r="N744" s="3"/>
      <c r="O744" s="3"/>
      <c r="P744" s="3"/>
      <c r="Q744" s="3"/>
      <c r="R744" s="3"/>
      <c r="S744" s="3"/>
      <c r="T744" s="3"/>
      <c r="U744" s="3"/>
      <c r="V744" s="3"/>
      <c r="W744" s="3"/>
      <c r="X744" s="3"/>
      <c r="Y744" s="3"/>
      <c r="Z744" s="3"/>
    </row>
    <row r="745" hidden="1">
      <c r="A745" s="27" t="s">
        <v>2987</v>
      </c>
      <c r="B745" s="29" t="s">
        <v>934</v>
      </c>
      <c r="C745" s="3"/>
      <c r="D745" s="3"/>
      <c r="E745" s="3"/>
      <c r="F745" s="3"/>
      <c r="G745" s="3"/>
      <c r="H745" s="3"/>
      <c r="I745" s="3"/>
      <c r="J745" s="3"/>
      <c r="K745" s="3"/>
      <c r="L745" s="3"/>
      <c r="M745" s="3"/>
      <c r="N745" s="3"/>
      <c r="O745" s="3"/>
      <c r="P745" s="3"/>
      <c r="Q745" s="3"/>
      <c r="R745" s="3"/>
      <c r="S745" s="3"/>
      <c r="T745" s="3"/>
      <c r="U745" s="3"/>
      <c r="V745" s="3"/>
      <c r="W745" s="3"/>
      <c r="X745" s="3"/>
      <c r="Y745" s="3"/>
      <c r="Z745" s="3"/>
    </row>
    <row r="746" hidden="1">
      <c r="A746" s="27" t="s">
        <v>2988</v>
      </c>
      <c r="B746" s="29" t="s">
        <v>935</v>
      </c>
      <c r="C746" s="3"/>
      <c r="D746" s="3"/>
      <c r="E746" s="3"/>
      <c r="F746" s="3"/>
      <c r="G746" s="3"/>
      <c r="H746" s="3"/>
      <c r="I746" s="3"/>
      <c r="J746" s="3"/>
      <c r="K746" s="3"/>
      <c r="L746" s="3"/>
      <c r="M746" s="3"/>
      <c r="N746" s="3"/>
      <c r="O746" s="3"/>
      <c r="P746" s="3"/>
      <c r="Q746" s="3"/>
      <c r="R746" s="3"/>
      <c r="S746" s="3"/>
      <c r="T746" s="3"/>
      <c r="U746" s="3"/>
      <c r="V746" s="3"/>
      <c r="W746" s="3"/>
      <c r="X746" s="3"/>
      <c r="Y746" s="3"/>
      <c r="Z746" s="3"/>
    </row>
    <row r="747" hidden="1">
      <c r="A747" s="27" t="s">
        <v>2989</v>
      </c>
      <c r="B747" s="29" t="s">
        <v>936</v>
      </c>
      <c r="C747" s="3"/>
      <c r="D747" s="3"/>
      <c r="E747" s="3"/>
      <c r="F747" s="3"/>
      <c r="G747" s="3"/>
      <c r="H747" s="3"/>
      <c r="I747" s="3"/>
      <c r="J747" s="3"/>
      <c r="K747" s="3"/>
      <c r="L747" s="3"/>
      <c r="M747" s="3"/>
      <c r="N747" s="3"/>
      <c r="O747" s="3"/>
      <c r="P747" s="3"/>
      <c r="Q747" s="3"/>
      <c r="R747" s="3"/>
      <c r="S747" s="3"/>
      <c r="T747" s="3"/>
      <c r="U747" s="3"/>
      <c r="V747" s="3"/>
      <c r="W747" s="3"/>
      <c r="X747" s="3"/>
      <c r="Y747" s="3"/>
      <c r="Z747" s="3"/>
    </row>
    <row r="748" hidden="1">
      <c r="A748" s="27" t="s">
        <v>2990</v>
      </c>
      <c r="B748" s="29" t="s">
        <v>937</v>
      </c>
      <c r="C748" s="3"/>
      <c r="D748" s="3"/>
      <c r="E748" s="3"/>
      <c r="F748" s="3"/>
      <c r="G748" s="3"/>
      <c r="H748" s="3"/>
      <c r="I748" s="3"/>
      <c r="J748" s="3"/>
      <c r="K748" s="3"/>
      <c r="L748" s="3"/>
      <c r="M748" s="3"/>
      <c r="N748" s="3"/>
      <c r="O748" s="3"/>
      <c r="P748" s="3"/>
      <c r="Q748" s="3"/>
      <c r="R748" s="3"/>
      <c r="S748" s="3"/>
      <c r="T748" s="3"/>
      <c r="U748" s="3"/>
      <c r="V748" s="3"/>
      <c r="W748" s="3"/>
      <c r="X748" s="3"/>
      <c r="Y748" s="3"/>
      <c r="Z748" s="3"/>
    </row>
    <row r="749" hidden="1">
      <c r="A749" s="27" t="s">
        <v>2991</v>
      </c>
      <c r="B749" s="29" t="s">
        <v>938</v>
      </c>
      <c r="C749" s="3"/>
      <c r="D749" s="3"/>
      <c r="E749" s="3"/>
      <c r="F749" s="3"/>
      <c r="G749" s="3"/>
      <c r="H749" s="3"/>
      <c r="I749" s="3"/>
      <c r="J749" s="3"/>
      <c r="K749" s="3"/>
      <c r="L749" s="3"/>
      <c r="M749" s="3"/>
      <c r="N749" s="3"/>
      <c r="O749" s="3"/>
      <c r="P749" s="3"/>
      <c r="Q749" s="3"/>
      <c r="R749" s="3"/>
      <c r="S749" s="3"/>
      <c r="T749" s="3"/>
      <c r="U749" s="3"/>
      <c r="V749" s="3"/>
      <c r="W749" s="3"/>
      <c r="X749" s="3"/>
      <c r="Y749" s="3"/>
      <c r="Z749" s="3"/>
    </row>
    <row r="750" hidden="1">
      <c r="A750" s="27" t="s">
        <v>2992</v>
      </c>
      <c r="B750" s="29" t="s">
        <v>940</v>
      </c>
      <c r="C750" s="3"/>
      <c r="D750" s="3"/>
      <c r="E750" s="3"/>
      <c r="F750" s="3"/>
      <c r="G750" s="3"/>
      <c r="H750" s="3"/>
      <c r="I750" s="3"/>
      <c r="J750" s="3"/>
      <c r="K750" s="3"/>
      <c r="L750" s="3"/>
      <c r="M750" s="3"/>
      <c r="N750" s="3"/>
      <c r="O750" s="3"/>
      <c r="P750" s="3"/>
      <c r="Q750" s="3"/>
      <c r="R750" s="3"/>
      <c r="S750" s="3"/>
      <c r="T750" s="3"/>
      <c r="U750" s="3"/>
      <c r="V750" s="3"/>
      <c r="W750" s="3"/>
      <c r="X750" s="3"/>
      <c r="Y750" s="3"/>
      <c r="Z750" s="3"/>
    </row>
    <row r="751" hidden="1">
      <c r="A751" s="27" t="s">
        <v>2993</v>
      </c>
      <c r="B751" s="29" t="s">
        <v>941</v>
      </c>
      <c r="C751" s="3"/>
      <c r="D751" s="3"/>
      <c r="E751" s="3"/>
      <c r="F751" s="3"/>
      <c r="G751" s="3"/>
      <c r="H751" s="3"/>
      <c r="I751" s="3"/>
      <c r="J751" s="3"/>
      <c r="K751" s="3"/>
      <c r="L751" s="3"/>
      <c r="M751" s="3"/>
      <c r="N751" s="3"/>
      <c r="O751" s="3"/>
      <c r="P751" s="3"/>
      <c r="Q751" s="3"/>
      <c r="R751" s="3"/>
      <c r="S751" s="3"/>
      <c r="T751" s="3"/>
      <c r="U751" s="3"/>
      <c r="V751" s="3"/>
      <c r="W751" s="3"/>
      <c r="X751" s="3"/>
      <c r="Y751" s="3"/>
      <c r="Z751" s="3"/>
    </row>
    <row r="752" hidden="1">
      <c r="A752" s="27" t="s">
        <v>2994</v>
      </c>
      <c r="B752" s="29" t="s">
        <v>942</v>
      </c>
      <c r="C752" s="3"/>
      <c r="D752" s="3"/>
      <c r="E752" s="3"/>
      <c r="F752" s="3"/>
      <c r="G752" s="3"/>
      <c r="H752" s="3"/>
      <c r="I752" s="3"/>
      <c r="J752" s="3"/>
      <c r="K752" s="3"/>
      <c r="L752" s="3"/>
      <c r="M752" s="3"/>
      <c r="N752" s="3"/>
      <c r="O752" s="3"/>
      <c r="P752" s="3"/>
      <c r="Q752" s="3"/>
      <c r="R752" s="3"/>
      <c r="S752" s="3"/>
      <c r="T752" s="3"/>
      <c r="U752" s="3"/>
      <c r="V752" s="3"/>
      <c r="W752" s="3"/>
      <c r="X752" s="3"/>
      <c r="Y752" s="3"/>
      <c r="Z752" s="3"/>
    </row>
    <row r="753" hidden="1">
      <c r="A753" s="27" t="s">
        <v>2995</v>
      </c>
      <c r="B753" s="29" t="s">
        <v>943</v>
      </c>
      <c r="C753" s="3"/>
      <c r="D753" s="3"/>
      <c r="E753" s="3"/>
      <c r="F753" s="3"/>
      <c r="G753" s="3"/>
      <c r="H753" s="3"/>
      <c r="I753" s="3"/>
      <c r="J753" s="3"/>
      <c r="K753" s="3"/>
      <c r="L753" s="3"/>
      <c r="M753" s="3"/>
      <c r="N753" s="3"/>
      <c r="O753" s="3"/>
      <c r="P753" s="3"/>
      <c r="Q753" s="3"/>
      <c r="R753" s="3"/>
      <c r="S753" s="3"/>
      <c r="T753" s="3"/>
      <c r="U753" s="3"/>
      <c r="V753" s="3"/>
      <c r="W753" s="3"/>
      <c r="X753" s="3"/>
      <c r="Y753" s="3"/>
      <c r="Z753" s="3"/>
    </row>
    <row r="754" hidden="1">
      <c r="A754" s="27" t="s">
        <v>2996</v>
      </c>
      <c r="B754" s="29" t="s">
        <v>944</v>
      </c>
      <c r="C754" s="3"/>
      <c r="D754" s="3"/>
      <c r="E754" s="3"/>
      <c r="F754" s="3"/>
      <c r="G754" s="3"/>
      <c r="H754" s="3"/>
      <c r="I754" s="3"/>
      <c r="J754" s="3"/>
      <c r="K754" s="3"/>
      <c r="L754" s="3"/>
      <c r="M754" s="3"/>
      <c r="N754" s="3"/>
      <c r="O754" s="3"/>
      <c r="P754" s="3"/>
      <c r="Q754" s="3"/>
      <c r="R754" s="3"/>
      <c r="S754" s="3"/>
      <c r="T754" s="3"/>
      <c r="U754" s="3"/>
      <c r="V754" s="3"/>
      <c r="W754" s="3"/>
      <c r="X754" s="3"/>
      <c r="Y754" s="3"/>
      <c r="Z754" s="3"/>
    </row>
    <row r="755" hidden="1">
      <c r="A755" s="27" t="s">
        <v>2997</v>
      </c>
      <c r="B755" s="29" t="s">
        <v>946</v>
      </c>
      <c r="C755" s="3"/>
      <c r="D755" s="3"/>
      <c r="E755" s="3"/>
      <c r="F755" s="3"/>
      <c r="G755" s="3"/>
      <c r="H755" s="3"/>
      <c r="I755" s="3"/>
      <c r="J755" s="3"/>
      <c r="K755" s="3"/>
      <c r="L755" s="3"/>
      <c r="M755" s="3"/>
      <c r="N755" s="3"/>
      <c r="O755" s="3"/>
      <c r="P755" s="3"/>
      <c r="Q755" s="3"/>
      <c r="R755" s="3"/>
      <c r="S755" s="3"/>
      <c r="T755" s="3"/>
      <c r="U755" s="3"/>
      <c r="V755" s="3"/>
      <c r="W755" s="3"/>
      <c r="X755" s="3"/>
      <c r="Y755" s="3"/>
      <c r="Z755" s="3"/>
    </row>
    <row r="756" hidden="1">
      <c r="A756" s="27" t="s">
        <v>2998</v>
      </c>
      <c r="B756" s="29" t="s">
        <v>947</v>
      </c>
      <c r="C756" s="3"/>
      <c r="D756" s="3"/>
      <c r="E756" s="3"/>
      <c r="F756" s="3"/>
      <c r="G756" s="3"/>
      <c r="H756" s="3"/>
      <c r="I756" s="3"/>
      <c r="J756" s="3"/>
      <c r="K756" s="3"/>
      <c r="L756" s="3"/>
      <c r="M756" s="3"/>
      <c r="N756" s="3"/>
      <c r="O756" s="3"/>
      <c r="P756" s="3"/>
      <c r="Q756" s="3"/>
      <c r="R756" s="3"/>
      <c r="S756" s="3"/>
      <c r="T756" s="3"/>
      <c r="U756" s="3"/>
      <c r="V756" s="3"/>
      <c r="W756" s="3"/>
      <c r="X756" s="3"/>
      <c r="Y756" s="3"/>
      <c r="Z756" s="3"/>
    </row>
    <row r="757" hidden="1">
      <c r="A757" s="27" t="s">
        <v>2999</v>
      </c>
      <c r="B757" s="29" t="s">
        <v>948</v>
      </c>
      <c r="C757" s="3"/>
      <c r="D757" s="3"/>
      <c r="E757" s="3"/>
      <c r="F757" s="3"/>
      <c r="G757" s="3"/>
      <c r="H757" s="3"/>
      <c r="I757" s="3"/>
      <c r="J757" s="3"/>
      <c r="K757" s="3"/>
      <c r="L757" s="3"/>
      <c r="M757" s="3"/>
      <c r="N757" s="3"/>
      <c r="O757" s="3"/>
      <c r="P757" s="3"/>
      <c r="Q757" s="3"/>
      <c r="R757" s="3"/>
      <c r="S757" s="3"/>
      <c r="T757" s="3"/>
      <c r="U757" s="3"/>
      <c r="V757" s="3"/>
      <c r="W757" s="3"/>
      <c r="X757" s="3"/>
      <c r="Y757" s="3"/>
      <c r="Z757" s="3"/>
    </row>
    <row r="758" hidden="1">
      <c r="A758" s="27" t="s">
        <v>3000</v>
      </c>
      <c r="B758" s="29" t="s">
        <v>949</v>
      </c>
      <c r="C758" s="3"/>
      <c r="D758" s="3"/>
      <c r="E758" s="3"/>
      <c r="F758" s="3"/>
      <c r="G758" s="3"/>
      <c r="H758" s="3"/>
      <c r="I758" s="3"/>
      <c r="J758" s="3"/>
      <c r="K758" s="3"/>
      <c r="L758" s="3"/>
      <c r="M758" s="3"/>
      <c r="N758" s="3"/>
      <c r="O758" s="3"/>
      <c r="P758" s="3"/>
      <c r="Q758" s="3"/>
      <c r="R758" s="3"/>
      <c r="S758" s="3"/>
      <c r="T758" s="3"/>
      <c r="U758" s="3"/>
      <c r="V758" s="3"/>
      <c r="W758" s="3"/>
      <c r="X758" s="3"/>
      <c r="Y758" s="3"/>
      <c r="Z758" s="3"/>
    </row>
    <row r="759" hidden="1">
      <c r="A759" s="27" t="s">
        <v>3001</v>
      </c>
      <c r="B759" s="29" t="s">
        <v>950</v>
      </c>
      <c r="C759" s="3"/>
      <c r="D759" s="3"/>
      <c r="E759" s="3"/>
      <c r="F759" s="3"/>
      <c r="G759" s="3"/>
      <c r="H759" s="3"/>
      <c r="I759" s="3"/>
      <c r="J759" s="3"/>
      <c r="K759" s="3"/>
      <c r="L759" s="3"/>
      <c r="M759" s="3"/>
      <c r="N759" s="3"/>
      <c r="O759" s="3"/>
      <c r="P759" s="3"/>
      <c r="Q759" s="3"/>
      <c r="R759" s="3"/>
      <c r="S759" s="3"/>
      <c r="T759" s="3"/>
      <c r="U759" s="3"/>
      <c r="V759" s="3"/>
      <c r="W759" s="3"/>
      <c r="X759" s="3"/>
      <c r="Y759" s="3"/>
      <c r="Z759" s="3"/>
    </row>
    <row r="760" hidden="1">
      <c r="A760" s="27" t="s">
        <v>3002</v>
      </c>
      <c r="B760" s="29" t="s">
        <v>952</v>
      </c>
      <c r="C760" s="3"/>
      <c r="D760" s="3"/>
      <c r="E760" s="3"/>
      <c r="F760" s="3"/>
      <c r="G760" s="3"/>
      <c r="H760" s="3"/>
      <c r="I760" s="3"/>
      <c r="J760" s="3"/>
      <c r="K760" s="3"/>
      <c r="L760" s="3"/>
      <c r="M760" s="3"/>
      <c r="N760" s="3"/>
      <c r="O760" s="3"/>
      <c r="P760" s="3"/>
      <c r="Q760" s="3"/>
      <c r="R760" s="3"/>
      <c r="S760" s="3"/>
      <c r="T760" s="3"/>
      <c r="U760" s="3"/>
      <c r="V760" s="3"/>
      <c r="W760" s="3"/>
      <c r="X760" s="3"/>
      <c r="Y760" s="3"/>
      <c r="Z760" s="3"/>
    </row>
    <row r="761" hidden="1">
      <c r="A761" s="27" t="s">
        <v>3003</v>
      </c>
      <c r="B761" s="29" t="s">
        <v>953</v>
      </c>
      <c r="C761" s="3"/>
      <c r="D761" s="3"/>
      <c r="E761" s="3"/>
      <c r="F761" s="3"/>
      <c r="G761" s="3"/>
      <c r="H761" s="3"/>
      <c r="I761" s="3"/>
      <c r="J761" s="3"/>
      <c r="K761" s="3"/>
      <c r="L761" s="3"/>
      <c r="M761" s="3"/>
      <c r="N761" s="3"/>
      <c r="O761" s="3"/>
      <c r="P761" s="3"/>
      <c r="Q761" s="3"/>
      <c r="R761" s="3"/>
      <c r="S761" s="3"/>
      <c r="T761" s="3"/>
      <c r="U761" s="3"/>
      <c r="V761" s="3"/>
      <c r="W761" s="3"/>
      <c r="X761" s="3"/>
      <c r="Y761" s="3"/>
      <c r="Z761" s="3"/>
    </row>
    <row r="762" hidden="1">
      <c r="A762" s="27" t="s">
        <v>3004</v>
      </c>
      <c r="B762" s="29" t="s">
        <v>954</v>
      </c>
      <c r="C762" s="3"/>
      <c r="D762" s="3"/>
      <c r="E762" s="3"/>
      <c r="F762" s="3"/>
      <c r="G762" s="3"/>
      <c r="H762" s="3"/>
      <c r="I762" s="3"/>
      <c r="J762" s="3"/>
      <c r="K762" s="3"/>
      <c r="L762" s="3"/>
      <c r="M762" s="3"/>
      <c r="N762" s="3"/>
      <c r="O762" s="3"/>
      <c r="P762" s="3"/>
      <c r="Q762" s="3"/>
      <c r="R762" s="3"/>
      <c r="S762" s="3"/>
      <c r="T762" s="3"/>
      <c r="U762" s="3"/>
      <c r="V762" s="3"/>
      <c r="W762" s="3"/>
      <c r="X762" s="3"/>
      <c r="Y762" s="3"/>
      <c r="Z762" s="3"/>
    </row>
    <row r="763" hidden="1">
      <c r="A763" s="27" t="s">
        <v>3005</v>
      </c>
      <c r="B763" s="29" t="s">
        <v>955</v>
      </c>
      <c r="C763" s="3"/>
      <c r="D763" s="3"/>
      <c r="E763" s="3"/>
      <c r="F763" s="3"/>
      <c r="G763" s="3"/>
      <c r="H763" s="3"/>
      <c r="I763" s="3"/>
      <c r="J763" s="3"/>
      <c r="K763" s="3"/>
      <c r="L763" s="3"/>
      <c r="M763" s="3"/>
      <c r="N763" s="3"/>
      <c r="O763" s="3"/>
      <c r="P763" s="3"/>
      <c r="Q763" s="3"/>
      <c r="R763" s="3"/>
      <c r="S763" s="3"/>
      <c r="T763" s="3"/>
      <c r="U763" s="3"/>
      <c r="V763" s="3"/>
      <c r="W763" s="3"/>
      <c r="X763" s="3"/>
      <c r="Y763" s="3"/>
      <c r="Z763" s="3"/>
    </row>
    <row r="764" hidden="1">
      <c r="A764" s="27" t="s">
        <v>3006</v>
      </c>
      <c r="B764" s="29" t="s">
        <v>956</v>
      </c>
      <c r="C764" s="3"/>
      <c r="D764" s="3"/>
      <c r="E764" s="3"/>
      <c r="F764" s="3"/>
      <c r="G764" s="3"/>
      <c r="H764" s="3"/>
      <c r="I764" s="3"/>
      <c r="J764" s="3"/>
      <c r="K764" s="3"/>
      <c r="L764" s="3"/>
      <c r="M764" s="3"/>
      <c r="N764" s="3"/>
      <c r="O764" s="3"/>
      <c r="P764" s="3"/>
      <c r="Q764" s="3"/>
      <c r="R764" s="3"/>
      <c r="S764" s="3"/>
      <c r="T764" s="3"/>
      <c r="U764" s="3"/>
      <c r="V764" s="3"/>
      <c r="W764" s="3"/>
      <c r="X764" s="3"/>
      <c r="Y764" s="3"/>
      <c r="Z764" s="3"/>
    </row>
    <row r="765" hidden="1">
      <c r="A765" s="27" t="s">
        <v>3007</v>
      </c>
      <c r="B765" s="29" t="s">
        <v>957</v>
      </c>
      <c r="C765" s="3"/>
      <c r="D765" s="3"/>
      <c r="E765" s="3"/>
      <c r="F765" s="3"/>
      <c r="G765" s="3"/>
      <c r="H765" s="3"/>
      <c r="I765" s="3"/>
      <c r="J765" s="3"/>
      <c r="K765" s="3"/>
      <c r="L765" s="3"/>
      <c r="M765" s="3"/>
      <c r="N765" s="3"/>
      <c r="O765" s="3"/>
      <c r="P765" s="3"/>
      <c r="Q765" s="3"/>
      <c r="R765" s="3"/>
      <c r="S765" s="3"/>
      <c r="T765" s="3"/>
      <c r="U765" s="3"/>
      <c r="V765" s="3"/>
      <c r="W765" s="3"/>
      <c r="X765" s="3"/>
      <c r="Y765" s="3"/>
      <c r="Z765" s="3"/>
    </row>
    <row r="766" hidden="1">
      <c r="A766" s="27" t="s">
        <v>3008</v>
      </c>
      <c r="B766" s="29" t="s">
        <v>959</v>
      </c>
      <c r="C766" s="3"/>
      <c r="D766" s="3"/>
      <c r="E766" s="3"/>
      <c r="F766" s="3"/>
      <c r="G766" s="3"/>
      <c r="H766" s="3"/>
      <c r="I766" s="3"/>
      <c r="J766" s="3"/>
      <c r="K766" s="3"/>
      <c r="L766" s="3"/>
      <c r="M766" s="3"/>
      <c r="N766" s="3"/>
      <c r="O766" s="3"/>
      <c r="P766" s="3"/>
      <c r="Q766" s="3"/>
      <c r="R766" s="3"/>
      <c r="S766" s="3"/>
      <c r="T766" s="3"/>
      <c r="U766" s="3"/>
      <c r="V766" s="3"/>
      <c r="W766" s="3"/>
      <c r="X766" s="3"/>
      <c r="Y766" s="3"/>
      <c r="Z766" s="3"/>
    </row>
    <row r="767" hidden="1">
      <c r="A767" s="27" t="s">
        <v>3009</v>
      </c>
      <c r="B767" s="29" t="s">
        <v>960</v>
      </c>
      <c r="C767" s="3"/>
      <c r="D767" s="3"/>
      <c r="E767" s="3"/>
      <c r="F767" s="3"/>
      <c r="G767" s="3"/>
      <c r="H767" s="3"/>
      <c r="I767" s="3"/>
      <c r="J767" s="3"/>
      <c r="K767" s="3"/>
      <c r="L767" s="3"/>
      <c r="M767" s="3"/>
      <c r="N767" s="3"/>
      <c r="O767" s="3"/>
      <c r="P767" s="3"/>
      <c r="Q767" s="3"/>
      <c r="R767" s="3"/>
      <c r="S767" s="3"/>
      <c r="T767" s="3"/>
      <c r="U767" s="3"/>
      <c r="V767" s="3"/>
      <c r="W767" s="3"/>
      <c r="X767" s="3"/>
      <c r="Y767" s="3"/>
      <c r="Z767" s="3"/>
    </row>
    <row r="768" hidden="1">
      <c r="A768" s="27" t="s">
        <v>3010</v>
      </c>
      <c r="B768" s="29" t="s">
        <v>961</v>
      </c>
      <c r="C768" s="3"/>
      <c r="D768" s="3"/>
      <c r="E768" s="3"/>
      <c r="F768" s="3"/>
      <c r="G768" s="3"/>
      <c r="H768" s="3"/>
      <c r="I768" s="3"/>
      <c r="J768" s="3"/>
      <c r="K768" s="3"/>
      <c r="L768" s="3"/>
      <c r="M768" s="3"/>
      <c r="N768" s="3"/>
      <c r="O768" s="3"/>
      <c r="P768" s="3"/>
      <c r="Q768" s="3"/>
      <c r="R768" s="3"/>
      <c r="S768" s="3"/>
      <c r="T768" s="3"/>
      <c r="U768" s="3"/>
      <c r="V768" s="3"/>
      <c r="W768" s="3"/>
      <c r="X768" s="3"/>
      <c r="Y768" s="3"/>
      <c r="Z768" s="3"/>
    </row>
    <row r="769" hidden="1">
      <c r="A769" s="27" t="s">
        <v>3011</v>
      </c>
      <c r="B769" s="29" t="s">
        <v>962</v>
      </c>
      <c r="C769" s="3"/>
      <c r="D769" s="3"/>
      <c r="E769" s="3"/>
      <c r="F769" s="3"/>
      <c r="G769" s="3"/>
      <c r="H769" s="3"/>
      <c r="I769" s="3"/>
      <c r="J769" s="3"/>
      <c r="K769" s="3"/>
      <c r="L769" s="3"/>
      <c r="M769" s="3"/>
      <c r="N769" s="3"/>
      <c r="O769" s="3"/>
      <c r="P769" s="3"/>
      <c r="Q769" s="3"/>
      <c r="R769" s="3"/>
      <c r="S769" s="3"/>
      <c r="T769" s="3"/>
      <c r="U769" s="3"/>
      <c r="V769" s="3"/>
      <c r="W769" s="3"/>
      <c r="X769" s="3"/>
      <c r="Y769" s="3"/>
      <c r="Z769" s="3"/>
    </row>
    <row r="770" hidden="1">
      <c r="A770" s="27" t="s">
        <v>3012</v>
      </c>
      <c r="B770" s="29" t="s">
        <v>964</v>
      </c>
      <c r="C770" s="3"/>
      <c r="D770" s="3"/>
      <c r="E770" s="3"/>
      <c r="F770" s="3"/>
      <c r="G770" s="3"/>
      <c r="H770" s="3"/>
      <c r="I770" s="3"/>
      <c r="J770" s="3"/>
      <c r="K770" s="3"/>
      <c r="L770" s="3"/>
      <c r="M770" s="3"/>
      <c r="N770" s="3"/>
      <c r="O770" s="3"/>
      <c r="P770" s="3"/>
      <c r="Q770" s="3"/>
      <c r="R770" s="3"/>
      <c r="S770" s="3"/>
      <c r="T770" s="3"/>
      <c r="U770" s="3"/>
      <c r="V770" s="3"/>
      <c r="W770" s="3"/>
      <c r="X770" s="3"/>
      <c r="Y770" s="3"/>
      <c r="Z770" s="3"/>
    </row>
    <row r="771" hidden="1">
      <c r="A771" s="27" t="s">
        <v>3013</v>
      </c>
      <c r="B771" s="29" t="s">
        <v>965</v>
      </c>
      <c r="C771" s="3"/>
      <c r="D771" s="3"/>
      <c r="E771" s="3"/>
      <c r="F771" s="3"/>
      <c r="G771" s="3"/>
      <c r="H771" s="3"/>
      <c r="I771" s="3"/>
      <c r="J771" s="3"/>
      <c r="K771" s="3"/>
      <c r="L771" s="3"/>
      <c r="M771" s="3"/>
      <c r="N771" s="3"/>
      <c r="O771" s="3"/>
      <c r="P771" s="3"/>
      <c r="Q771" s="3"/>
      <c r="R771" s="3"/>
      <c r="S771" s="3"/>
      <c r="T771" s="3"/>
      <c r="U771" s="3"/>
      <c r="V771" s="3"/>
      <c r="W771" s="3"/>
      <c r="X771" s="3"/>
      <c r="Y771" s="3"/>
      <c r="Z771" s="3"/>
    </row>
    <row r="772" hidden="1">
      <c r="A772" s="27" t="s">
        <v>3014</v>
      </c>
      <c r="B772" s="29" t="s">
        <v>966</v>
      </c>
      <c r="C772" s="3"/>
      <c r="D772" s="3"/>
      <c r="E772" s="3"/>
      <c r="F772" s="3"/>
      <c r="G772" s="3"/>
      <c r="H772" s="3"/>
      <c r="I772" s="3"/>
      <c r="J772" s="3"/>
      <c r="K772" s="3"/>
      <c r="L772" s="3"/>
      <c r="M772" s="3"/>
      <c r="N772" s="3"/>
      <c r="O772" s="3"/>
      <c r="P772" s="3"/>
      <c r="Q772" s="3"/>
      <c r="R772" s="3"/>
      <c r="S772" s="3"/>
      <c r="T772" s="3"/>
      <c r="U772" s="3"/>
      <c r="V772" s="3"/>
      <c r="W772" s="3"/>
      <c r="X772" s="3"/>
      <c r="Y772" s="3"/>
      <c r="Z772" s="3"/>
    </row>
    <row r="773" hidden="1">
      <c r="A773" s="27" t="s">
        <v>3015</v>
      </c>
      <c r="B773" s="29" t="s">
        <v>967</v>
      </c>
      <c r="C773" s="3"/>
      <c r="D773" s="3"/>
      <c r="E773" s="3"/>
      <c r="F773" s="3"/>
      <c r="G773" s="3"/>
      <c r="H773" s="3"/>
      <c r="I773" s="3"/>
      <c r="J773" s="3"/>
      <c r="K773" s="3"/>
      <c r="L773" s="3"/>
      <c r="M773" s="3"/>
      <c r="N773" s="3"/>
      <c r="O773" s="3"/>
      <c r="P773" s="3"/>
      <c r="Q773" s="3"/>
      <c r="R773" s="3"/>
      <c r="S773" s="3"/>
      <c r="T773" s="3"/>
      <c r="U773" s="3"/>
      <c r="V773" s="3"/>
      <c r="W773" s="3"/>
      <c r="X773" s="3"/>
      <c r="Y773" s="3"/>
      <c r="Z773" s="3"/>
    </row>
    <row r="774" hidden="1">
      <c r="A774" s="27" t="s">
        <v>3016</v>
      </c>
      <c r="B774" s="29" t="s">
        <v>968</v>
      </c>
      <c r="C774" s="3"/>
      <c r="D774" s="3"/>
      <c r="E774" s="3"/>
      <c r="F774" s="3"/>
      <c r="G774" s="3"/>
      <c r="H774" s="3"/>
      <c r="I774" s="3"/>
      <c r="J774" s="3"/>
      <c r="K774" s="3"/>
      <c r="L774" s="3"/>
      <c r="M774" s="3"/>
      <c r="N774" s="3"/>
      <c r="O774" s="3"/>
      <c r="P774" s="3"/>
      <c r="Q774" s="3"/>
      <c r="R774" s="3"/>
      <c r="S774" s="3"/>
      <c r="T774" s="3"/>
      <c r="U774" s="3"/>
      <c r="V774" s="3"/>
      <c r="W774" s="3"/>
      <c r="X774" s="3"/>
      <c r="Y774" s="3"/>
      <c r="Z774" s="3"/>
    </row>
    <row r="775" hidden="1">
      <c r="A775" s="27" t="s">
        <v>3017</v>
      </c>
      <c r="B775" s="29" t="s">
        <v>970</v>
      </c>
      <c r="C775" s="3"/>
      <c r="D775" s="3"/>
      <c r="E775" s="3"/>
      <c r="F775" s="3"/>
      <c r="G775" s="3"/>
      <c r="H775" s="3"/>
      <c r="I775" s="3"/>
      <c r="J775" s="3"/>
      <c r="K775" s="3"/>
      <c r="L775" s="3"/>
      <c r="M775" s="3"/>
      <c r="N775" s="3"/>
      <c r="O775" s="3"/>
      <c r="P775" s="3"/>
      <c r="Q775" s="3"/>
      <c r="R775" s="3"/>
      <c r="S775" s="3"/>
      <c r="T775" s="3"/>
      <c r="U775" s="3"/>
      <c r="V775" s="3"/>
      <c r="W775" s="3"/>
      <c r="X775" s="3"/>
      <c r="Y775" s="3"/>
      <c r="Z775" s="3"/>
    </row>
    <row r="776" hidden="1">
      <c r="A776" s="27" t="s">
        <v>3018</v>
      </c>
      <c r="B776" s="29" t="s">
        <v>971</v>
      </c>
      <c r="C776" s="3"/>
      <c r="D776" s="3"/>
      <c r="E776" s="3"/>
      <c r="F776" s="3"/>
      <c r="G776" s="3"/>
      <c r="H776" s="3"/>
      <c r="I776" s="3"/>
      <c r="J776" s="3"/>
      <c r="K776" s="3"/>
      <c r="L776" s="3"/>
      <c r="M776" s="3"/>
      <c r="N776" s="3"/>
      <c r="O776" s="3"/>
      <c r="P776" s="3"/>
      <c r="Q776" s="3"/>
      <c r="R776" s="3"/>
      <c r="S776" s="3"/>
      <c r="T776" s="3"/>
      <c r="U776" s="3"/>
      <c r="V776" s="3"/>
      <c r="W776" s="3"/>
      <c r="X776" s="3"/>
      <c r="Y776" s="3"/>
      <c r="Z776" s="3"/>
    </row>
    <row r="777" hidden="1">
      <c r="A777" s="27" t="s">
        <v>3019</v>
      </c>
      <c r="B777" s="29" t="s">
        <v>972</v>
      </c>
      <c r="C777" s="3"/>
      <c r="D777" s="3"/>
      <c r="E777" s="3"/>
      <c r="F777" s="3"/>
      <c r="G777" s="3"/>
      <c r="H777" s="3"/>
      <c r="I777" s="3"/>
      <c r="J777" s="3"/>
      <c r="K777" s="3"/>
      <c r="L777" s="3"/>
      <c r="M777" s="3"/>
      <c r="N777" s="3"/>
      <c r="O777" s="3"/>
      <c r="P777" s="3"/>
      <c r="Q777" s="3"/>
      <c r="R777" s="3"/>
      <c r="S777" s="3"/>
      <c r="T777" s="3"/>
      <c r="U777" s="3"/>
      <c r="V777" s="3"/>
      <c r="W777" s="3"/>
      <c r="X777" s="3"/>
      <c r="Y777" s="3"/>
      <c r="Z777" s="3"/>
    </row>
    <row r="778" hidden="1">
      <c r="A778" s="27" t="s">
        <v>3020</v>
      </c>
      <c r="B778" s="29" t="s">
        <v>973</v>
      </c>
      <c r="C778" s="3"/>
      <c r="D778" s="3"/>
      <c r="E778" s="3"/>
      <c r="F778" s="3"/>
      <c r="G778" s="3"/>
      <c r="H778" s="3"/>
      <c r="I778" s="3"/>
      <c r="J778" s="3"/>
      <c r="K778" s="3"/>
      <c r="L778" s="3"/>
      <c r="M778" s="3"/>
      <c r="N778" s="3"/>
      <c r="O778" s="3"/>
      <c r="P778" s="3"/>
      <c r="Q778" s="3"/>
      <c r="R778" s="3"/>
      <c r="S778" s="3"/>
      <c r="T778" s="3"/>
      <c r="U778" s="3"/>
      <c r="V778" s="3"/>
      <c r="W778" s="3"/>
      <c r="X778" s="3"/>
      <c r="Y778" s="3"/>
      <c r="Z778" s="3"/>
    </row>
    <row r="779" hidden="1">
      <c r="A779" s="27" t="s">
        <v>3021</v>
      </c>
      <c r="B779" s="29" t="s">
        <v>974</v>
      </c>
      <c r="C779" s="3"/>
      <c r="D779" s="3"/>
      <c r="E779" s="3"/>
      <c r="F779" s="3"/>
      <c r="G779" s="3"/>
      <c r="H779" s="3"/>
      <c r="I779" s="3"/>
      <c r="J779" s="3"/>
      <c r="K779" s="3"/>
      <c r="L779" s="3"/>
      <c r="M779" s="3"/>
      <c r="N779" s="3"/>
      <c r="O779" s="3"/>
      <c r="P779" s="3"/>
      <c r="Q779" s="3"/>
      <c r="R779" s="3"/>
      <c r="S779" s="3"/>
      <c r="T779" s="3"/>
      <c r="U779" s="3"/>
      <c r="V779" s="3"/>
      <c r="W779" s="3"/>
      <c r="X779" s="3"/>
      <c r="Y779" s="3"/>
      <c r="Z779" s="3"/>
    </row>
    <row r="780" hidden="1">
      <c r="A780" s="27" t="s">
        <v>3022</v>
      </c>
      <c r="B780" s="29" t="s">
        <v>975</v>
      </c>
      <c r="C780" s="3"/>
      <c r="D780" s="3"/>
      <c r="E780" s="3"/>
      <c r="F780" s="3"/>
      <c r="G780" s="3"/>
      <c r="H780" s="3"/>
      <c r="I780" s="3"/>
      <c r="J780" s="3"/>
      <c r="K780" s="3"/>
      <c r="L780" s="3"/>
      <c r="M780" s="3"/>
      <c r="N780" s="3"/>
      <c r="O780" s="3"/>
      <c r="P780" s="3"/>
      <c r="Q780" s="3"/>
      <c r="R780" s="3"/>
      <c r="S780" s="3"/>
      <c r="T780" s="3"/>
      <c r="U780" s="3"/>
      <c r="V780" s="3"/>
      <c r="W780" s="3"/>
      <c r="X780" s="3"/>
      <c r="Y780" s="3"/>
      <c r="Z780" s="3"/>
    </row>
    <row r="781" hidden="1">
      <c r="A781" s="27" t="s">
        <v>3023</v>
      </c>
      <c r="B781" s="29" t="s">
        <v>977</v>
      </c>
      <c r="C781" s="3"/>
      <c r="D781" s="3"/>
      <c r="E781" s="3"/>
      <c r="F781" s="3"/>
      <c r="G781" s="3"/>
      <c r="H781" s="3"/>
      <c r="I781" s="3"/>
      <c r="J781" s="3"/>
      <c r="K781" s="3"/>
      <c r="L781" s="3"/>
      <c r="M781" s="3"/>
      <c r="N781" s="3"/>
      <c r="O781" s="3"/>
      <c r="P781" s="3"/>
      <c r="Q781" s="3"/>
      <c r="R781" s="3"/>
      <c r="S781" s="3"/>
      <c r="T781" s="3"/>
      <c r="U781" s="3"/>
      <c r="V781" s="3"/>
      <c r="W781" s="3"/>
      <c r="X781" s="3"/>
      <c r="Y781" s="3"/>
      <c r="Z781" s="3"/>
    </row>
    <row r="782" hidden="1">
      <c r="A782" s="27" t="s">
        <v>3024</v>
      </c>
      <c r="B782" s="29" t="s">
        <v>978</v>
      </c>
      <c r="C782" s="3"/>
      <c r="D782" s="3"/>
      <c r="E782" s="3"/>
      <c r="F782" s="3"/>
      <c r="G782" s="3"/>
      <c r="H782" s="3"/>
      <c r="I782" s="3"/>
      <c r="J782" s="3"/>
      <c r="K782" s="3"/>
      <c r="L782" s="3"/>
      <c r="M782" s="3"/>
      <c r="N782" s="3"/>
      <c r="O782" s="3"/>
      <c r="P782" s="3"/>
      <c r="Q782" s="3"/>
      <c r="R782" s="3"/>
      <c r="S782" s="3"/>
      <c r="T782" s="3"/>
      <c r="U782" s="3"/>
      <c r="V782" s="3"/>
      <c r="W782" s="3"/>
      <c r="X782" s="3"/>
      <c r="Y782" s="3"/>
      <c r="Z782" s="3"/>
    </row>
    <row r="783" hidden="1">
      <c r="A783" s="27" t="s">
        <v>3025</v>
      </c>
      <c r="B783" s="29" t="s">
        <v>979</v>
      </c>
      <c r="C783" s="3"/>
      <c r="D783" s="3"/>
      <c r="E783" s="3"/>
      <c r="F783" s="3"/>
      <c r="G783" s="3"/>
      <c r="H783" s="3"/>
      <c r="I783" s="3"/>
      <c r="J783" s="3"/>
      <c r="K783" s="3"/>
      <c r="L783" s="3"/>
      <c r="M783" s="3"/>
      <c r="N783" s="3"/>
      <c r="O783" s="3"/>
      <c r="P783" s="3"/>
      <c r="Q783" s="3"/>
      <c r="R783" s="3"/>
      <c r="S783" s="3"/>
      <c r="T783" s="3"/>
      <c r="U783" s="3"/>
      <c r="V783" s="3"/>
      <c r="W783" s="3"/>
      <c r="X783" s="3"/>
      <c r="Y783" s="3"/>
      <c r="Z783" s="3"/>
    </row>
    <row r="784" hidden="1">
      <c r="A784" s="27" t="s">
        <v>3026</v>
      </c>
      <c r="B784" s="29" t="s">
        <v>980</v>
      </c>
      <c r="C784" s="3"/>
      <c r="D784" s="3"/>
      <c r="E784" s="3"/>
      <c r="F784" s="3"/>
      <c r="G784" s="3"/>
      <c r="H784" s="3"/>
      <c r="I784" s="3"/>
      <c r="J784" s="3"/>
      <c r="K784" s="3"/>
      <c r="L784" s="3"/>
      <c r="M784" s="3"/>
      <c r="N784" s="3"/>
      <c r="O784" s="3"/>
      <c r="P784" s="3"/>
      <c r="Q784" s="3"/>
      <c r="R784" s="3"/>
      <c r="S784" s="3"/>
      <c r="T784" s="3"/>
      <c r="U784" s="3"/>
      <c r="V784" s="3"/>
      <c r="W784" s="3"/>
      <c r="X784" s="3"/>
      <c r="Y784" s="3"/>
      <c r="Z784" s="3"/>
    </row>
    <row r="785" hidden="1">
      <c r="A785" s="27" t="s">
        <v>3027</v>
      </c>
      <c r="B785" s="29" t="s">
        <v>981</v>
      </c>
      <c r="C785" s="3"/>
      <c r="D785" s="3"/>
      <c r="E785" s="3"/>
      <c r="F785" s="3"/>
      <c r="G785" s="3"/>
      <c r="H785" s="3"/>
      <c r="I785" s="3"/>
      <c r="J785" s="3"/>
      <c r="K785" s="3"/>
      <c r="L785" s="3"/>
      <c r="M785" s="3"/>
      <c r="N785" s="3"/>
      <c r="O785" s="3"/>
      <c r="P785" s="3"/>
      <c r="Q785" s="3"/>
      <c r="R785" s="3"/>
      <c r="S785" s="3"/>
      <c r="T785" s="3"/>
      <c r="U785" s="3"/>
      <c r="V785" s="3"/>
      <c r="W785" s="3"/>
      <c r="X785" s="3"/>
      <c r="Y785" s="3"/>
      <c r="Z785" s="3"/>
    </row>
    <row r="786" hidden="1">
      <c r="A786" s="27" t="s">
        <v>3028</v>
      </c>
      <c r="B786" s="29" t="s">
        <v>983</v>
      </c>
      <c r="C786" s="3"/>
      <c r="D786" s="3"/>
      <c r="E786" s="3"/>
      <c r="F786" s="3"/>
      <c r="G786" s="3"/>
      <c r="H786" s="3"/>
      <c r="I786" s="3"/>
      <c r="J786" s="3"/>
      <c r="K786" s="3"/>
      <c r="L786" s="3"/>
      <c r="M786" s="3"/>
      <c r="N786" s="3"/>
      <c r="O786" s="3"/>
      <c r="P786" s="3"/>
      <c r="Q786" s="3"/>
      <c r="R786" s="3"/>
      <c r="S786" s="3"/>
      <c r="T786" s="3"/>
      <c r="U786" s="3"/>
      <c r="V786" s="3"/>
      <c r="W786" s="3"/>
      <c r="X786" s="3"/>
      <c r="Y786" s="3"/>
      <c r="Z786" s="3"/>
    </row>
    <row r="787" hidden="1">
      <c r="A787" s="27" t="s">
        <v>3029</v>
      </c>
      <c r="B787" s="29" t="s">
        <v>984</v>
      </c>
      <c r="C787" s="3"/>
      <c r="D787" s="3"/>
      <c r="E787" s="3"/>
      <c r="F787" s="3"/>
      <c r="G787" s="3"/>
      <c r="H787" s="3"/>
      <c r="I787" s="3"/>
      <c r="J787" s="3"/>
      <c r="K787" s="3"/>
      <c r="L787" s="3"/>
      <c r="M787" s="3"/>
      <c r="N787" s="3"/>
      <c r="O787" s="3"/>
      <c r="P787" s="3"/>
      <c r="Q787" s="3"/>
      <c r="R787" s="3"/>
      <c r="S787" s="3"/>
      <c r="T787" s="3"/>
      <c r="U787" s="3"/>
      <c r="V787" s="3"/>
      <c r="W787" s="3"/>
      <c r="X787" s="3"/>
      <c r="Y787" s="3"/>
      <c r="Z787" s="3"/>
    </row>
    <row r="788" hidden="1">
      <c r="A788" s="27" t="s">
        <v>3030</v>
      </c>
      <c r="B788" s="29" t="s">
        <v>985</v>
      </c>
      <c r="C788" s="3"/>
      <c r="D788" s="3"/>
      <c r="E788" s="3"/>
      <c r="F788" s="3"/>
      <c r="G788" s="3"/>
      <c r="H788" s="3"/>
      <c r="I788" s="3"/>
      <c r="J788" s="3"/>
      <c r="K788" s="3"/>
      <c r="L788" s="3"/>
      <c r="M788" s="3"/>
      <c r="N788" s="3"/>
      <c r="O788" s="3"/>
      <c r="P788" s="3"/>
      <c r="Q788" s="3"/>
      <c r="R788" s="3"/>
      <c r="S788" s="3"/>
      <c r="T788" s="3"/>
      <c r="U788" s="3"/>
      <c r="V788" s="3"/>
      <c r="W788" s="3"/>
      <c r="X788" s="3"/>
      <c r="Y788" s="3"/>
      <c r="Z788" s="3"/>
    </row>
    <row r="789" hidden="1">
      <c r="A789" s="27" t="s">
        <v>3031</v>
      </c>
      <c r="B789" s="29" t="s">
        <v>986</v>
      </c>
      <c r="C789" s="3"/>
      <c r="D789" s="3"/>
      <c r="E789" s="3"/>
      <c r="F789" s="3"/>
      <c r="G789" s="3"/>
      <c r="H789" s="3"/>
      <c r="I789" s="3"/>
      <c r="J789" s="3"/>
      <c r="K789" s="3"/>
      <c r="L789" s="3"/>
      <c r="M789" s="3"/>
      <c r="N789" s="3"/>
      <c r="O789" s="3"/>
      <c r="P789" s="3"/>
      <c r="Q789" s="3"/>
      <c r="R789" s="3"/>
      <c r="S789" s="3"/>
      <c r="T789" s="3"/>
      <c r="U789" s="3"/>
      <c r="V789" s="3"/>
      <c r="W789" s="3"/>
      <c r="X789" s="3"/>
      <c r="Y789" s="3"/>
      <c r="Z789" s="3"/>
    </row>
    <row r="790" hidden="1">
      <c r="A790" s="27" t="s">
        <v>3032</v>
      </c>
      <c r="B790" s="29" t="s">
        <v>987</v>
      </c>
      <c r="C790" s="3"/>
      <c r="D790" s="3"/>
      <c r="E790" s="3"/>
      <c r="F790" s="3"/>
      <c r="G790" s="3"/>
      <c r="H790" s="3"/>
      <c r="I790" s="3"/>
      <c r="J790" s="3"/>
      <c r="K790" s="3"/>
      <c r="L790" s="3"/>
      <c r="M790" s="3"/>
      <c r="N790" s="3"/>
      <c r="O790" s="3"/>
      <c r="P790" s="3"/>
      <c r="Q790" s="3"/>
      <c r="R790" s="3"/>
      <c r="S790" s="3"/>
      <c r="T790" s="3"/>
      <c r="U790" s="3"/>
      <c r="V790" s="3"/>
      <c r="W790" s="3"/>
      <c r="X790" s="3"/>
      <c r="Y790" s="3"/>
      <c r="Z790" s="3"/>
    </row>
    <row r="791" hidden="1">
      <c r="A791" s="27" t="s">
        <v>3033</v>
      </c>
      <c r="B791" s="29" t="s">
        <v>988</v>
      </c>
      <c r="C791" s="3"/>
      <c r="D791" s="3"/>
      <c r="E791" s="3"/>
      <c r="F791" s="3"/>
      <c r="G791" s="3"/>
      <c r="H791" s="3"/>
      <c r="I791" s="3"/>
      <c r="J791" s="3"/>
      <c r="K791" s="3"/>
      <c r="L791" s="3"/>
      <c r="M791" s="3"/>
      <c r="N791" s="3"/>
      <c r="O791" s="3"/>
      <c r="P791" s="3"/>
      <c r="Q791" s="3"/>
      <c r="R791" s="3"/>
      <c r="S791" s="3"/>
      <c r="T791" s="3"/>
      <c r="U791" s="3"/>
      <c r="V791" s="3"/>
      <c r="W791" s="3"/>
      <c r="X791" s="3"/>
      <c r="Y791" s="3"/>
      <c r="Z791" s="3"/>
    </row>
    <row r="792" hidden="1">
      <c r="A792" s="27" t="s">
        <v>3034</v>
      </c>
      <c r="B792" s="29" t="s">
        <v>989</v>
      </c>
      <c r="C792" s="3"/>
      <c r="D792" s="3"/>
      <c r="E792" s="3"/>
      <c r="F792" s="3"/>
      <c r="G792" s="3"/>
      <c r="H792" s="3"/>
      <c r="I792" s="3"/>
      <c r="J792" s="3"/>
      <c r="K792" s="3"/>
      <c r="L792" s="3"/>
      <c r="M792" s="3"/>
      <c r="N792" s="3"/>
      <c r="O792" s="3"/>
      <c r="P792" s="3"/>
      <c r="Q792" s="3"/>
      <c r="R792" s="3"/>
      <c r="S792" s="3"/>
      <c r="T792" s="3"/>
      <c r="U792" s="3"/>
      <c r="V792" s="3"/>
      <c r="W792" s="3"/>
      <c r="X792" s="3"/>
      <c r="Y792" s="3"/>
      <c r="Z792" s="3"/>
    </row>
    <row r="793" hidden="1">
      <c r="A793" s="27" t="s">
        <v>3035</v>
      </c>
      <c r="B793" s="29" t="s">
        <v>991</v>
      </c>
      <c r="C793" s="3"/>
      <c r="D793" s="3"/>
      <c r="E793" s="3"/>
      <c r="F793" s="3"/>
      <c r="G793" s="3"/>
      <c r="H793" s="3"/>
      <c r="I793" s="3"/>
      <c r="J793" s="3"/>
      <c r="K793" s="3"/>
      <c r="L793" s="3"/>
      <c r="M793" s="3"/>
      <c r="N793" s="3"/>
      <c r="O793" s="3"/>
      <c r="P793" s="3"/>
      <c r="Q793" s="3"/>
      <c r="R793" s="3"/>
      <c r="S793" s="3"/>
      <c r="T793" s="3"/>
      <c r="U793" s="3"/>
      <c r="V793" s="3"/>
      <c r="W793" s="3"/>
      <c r="X793" s="3"/>
      <c r="Y793" s="3"/>
      <c r="Z793" s="3"/>
    </row>
    <row r="794" hidden="1">
      <c r="A794" s="27" t="s">
        <v>3036</v>
      </c>
      <c r="B794" s="29" t="s">
        <v>992</v>
      </c>
      <c r="C794" s="3"/>
      <c r="D794" s="3"/>
      <c r="E794" s="3"/>
      <c r="F794" s="3"/>
      <c r="G794" s="3"/>
      <c r="H794" s="3"/>
      <c r="I794" s="3"/>
      <c r="J794" s="3"/>
      <c r="K794" s="3"/>
      <c r="L794" s="3"/>
      <c r="M794" s="3"/>
      <c r="N794" s="3"/>
      <c r="O794" s="3"/>
      <c r="P794" s="3"/>
      <c r="Q794" s="3"/>
      <c r="R794" s="3"/>
      <c r="S794" s="3"/>
      <c r="T794" s="3"/>
      <c r="U794" s="3"/>
      <c r="V794" s="3"/>
      <c r="W794" s="3"/>
      <c r="X794" s="3"/>
      <c r="Y794" s="3"/>
      <c r="Z794" s="3"/>
    </row>
    <row r="795" hidden="1">
      <c r="A795" s="27" t="s">
        <v>3037</v>
      </c>
      <c r="B795" s="29" t="s">
        <v>993</v>
      </c>
      <c r="C795" s="3"/>
      <c r="D795" s="3"/>
      <c r="E795" s="3"/>
      <c r="F795" s="3"/>
      <c r="G795" s="3"/>
      <c r="H795" s="3"/>
      <c r="I795" s="3"/>
      <c r="J795" s="3"/>
      <c r="K795" s="3"/>
      <c r="L795" s="3"/>
      <c r="M795" s="3"/>
      <c r="N795" s="3"/>
      <c r="O795" s="3"/>
      <c r="P795" s="3"/>
      <c r="Q795" s="3"/>
      <c r="R795" s="3"/>
      <c r="S795" s="3"/>
      <c r="T795" s="3"/>
      <c r="U795" s="3"/>
      <c r="V795" s="3"/>
      <c r="W795" s="3"/>
      <c r="X795" s="3"/>
      <c r="Y795" s="3"/>
      <c r="Z795" s="3"/>
    </row>
    <row r="796" hidden="1">
      <c r="A796" s="27" t="s">
        <v>3038</v>
      </c>
      <c r="B796" s="29" t="s">
        <v>994</v>
      </c>
      <c r="C796" s="3"/>
      <c r="D796" s="3"/>
      <c r="E796" s="3"/>
      <c r="F796" s="3"/>
      <c r="G796" s="3"/>
      <c r="H796" s="3"/>
      <c r="I796" s="3"/>
      <c r="J796" s="3"/>
      <c r="K796" s="3"/>
      <c r="L796" s="3"/>
      <c r="M796" s="3"/>
      <c r="N796" s="3"/>
      <c r="O796" s="3"/>
      <c r="P796" s="3"/>
      <c r="Q796" s="3"/>
      <c r="R796" s="3"/>
      <c r="S796" s="3"/>
      <c r="T796" s="3"/>
      <c r="U796" s="3"/>
      <c r="V796" s="3"/>
      <c r="W796" s="3"/>
      <c r="X796" s="3"/>
      <c r="Y796" s="3"/>
      <c r="Z796" s="3"/>
    </row>
    <row r="797" hidden="1">
      <c r="A797" s="27" t="s">
        <v>3039</v>
      </c>
      <c r="B797" s="29" t="s">
        <v>995</v>
      </c>
      <c r="C797" s="3"/>
      <c r="D797" s="3"/>
      <c r="E797" s="3"/>
      <c r="F797" s="3"/>
      <c r="G797" s="3"/>
      <c r="H797" s="3"/>
      <c r="I797" s="3"/>
      <c r="J797" s="3"/>
      <c r="K797" s="3"/>
      <c r="L797" s="3"/>
      <c r="M797" s="3"/>
      <c r="N797" s="3"/>
      <c r="O797" s="3"/>
      <c r="P797" s="3"/>
      <c r="Q797" s="3"/>
      <c r="R797" s="3"/>
      <c r="S797" s="3"/>
      <c r="T797" s="3"/>
      <c r="U797" s="3"/>
      <c r="V797" s="3"/>
      <c r="W797" s="3"/>
      <c r="X797" s="3"/>
      <c r="Y797" s="3"/>
      <c r="Z797" s="3"/>
    </row>
    <row r="798" hidden="1">
      <c r="A798" s="27" t="s">
        <v>3040</v>
      </c>
      <c r="B798" s="29" t="s">
        <v>996</v>
      </c>
      <c r="C798" s="3"/>
      <c r="D798" s="3"/>
      <c r="E798" s="3"/>
      <c r="F798" s="3"/>
      <c r="G798" s="3"/>
      <c r="H798" s="3"/>
      <c r="I798" s="3"/>
      <c r="J798" s="3"/>
      <c r="K798" s="3"/>
      <c r="L798" s="3"/>
      <c r="M798" s="3"/>
      <c r="N798" s="3"/>
      <c r="O798" s="3"/>
      <c r="P798" s="3"/>
      <c r="Q798" s="3"/>
      <c r="R798" s="3"/>
      <c r="S798" s="3"/>
      <c r="T798" s="3"/>
      <c r="U798" s="3"/>
      <c r="V798" s="3"/>
      <c r="W798" s="3"/>
      <c r="X798" s="3"/>
      <c r="Y798" s="3"/>
      <c r="Z798" s="3"/>
    </row>
    <row r="799" hidden="1">
      <c r="A799" s="27" t="s">
        <v>3041</v>
      </c>
      <c r="B799" s="29" t="s">
        <v>998</v>
      </c>
      <c r="C799" s="3"/>
      <c r="D799" s="3"/>
      <c r="E799" s="3"/>
      <c r="F799" s="3"/>
      <c r="G799" s="3"/>
      <c r="H799" s="3"/>
      <c r="I799" s="3"/>
      <c r="J799" s="3"/>
      <c r="K799" s="3"/>
      <c r="L799" s="3"/>
      <c r="M799" s="3"/>
      <c r="N799" s="3"/>
      <c r="O799" s="3"/>
      <c r="P799" s="3"/>
      <c r="Q799" s="3"/>
      <c r="R799" s="3"/>
      <c r="S799" s="3"/>
      <c r="T799" s="3"/>
      <c r="U799" s="3"/>
      <c r="V799" s="3"/>
      <c r="W799" s="3"/>
      <c r="X799" s="3"/>
      <c r="Y799" s="3"/>
      <c r="Z799" s="3"/>
    </row>
    <row r="800" hidden="1">
      <c r="A800" s="27" t="s">
        <v>3042</v>
      </c>
      <c r="B800" s="29" t="s">
        <v>999</v>
      </c>
      <c r="C800" s="3"/>
      <c r="D800" s="3"/>
      <c r="E800" s="3"/>
      <c r="F800" s="3"/>
      <c r="G800" s="3"/>
      <c r="H800" s="3"/>
      <c r="I800" s="3"/>
      <c r="J800" s="3"/>
      <c r="K800" s="3"/>
      <c r="L800" s="3"/>
      <c r="M800" s="3"/>
      <c r="N800" s="3"/>
      <c r="O800" s="3"/>
      <c r="P800" s="3"/>
      <c r="Q800" s="3"/>
      <c r="R800" s="3"/>
      <c r="S800" s="3"/>
      <c r="T800" s="3"/>
      <c r="U800" s="3"/>
      <c r="V800" s="3"/>
      <c r="W800" s="3"/>
      <c r="X800" s="3"/>
      <c r="Y800" s="3"/>
      <c r="Z800" s="3"/>
    </row>
    <row r="801" hidden="1">
      <c r="A801" s="27" t="s">
        <v>3043</v>
      </c>
      <c r="B801" s="29" t="s">
        <v>1000</v>
      </c>
      <c r="C801" s="3"/>
      <c r="D801" s="3"/>
      <c r="E801" s="3"/>
      <c r="F801" s="3"/>
      <c r="G801" s="3"/>
      <c r="H801" s="3"/>
      <c r="I801" s="3"/>
      <c r="J801" s="3"/>
      <c r="K801" s="3"/>
      <c r="L801" s="3"/>
      <c r="M801" s="3"/>
      <c r="N801" s="3"/>
      <c r="O801" s="3"/>
      <c r="P801" s="3"/>
      <c r="Q801" s="3"/>
      <c r="R801" s="3"/>
      <c r="S801" s="3"/>
      <c r="T801" s="3"/>
      <c r="U801" s="3"/>
      <c r="V801" s="3"/>
      <c r="W801" s="3"/>
      <c r="X801" s="3"/>
      <c r="Y801" s="3"/>
      <c r="Z801" s="3"/>
    </row>
    <row r="802" hidden="1">
      <c r="A802" s="27" t="s">
        <v>3044</v>
      </c>
      <c r="B802" s="29" t="s">
        <v>1001</v>
      </c>
      <c r="C802" s="3"/>
      <c r="D802" s="3"/>
      <c r="E802" s="3"/>
      <c r="F802" s="3"/>
      <c r="G802" s="3"/>
      <c r="H802" s="3"/>
      <c r="I802" s="3"/>
      <c r="J802" s="3"/>
      <c r="K802" s="3"/>
      <c r="L802" s="3"/>
      <c r="M802" s="3"/>
      <c r="N802" s="3"/>
      <c r="O802" s="3"/>
      <c r="P802" s="3"/>
      <c r="Q802" s="3"/>
      <c r="R802" s="3"/>
      <c r="S802" s="3"/>
      <c r="T802" s="3"/>
      <c r="U802" s="3"/>
      <c r="V802" s="3"/>
      <c r="W802" s="3"/>
      <c r="X802" s="3"/>
      <c r="Y802" s="3"/>
      <c r="Z802" s="3"/>
    </row>
    <row r="803" hidden="1">
      <c r="A803" s="27" t="s">
        <v>3045</v>
      </c>
      <c r="B803" s="29" t="s">
        <v>1002</v>
      </c>
      <c r="C803" s="3"/>
      <c r="D803" s="3"/>
      <c r="E803" s="3"/>
      <c r="F803" s="3"/>
      <c r="G803" s="3"/>
      <c r="H803" s="3"/>
      <c r="I803" s="3"/>
      <c r="J803" s="3"/>
      <c r="K803" s="3"/>
      <c r="L803" s="3"/>
      <c r="M803" s="3"/>
      <c r="N803" s="3"/>
      <c r="O803" s="3"/>
      <c r="P803" s="3"/>
      <c r="Q803" s="3"/>
      <c r="R803" s="3"/>
      <c r="S803" s="3"/>
      <c r="T803" s="3"/>
      <c r="U803" s="3"/>
      <c r="V803" s="3"/>
      <c r="W803" s="3"/>
      <c r="X803" s="3"/>
      <c r="Y803" s="3"/>
      <c r="Z803" s="3"/>
    </row>
    <row r="804" hidden="1">
      <c r="A804" s="27" t="s">
        <v>3046</v>
      </c>
      <c r="B804" s="29" t="s">
        <v>1003</v>
      </c>
      <c r="C804" s="3"/>
      <c r="D804" s="3"/>
      <c r="E804" s="3"/>
      <c r="F804" s="3"/>
      <c r="G804" s="3"/>
      <c r="H804" s="3"/>
      <c r="I804" s="3"/>
      <c r="J804" s="3"/>
      <c r="K804" s="3"/>
      <c r="L804" s="3"/>
      <c r="M804" s="3"/>
      <c r="N804" s="3"/>
      <c r="O804" s="3"/>
      <c r="P804" s="3"/>
      <c r="Q804" s="3"/>
      <c r="R804" s="3"/>
      <c r="S804" s="3"/>
      <c r="T804" s="3"/>
      <c r="U804" s="3"/>
      <c r="V804" s="3"/>
      <c r="W804" s="3"/>
      <c r="X804" s="3"/>
      <c r="Y804" s="3"/>
      <c r="Z804" s="3"/>
    </row>
    <row r="805" hidden="1">
      <c r="A805" s="27" t="s">
        <v>3047</v>
      </c>
      <c r="B805" s="29" t="s">
        <v>1004</v>
      </c>
      <c r="C805" s="3"/>
      <c r="D805" s="3"/>
      <c r="E805" s="3"/>
      <c r="F805" s="3"/>
      <c r="G805" s="3"/>
      <c r="H805" s="3"/>
      <c r="I805" s="3"/>
      <c r="J805" s="3"/>
      <c r="K805" s="3"/>
      <c r="L805" s="3"/>
      <c r="M805" s="3"/>
      <c r="N805" s="3"/>
      <c r="O805" s="3"/>
      <c r="P805" s="3"/>
      <c r="Q805" s="3"/>
      <c r="R805" s="3"/>
      <c r="S805" s="3"/>
      <c r="T805" s="3"/>
      <c r="U805" s="3"/>
      <c r="V805" s="3"/>
      <c r="W805" s="3"/>
      <c r="X805" s="3"/>
      <c r="Y805" s="3"/>
      <c r="Z805" s="3"/>
    </row>
    <row r="806" hidden="1">
      <c r="A806" s="27" t="s">
        <v>3048</v>
      </c>
      <c r="B806" s="29" t="s">
        <v>1006</v>
      </c>
      <c r="C806" s="3"/>
      <c r="D806" s="3"/>
      <c r="E806" s="3"/>
      <c r="F806" s="3"/>
      <c r="G806" s="3"/>
      <c r="H806" s="3"/>
      <c r="I806" s="3"/>
      <c r="J806" s="3"/>
      <c r="K806" s="3"/>
      <c r="L806" s="3"/>
      <c r="M806" s="3"/>
      <c r="N806" s="3"/>
      <c r="O806" s="3"/>
      <c r="P806" s="3"/>
      <c r="Q806" s="3"/>
      <c r="R806" s="3"/>
      <c r="S806" s="3"/>
      <c r="T806" s="3"/>
      <c r="U806" s="3"/>
      <c r="V806" s="3"/>
      <c r="W806" s="3"/>
      <c r="X806" s="3"/>
      <c r="Y806" s="3"/>
      <c r="Z806" s="3"/>
    </row>
    <row r="807" hidden="1">
      <c r="A807" s="27" t="s">
        <v>3049</v>
      </c>
      <c r="B807" s="29" t="s">
        <v>1007</v>
      </c>
      <c r="C807" s="3"/>
      <c r="D807" s="3"/>
      <c r="E807" s="3"/>
      <c r="F807" s="3"/>
      <c r="G807" s="3"/>
      <c r="H807" s="3"/>
      <c r="I807" s="3"/>
      <c r="J807" s="3"/>
      <c r="K807" s="3"/>
      <c r="L807" s="3"/>
      <c r="M807" s="3"/>
      <c r="N807" s="3"/>
      <c r="O807" s="3"/>
      <c r="P807" s="3"/>
      <c r="Q807" s="3"/>
      <c r="R807" s="3"/>
      <c r="S807" s="3"/>
      <c r="T807" s="3"/>
      <c r="U807" s="3"/>
      <c r="V807" s="3"/>
      <c r="W807" s="3"/>
      <c r="X807" s="3"/>
      <c r="Y807" s="3"/>
      <c r="Z807" s="3"/>
    </row>
    <row r="808" hidden="1">
      <c r="A808" s="27" t="s">
        <v>3050</v>
      </c>
      <c r="B808" s="29" t="s">
        <v>1008</v>
      </c>
      <c r="C808" s="3"/>
      <c r="D808" s="3"/>
      <c r="E808" s="3"/>
      <c r="F808" s="3"/>
      <c r="G808" s="3"/>
      <c r="H808" s="3"/>
      <c r="I808" s="3"/>
      <c r="J808" s="3"/>
      <c r="K808" s="3"/>
      <c r="L808" s="3"/>
      <c r="M808" s="3"/>
      <c r="N808" s="3"/>
      <c r="O808" s="3"/>
      <c r="P808" s="3"/>
      <c r="Q808" s="3"/>
      <c r="R808" s="3"/>
      <c r="S808" s="3"/>
      <c r="T808" s="3"/>
      <c r="U808" s="3"/>
      <c r="V808" s="3"/>
      <c r="W808" s="3"/>
      <c r="X808" s="3"/>
      <c r="Y808" s="3"/>
      <c r="Z808" s="3"/>
    </row>
    <row r="809" hidden="1">
      <c r="A809" s="27" t="s">
        <v>3051</v>
      </c>
      <c r="B809" s="29" t="s">
        <v>1009</v>
      </c>
      <c r="C809" s="3"/>
      <c r="D809" s="3"/>
      <c r="E809" s="3"/>
      <c r="F809" s="3"/>
      <c r="G809" s="3"/>
      <c r="H809" s="3"/>
      <c r="I809" s="3"/>
      <c r="J809" s="3"/>
      <c r="K809" s="3"/>
      <c r="L809" s="3"/>
      <c r="M809" s="3"/>
      <c r="N809" s="3"/>
      <c r="O809" s="3"/>
      <c r="P809" s="3"/>
      <c r="Q809" s="3"/>
      <c r="R809" s="3"/>
      <c r="S809" s="3"/>
      <c r="T809" s="3"/>
      <c r="U809" s="3"/>
      <c r="V809" s="3"/>
      <c r="W809" s="3"/>
      <c r="X809" s="3"/>
      <c r="Y809" s="3"/>
      <c r="Z809" s="3"/>
    </row>
    <row r="810" hidden="1">
      <c r="A810" s="27" t="s">
        <v>3052</v>
      </c>
      <c r="B810" s="29" t="s">
        <v>1010</v>
      </c>
      <c r="C810" s="3"/>
      <c r="D810" s="3"/>
      <c r="E810" s="3"/>
      <c r="F810" s="3"/>
      <c r="G810" s="3"/>
      <c r="H810" s="3"/>
      <c r="I810" s="3"/>
      <c r="J810" s="3"/>
      <c r="K810" s="3"/>
      <c r="L810" s="3"/>
      <c r="M810" s="3"/>
      <c r="N810" s="3"/>
      <c r="O810" s="3"/>
      <c r="P810" s="3"/>
      <c r="Q810" s="3"/>
      <c r="R810" s="3"/>
      <c r="S810" s="3"/>
      <c r="T810" s="3"/>
      <c r="U810" s="3"/>
      <c r="V810" s="3"/>
      <c r="W810" s="3"/>
      <c r="X810" s="3"/>
      <c r="Y810" s="3"/>
      <c r="Z810" s="3"/>
    </row>
    <row r="811" hidden="1">
      <c r="A811" s="27" t="s">
        <v>3053</v>
      </c>
      <c r="B811" s="29" t="s">
        <v>1012</v>
      </c>
      <c r="C811" s="3"/>
      <c r="D811" s="3"/>
      <c r="E811" s="3"/>
      <c r="F811" s="3"/>
      <c r="G811" s="3"/>
      <c r="H811" s="3"/>
      <c r="I811" s="3"/>
      <c r="J811" s="3"/>
      <c r="K811" s="3"/>
      <c r="L811" s="3"/>
      <c r="M811" s="3"/>
      <c r="N811" s="3"/>
      <c r="O811" s="3"/>
      <c r="P811" s="3"/>
      <c r="Q811" s="3"/>
      <c r="R811" s="3"/>
      <c r="S811" s="3"/>
      <c r="T811" s="3"/>
      <c r="U811" s="3"/>
      <c r="V811" s="3"/>
      <c r="W811" s="3"/>
      <c r="X811" s="3"/>
      <c r="Y811" s="3"/>
      <c r="Z811" s="3"/>
    </row>
    <row r="812" hidden="1">
      <c r="A812" s="27" t="s">
        <v>3054</v>
      </c>
      <c r="B812" s="29" t="s">
        <v>1013</v>
      </c>
      <c r="C812" s="3"/>
      <c r="D812" s="3"/>
      <c r="E812" s="3"/>
      <c r="F812" s="3"/>
      <c r="G812" s="3"/>
      <c r="H812" s="3"/>
      <c r="I812" s="3"/>
      <c r="J812" s="3"/>
      <c r="K812" s="3"/>
      <c r="L812" s="3"/>
      <c r="M812" s="3"/>
      <c r="N812" s="3"/>
      <c r="O812" s="3"/>
      <c r="P812" s="3"/>
      <c r="Q812" s="3"/>
      <c r="R812" s="3"/>
      <c r="S812" s="3"/>
      <c r="T812" s="3"/>
      <c r="U812" s="3"/>
      <c r="V812" s="3"/>
      <c r="W812" s="3"/>
      <c r="X812" s="3"/>
      <c r="Y812" s="3"/>
      <c r="Z812" s="3"/>
    </row>
    <row r="813" hidden="1">
      <c r="A813" s="27" t="s">
        <v>3055</v>
      </c>
      <c r="B813" s="29" t="s">
        <v>1014</v>
      </c>
      <c r="C813" s="3"/>
      <c r="D813" s="3"/>
      <c r="E813" s="3"/>
      <c r="F813" s="3"/>
      <c r="G813" s="3"/>
      <c r="H813" s="3"/>
      <c r="I813" s="3"/>
      <c r="J813" s="3"/>
      <c r="K813" s="3"/>
      <c r="L813" s="3"/>
      <c r="M813" s="3"/>
      <c r="N813" s="3"/>
      <c r="O813" s="3"/>
      <c r="P813" s="3"/>
      <c r="Q813" s="3"/>
      <c r="R813" s="3"/>
      <c r="S813" s="3"/>
      <c r="T813" s="3"/>
      <c r="U813" s="3"/>
      <c r="V813" s="3"/>
      <c r="W813" s="3"/>
      <c r="X813" s="3"/>
      <c r="Y813" s="3"/>
      <c r="Z813" s="3"/>
    </row>
    <row r="814" hidden="1">
      <c r="A814" s="27" t="s">
        <v>3056</v>
      </c>
      <c r="B814" s="29" t="s">
        <v>1015</v>
      </c>
      <c r="C814" s="3"/>
      <c r="D814" s="3"/>
      <c r="E814" s="3"/>
      <c r="F814" s="3"/>
      <c r="G814" s="3"/>
      <c r="H814" s="3"/>
      <c r="I814" s="3"/>
      <c r="J814" s="3"/>
      <c r="K814" s="3"/>
      <c r="L814" s="3"/>
      <c r="M814" s="3"/>
      <c r="N814" s="3"/>
      <c r="O814" s="3"/>
      <c r="P814" s="3"/>
      <c r="Q814" s="3"/>
      <c r="R814" s="3"/>
      <c r="S814" s="3"/>
      <c r="T814" s="3"/>
      <c r="U814" s="3"/>
      <c r="V814" s="3"/>
      <c r="W814" s="3"/>
      <c r="X814" s="3"/>
      <c r="Y814" s="3"/>
      <c r="Z814" s="3"/>
    </row>
    <row r="815" hidden="1">
      <c r="A815" s="27" t="s">
        <v>3057</v>
      </c>
      <c r="B815" s="29" t="s">
        <v>1016</v>
      </c>
      <c r="C815" s="3"/>
      <c r="D815" s="3"/>
      <c r="E815" s="3"/>
      <c r="F815" s="3"/>
      <c r="G815" s="3"/>
      <c r="H815" s="3"/>
      <c r="I815" s="3"/>
      <c r="J815" s="3"/>
      <c r="K815" s="3"/>
      <c r="L815" s="3"/>
      <c r="M815" s="3"/>
      <c r="N815" s="3"/>
      <c r="O815" s="3"/>
      <c r="P815" s="3"/>
      <c r="Q815" s="3"/>
      <c r="R815" s="3"/>
      <c r="S815" s="3"/>
      <c r="T815" s="3"/>
      <c r="U815" s="3"/>
      <c r="V815" s="3"/>
      <c r="W815" s="3"/>
      <c r="X815" s="3"/>
      <c r="Y815" s="3"/>
      <c r="Z815" s="3"/>
    </row>
    <row r="816" hidden="1">
      <c r="A816" s="27" t="s">
        <v>3058</v>
      </c>
      <c r="B816" s="29" t="s">
        <v>1017</v>
      </c>
      <c r="C816" s="3"/>
      <c r="D816" s="3"/>
      <c r="E816" s="3"/>
      <c r="F816" s="3"/>
      <c r="G816" s="3"/>
      <c r="H816" s="3"/>
      <c r="I816" s="3"/>
      <c r="J816" s="3"/>
      <c r="K816" s="3"/>
      <c r="L816" s="3"/>
      <c r="M816" s="3"/>
      <c r="N816" s="3"/>
      <c r="O816" s="3"/>
      <c r="P816" s="3"/>
      <c r="Q816" s="3"/>
      <c r="R816" s="3"/>
      <c r="S816" s="3"/>
      <c r="T816" s="3"/>
      <c r="U816" s="3"/>
      <c r="V816" s="3"/>
      <c r="W816" s="3"/>
      <c r="X816" s="3"/>
      <c r="Y816" s="3"/>
      <c r="Z816" s="3"/>
    </row>
    <row r="817" hidden="1">
      <c r="A817" s="27" t="s">
        <v>3059</v>
      </c>
      <c r="B817" s="29" t="s">
        <v>1018</v>
      </c>
      <c r="C817" s="3"/>
      <c r="D817" s="3"/>
      <c r="E817" s="3"/>
      <c r="F817" s="3"/>
      <c r="G817" s="3"/>
      <c r="H817" s="3"/>
      <c r="I817" s="3"/>
      <c r="J817" s="3"/>
      <c r="K817" s="3"/>
      <c r="L817" s="3"/>
      <c r="M817" s="3"/>
      <c r="N817" s="3"/>
      <c r="O817" s="3"/>
      <c r="P817" s="3"/>
      <c r="Q817" s="3"/>
      <c r="R817" s="3"/>
      <c r="S817" s="3"/>
      <c r="T817" s="3"/>
      <c r="U817" s="3"/>
      <c r="V817" s="3"/>
      <c r="W817" s="3"/>
      <c r="X817" s="3"/>
      <c r="Y817" s="3"/>
      <c r="Z817" s="3"/>
    </row>
    <row r="818" hidden="1">
      <c r="A818" s="27" t="s">
        <v>3060</v>
      </c>
      <c r="B818" s="29" t="s">
        <v>1020</v>
      </c>
      <c r="C818" s="3"/>
      <c r="D818" s="3"/>
      <c r="E818" s="3"/>
      <c r="F818" s="3"/>
      <c r="G818" s="3"/>
      <c r="H818" s="3"/>
      <c r="I818" s="3"/>
      <c r="J818" s="3"/>
      <c r="K818" s="3"/>
      <c r="L818" s="3"/>
      <c r="M818" s="3"/>
      <c r="N818" s="3"/>
      <c r="O818" s="3"/>
      <c r="P818" s="3"/>
      <c r="Q818" s="3"/>
      <c r="R818" s="3"/>
      <c r="S818" s="3"/>
      <c r="T818" s="3"/>
      <c r="U818" s="3"/>
      <c r="V818" s="3"/>
      <c r="W818" s="3"/>
      <c r="X818" s="3"/>
      <c r="Y818" s="3"/>
      <c r="Z818" s="3"/>
    </row>
    <row r="819" hidden="1">
      <c r="A819" s="27" t="s">
        <v>3061</v>
      </c>
      <c r="B819" s="29" t="s">
        <v>1021</v>
      </c>
      <c r="C819" s="3"/>
      <c r="D819" s="3"/>
      <c r="E819" s="3"/>
      <c r="F819" s="3"/>
      <c r="G819" s="3"/>
      <c r="H819" s="3"/>
      <c r="I819" s="3"/>
      <c r="J819" s="3"/>
      <c r="K819" s="3"/>
      <c r="L819" s="3"/>
      <c r="M819" s="3"/>
      <c r="N819" s="3"/>
      <c r="O819" s="3"/>
      <c r="P819" s="3"/>
      <c r="Q819" s="3"/>
      <c r="R819" s="3"/>
      <c r="S819" s="3"/>
      <c r="T819" s="3"/>
      <c r="U819" s="3"/>
      <c r="V819" s="3"/>
      <c r="W819" s="3"/>
      <c r="X819" s="3"/>
      <c r="Y819" s="3"/>
      <c r="Z819" s="3"/>
    </row>
    <row r="820" hidden="1">
      <c r="A820" s="27" t="s">
        <v>3062</v>
      </c>
      <c r="B820" s="29" t="s">
        <v>1022</v>
      </c>
      <c r="C820" s="3"/>
      <c r="D820" s="3"/>
      <c r="E820" s="3"/>
      <c r="F820" s="3"/>
      <c r="G820" s="3"/>
      <c r="H820" s="3"/>
      <c r="I820" s="3"/>
      <c r="J820" s="3"/>
      <c r="K820" s="3"/>
      <c r="L820" s="3"/>
      <c r="M820" s="3"/>
      <c r="N820" s="3"/>
      <c r="O820" s="3"/>
      <c r="P820" s="3"/>
      <c r="Q820" s="3"/>
      <c r="R820" s="3"/>
      <c r="S820" s="3"/>
      <c r="T820" s="3"/>
      <c r="U820" s="3"/>
      <c r="V820" s="3"/>
      <c r="W820" s="3"/>
      <c r="X820" s="3"/>
      <c r="Y820" s="3"/>
      <c r="Z820" s="3"/>
    </row>
    <row r="821" hidden="1">
      <c r="A821" s="27" t="s">
        <v>3063</v>
      </c>
      <c r="B821" s="29" t="s">
        <v>1023</v>
      </c>
      <c r="C821" s="3"/>
      <c r="D821" s="3"/>
      <c r="E821" s="3"/>
      <c r="F821" s="3"/>
      <c r="G821" s="3"/>
      <c r="H821" s="3"/>
      <c r="I821" s="3"/>
      <c r="J821" s="3"/>
      <c r="K821" s="3"/>
      <c r="L821" s="3"/>
      <c r="M821" s="3"/>
      <c r="N821" s="3"/>
      <c r="O821" s="3"/>
      <c r="P821" s="3"/>
      <c r="Q821" s="3"/>
      <c r="R821" s="3"/>
      <c r="S821" s="3"/>
      <c r="T821" s="3"/>
      <c r="U821" s="3"/>
      <c r="V821" s="3"/>
      <c r="W821" s="3"/>
      <c r="X821" s="3"/>
      <c r="Y821" s="3"/>
      <c r="Z821" s="3"/>
    </row>
    <row r="822" hidden="1">
      <c r="A822" s="27" t="s">
        <v>3064</v>
      </c>
      <c r="B822" s="29" t="s">
        <v>1024</v>
      </c>
      <c r="C822" s="3"/>
      <c r="D822" s="3"/>
      <c r="E822" s="3"/>
      <c r="F822" s="3"/>
      <c r="G822" s="3"/>
      <c r="H822" s="3"/>
      <c r="I822" s="3"/>
      <c r="J822" s="3"/>
      <c r="K822" s="3"/>
      <c r="L822" s="3"/>
      <c r="M822" s="3"/>
      <c r="N822" s="3"/>
      <c r="O822" s="3"/>
      <c r="P822" s="3"/>
      <c r="Q822" s="3"/>
      <c r="R822" s="3"/>
      <c r="S822" s="3"/>
      <c r="T822" s="3"/>
      <c r="U822" s="3"/>
      <c r="V822" s="3"/>
      <c r="W822" s="3"/>
      <c r="X822" s="3"/>
      <c r="Y822" s="3"/>
      <c r="Z822" s="3"/>
    </row>
    <row r="823" hidden="1">
      <c r="A823" s="27" t="s">
        <v>3065</v>
      </c>
      <c r="B823" s="29" t="s">
        <v>1025</v>
      </c>
      <c r="C823" s="3"/>
      <c r="D823" s="3"/>
      <c r="E823" s="3"/>
      <c r="F823" s="3"/>
      <c r="G823" s="3"/>
      <c r="H823" s="3"/>
      <c r="I823" s="3"/>
      <c r="J823" s="3"/>
      <c r="K823" s="3"/>
      <c r="L823" s="3"/>
      <c r="M823" s="3"/>
      <c r="N823" s="3"/>
      <c r="O823" s="3"/>
      <c r="P823" s="3"/>
      <c r="Q823" s="3"/>
      <c r="R823" s="3"/>
      <c r="S823" s="3"/>
      <c r="T823" s="3"/>
      <c r="U823" s="3"/>
      <c r="V823" s="3"/>
      <c r="W823" s="3"/>
      <c r="X823" s="3"/>
      <c r="Y823" s="3"/>
      <c r="Z823" s="3"/>
    </row>
    <row r="824" hidden="1">
      <c r="A824" s="27" t="s">
        <v>3066</v>
      </c>
      <c r="B824" s="29" t="s">
        <v>1026</v>
      </c>
      <c r="C824" s="3"/>
      <c r="D824" s="3"/>
      <c r="E824" s="3"/>
      <c r="F824" s="3"/>
      <c r="G824" s="3"/>
      <c r="H824" s="3"/>
      <c r="I824" s="3"/>
      <c r="J824" s="3"/>
      <c r="K824" s="3"/>
      <c r="L824" s="3"/>
      <c r="M824" s="3"/>
      <c r="N824" s="3"/>
      <c r="O824" s="3"/>
      <c r="P824" s="3"/>
      <c r="Q824" s="3"/>
      <c r="R824" s="3"/>
      <c r="S824" s="3"/>
      <c r="T824" s="3"/>
      <c r="U824" s="3"/>
      <c r="V824" s="3"/>
      <c r="W824" s="3"/>
      <c r="X824" s="3"/>
      <c r="Y824" s="3"/>
      <c r="Z824" s="3"/>
    </row>
    <row r="825" hidden="1">
      <c r="A825" s="27" t="s">
        <v>3067</v>
      </c>
      <c r="B825" s="29" t="s">
        <v>1028</v>
      </c>
      <c r="C825" s="3"/>
      <c r="D825" s="3"/>
      <c r="E825" s="3"/>
      <c r="F825" s="3"/>
      <c r="G825" s="3"/>
      <c r="H825" s="3"/>
      <c r="I825" s="3"/>
      <c r="J825" s="3"/>
      <c r="K825" s="3"/>
      <c r="L825" s="3"/>
      <c r="M825" s="3"/>
      <c r="N825" s="3"/>
      <c r="O825" s="3"/>
      <c r="P825" s="3"/>
      <c r="Q825" s="3"/>
      <c r="R825" s="3"/>
      <c r="S825" s="3"/>
      <c r="T825" s="3"/>
      <c r="U825" s="3"/>
      <c r="V825" s="3"/>
      <c r="W825" s="3"/>
      <c r="X825" s="3"/>
      <c r="Y825" s="3"/>
      <c r="Z825" s="3"/>
    </row>
    <row r="826" hidden="1">
      <c r="A826" s="27" t="s">
        <v>3068</v>
      </c>
      <c r="B826" s="29" t="s">
        <v>1029</v>
      </c>
      <c r="C826" s="3"/>
      <c r="D826" s="3"/>
      <c r="E826" s="3"/>
      <c r="F826" s="3"/>
      <c r="G826" s="3"/>
      <c r="H826" s="3"/>
      <c r="I826" s="3"/>
      <c r="J826" s="3"/>
      <c r="K826" s="3"/>
      <c r="L826" s="3"/>
      <c r="M826" s="3"/>
      <c r="N826" s="3"/>
      <c r="O826" s="3"/>
      <c r="P826" s="3"/>
      <c r="Q826" s="3"/>
      <c r="R826" s="3"/>
      <c r="S826" s="3"/>
      <c r="T826" s="3"/>
      <c r="U826" s="3"/>
      <c r="V826" s="3"/>
      <c r="W826" s="3"/>
      <c r="X826" s="3"/>
      <c r="Y826" s="3"/>
      <c r="Z826" s="3"/>
    </row>
    <row r="827" hidden="1">
      <c r="A827" s="27" t="s">
        <v>3069</v>
      </c>
      <c r="B827" s="29" t="s">
        <v>1030</v>
      </c>
      <c r="C827" s="3"/>
      <c r="D827" s="3"/>
      <c r="E827" s="3"/>
      <c r="F827" s="3"/>
      <c r="G827" s="3"/>
      <c r="H827" s="3"/>
      <c r="I827" s="3"/>
      <c r="J827" s="3"/>
      <c r="K827" s="3"/>
      <c r="L827" s="3"/>
      <c r="M827" s="3"/>
      <c r="N827" s="3"/>
      <c r="O827" s="3"/>
      <c r="P827" s="3"/>
      <c r="Q827" s="3"/>
      <c r="R827" s="3"/>
      <c r="S827" s="3"/>
      <c r="T827" s="3"/>
      <c r="U827" s="3"/>
      <c r="V827" s="3"/>
      <c r="W827" s="3"/>
      <c r="X827" s="3"/>
      <c r="Y827" s="3"/>
      <c r="Z827" s="3"/>
    </row>
    <row r="828" hidden="1">
      <c r="A828" s="27" t="s">
        <v>3070</v>
      </c>
      <c r="B828" s="29" t="s">
        <v>1031</v>
      </c>
      <c r="C828" s="3"/>
      <c r="D828" s="3"/>
      <c r="E828" s="3"/>
      <c r="F828" s="3"/>
      <c r="G828" s="3"/>
      <c r="H828" s="3"/>
      <c r="I828" s="3"/>
      <c r="J828" s="3"/>
      <c r="K828" s="3"/>
      <c r="L828" s="3"/>
      <c r="M828" s="3"/>
      <c r="N828" s="3"/>
      <c r="O828" s="3"/>
      <c r="P828" s="3"/>
      <c r="Q828" s="3"/>
      <c r="R828" s="3"/>
      <c r="S828" s="3"/>
      <c r="T828" s="3"/>
      <c r="U828" s="3"/>
      <c r="V828" s="3"/>
      <c r="W828" s="3"/>
      <c r="X828" s="3"/>
      <c r="Y828" s="3"/>
      <c r="Z828" s="3"/>
    </row>
    <row r="829" hidden="1">
      <c r="A829" s="27" t="s">
        <v>3071</v>
      </c>
      <c r="B829" s="29" t="s">
        <v>1032</v>
      </c>
      <c r="C829" s="3"/>
      <c r="D829" s="3"/>
      <c r="E829" s="3"/>
      <c r="F829" s="3"/>
      <c r="G829" s="3"/>
      <c r="H829" s="3"/>
      <c r="I829" s="3"/>
      <c r="J829" s="3"/>
      <c r="K829" s="3"/>
      <c r="L829" s="3"/>
      <c r="M829" s="3"/>
      <c r="N829" s="3"/>
      <c r="O829" s="3"/>
      <c r="P829" s="3"/>
      <c r="Q829" s="3"/>
      <c r="R829" s="3"/>
      <c r="S829" s="3"/>
      <c r="T829" s="3"/>
      <c r="U829" s="3"/>
      <c r="V829" s="3"/>
      <c r="W829" s="3"/>
      <c r="X829" s="3"/>
      <c r="Y829" s="3"/>
      <c r="Z829" s="3"/>
    </row>
    <row r="830" hidden="1">
      <c r="A830" s="27" t="s">
        <v>3072</v>
      </c>
      <c r="B830" s="29" t="s">
        <v>1033</v>
      </c>
      <c r="C830" s="3"/>
      <c r="D830" s="3"/>
      <c r="E830" s="3"/>
      <c r="F830" s="3"/>
      <c r="G830" s="3"/>
      <c r="H830" s="3"/>
      <c r="I830" s="3"/>
      <c r="J830" s="3"/>
      <c r="K830" s="3"/>
      <c r="L830" s="3"/>
      <c r="M830" s="3"/>
      <c r="N830" s="3"/>
      <c r="O830" s="3"/>
      <c r="P830" s="3"/>
      <c r="Q830" s="3"/>
      <c r="R830" s="3"/>
      <c r="S830" s="3"/>
      <c r="T830" s="3"/>
      <c r="U830" s="3"/>
      <c r="V830" s="3"/>
      <c r="W830" s="3"/>
      <c r="X830" s="3"/>
      <c r="Y830" s="3"/>
      <c r="Z830" s="3"/>
    </row>
    <row r="831" hidden="1">
      <c r="A831" s="27" t="s">
        <v>3073</v>
      </c>
      <c r="B831" s="29" t="s">
        <v>1034</v>
      </c>
      <c r="C831" s="3"/>
      <c r="D831" s="3"/>
      <c r="E831" s="3"/>
      <c r="F831" s="3"/>
      <c r="G831" s="3"/>
      <c r="H831" s="3"/>
      <c r="I831" s="3"/>
      <c r="J831" s="3"/>
      <c r="K831" s="3"/>
      <c r="L831" s="3"/>
      <c r="M831" s="3"/>
      <c r="N831" s="3"/>
      <c r="O831" s="3"/>
      <c r="P831" s="3"/>
      <c r="Q831" s="3"/>
      <c r="R831" s="3"/>
      <c r="S831" s="3"/>
      <c r="T831" s="3"/>
      <c r="U831" s="3"/>
      <c r="V831" s="3"/>
      <c r="W831" s="3"/>
      <c r="X831" s="3"/>
      <c r="Y831" s="3"/>
      <c r="Z831" s="3"/>
    </row>
    <row r="832" hidden="1">
      <c r="A832" s="27" t="s">
        <v>3074</v>
      </c>
      <c r="B832" s="29" t="s">
        <v>1035</v>
      </c>
      <c r="C832" s="3"/>
      <c r="D832" s="3"/>
      <c r="E832" s="3"/>
      <c r="F832" s="3"/>
      <c r="G832" s="3"/>
      <c r="H832" s="3"/>
      <c r="I832" s="3"/>
      <c r="J832" s="3"/>
      <c r="K832" s="3"/>
      <c r="L832" s="3"/>
      <c r="M832" s="3"/>
      <c r="N832" s="3"/>
      <c r="O832" s="3"/>
      <c r="P832" s="3"/>
      <c r="Q832" s="3"/>
      <c r="R832" s="3"/>
      <c r="S832" s="3"/>
      <c r="T832" s="3"/>
      <c r="U832" s="3"/>
      <c r="V832" s="3"/>
      <c r="W832" s="3"/>
      <c r="X832" s="3"/>
      <c r="Y832" s="3"/>
      <c r="Z832" s="3"/>
    </row>
    <row r="833" hidden="1">
      <c r="A833" s="27" t="s">
        <v>3075</v>
      </c>
      <c r="B833" s="29" t="s">
        <v>1037</v>
      </c>
      <c r="C833" s="3"/>
      <c r="D833" s="3"/>
      <c r="E833" s="3"/>
      <c r="F833" s="3"/>
      <c r="G833" s="3"/>
      <c r="H833" s="3"/>
      <c r="I833" s="3"/>
      <c r="J833" s="3"/>
      <c r="K833" s="3"/>
      <c r="L833" s="3"/>
      <c r="M833" s="3"/>
      <c r="N833" s="3"/>
      <c r="O833" s="3"/>
      <c r="P833" s="3"/>
      <c r="Q833" s="3"/>
      <c r="R833" s="3"/>
      <c r="S833" s="3"/>
      <c r="T833" s="3"/>
      <c r="U833" s="3"/>
      <c r="V833" s="3"/>
      <c r="W833" s="3"/>
      <c r="X833" s="3"/>
      <c r="Y833" s="3"/>
      <c r="Z833" s="3"/>
    </row>
    <row r="834" hidden="1">
      <c r="A834" s="27" t="s">
        <v>3076</v>
      </c>
      <c r="B834" s="29" t="s">
        <v>1038</v>
      </c>
      <c r="C834" s="3"/>
      <c r="D834" s="3"/>
      <c r="E834" s="3"/>
      <c r="F834" s="3"/>
      <c r="G834" s="3"/>
      <c r="H834" s="3"/>
      <c r="I834" s="3"/>
      <c r="J834" s="3"/>
      <c r="K834" s="3"/>
      <c r="L834" s="3"/>
      <c r="M834" s="3"/>
      <c r="N834" s="3"/>
      <c r="O834" s="3"/>
      <c r="P834" s="3"/>
      <c r="Q834" s="3"/>
      <c r="R834" s="3"/>
      <c r="S834" s="3"/>
      <c r="T834" s="3"/>
      <c r="U834" s="3"/>
      <c r="V834" s="3"/>
      <c r="W834" s="3"/>
      <c r="X834" s="3"/>
      <c r="Y834" s="3"/>
      <c r="Z834" s="3"/>
    </row>
    <row r="835" hidden="1">
      <c r="A835" s="27" t="s">
        <v>3077</v>
      </c>
      <c r="B835" s="29" t="s">
        <v>1039</v>
      </c>
      <c r="C835" s="3"/>
      <c r="D835" s="3"/>
      <c r="E835" s="3"/>
      <c r="F835" s="3"/>
      <c r="G835" s="3"/>
      <c r="H835" s="3"/>
      <c r="I835" s="3"/>
      <c r="J835" s="3"/>
      <c r="K835" s="3"/>
      <c r="L835" s="3"/>
      <c r="M835" s="3"/>
      <c r="N835" s="3"/>
      <c r="O835" s="3"/>
      <c r="P835" s="3"/>
      <c r="Q835" s="3"/>
      <c r="R835" s="3"/>
      <c r="S835" s="3"/>
      <c r="T835" s="3"/>
      <c r="U835" s="3"/>
      <c r="V835" s="3"/>
      <c r="W835" s="3"/>
      <c r="X835" s="3"/>
      <c r="Y835" s="3"/>
      <c r="Z835" s="3"/>
    </row>
    <row r="836" hidden="1">
      <c r="A836" s="27" t="s">
        <v>3078</v>
      </c>
      <c r="B836" s="29" t="s">
        <v>1040</v>
      </c>
      <c r="C836" s="3"/>
      <c r="D836" s="3"/>
      <c r="E836" s="3"/>
      <c r="F836" s="3"/>
      <c r="G836" s="3"/>
      <c r="H836" s="3"/>
      <c r="I836" s="3"/>
      <c r="J836" s="3"/>
      <c r="K836" s="3"/>
      <c r="L836" s="3"/>
      <c r="M836" s="3"/>
      <c r="N836" s="3"/>
      <c r="O836" s="3"/>
      <c r="P836" s="3"/>
      <c r="Q836" s="3"/>
      <c r="R836" s="3"/>
      <c r="S836" s="3"/>
      <c r="T836" s="3"/>
      <c r="U836" s="3"/>
      <c r="V836" s="3"/>
      <c r="W836" s="3"/>
      <c r="X836" s="3"/>
      <c r="Y836" s="3"/>
      <c r="Z836" s="3"/>
    </row>
    <row r="837" hidden="1">
      <c r="A837" s="27" t="s">
        <v>3079</v>
      </c>
      <c r="B837" s="29" t="s">
        <v>1041</v>
      </c>
      <c r="C837" s="3"/>
      <c r="D837" s="3"/>
      <c r="E837" s="3"/>
      <c r="F837" s="3"/>
      <c r="G837" s="3"/>
      <c r="H837" s="3"/>
      <c r="I837" s="3"/>
      <c r="J837" s="3"/>
      <c r="K837" s="3"/>
      <c r="L837" s="3"/>
      <c r="M837" s="3"/>
      <c r="N837" s="3"/>
      <c r="O837" s="3"/>
      <c r="P837" s="3"/>
      <c r="Q837" s="3"/>
      <c r="R837" s="3"/>
      <c r="S837" s="3"/>
      <c r="T837" s="3"/>
      <c r="U837" s="3"/>
      <c r="V837" s="3"/>
      <c r="W837" s="3"/>
      <c r="X837" s="3"/>
      <c r="Y837" s="3"/>
      <c r="Z837" s="3"/>
    </row>
    <row r="838" hidden="1">
      <c r="A838" s="27" t="s">
        <v>3080</v>
      </c>
      <c r="B838" s="29" t="s">
        <v>1042</v>
      </c>
      <c r="C838" s="3"/>
      <c r="D838" s="3"/>
      <c r="E838" s="3"/>
      <c r="F838" s="3"/>
      <c r="G838" s="3"/>
      <c r="H838" s="3"/>
      <c r="I838" s="3"/>
      <c r="J838" s="3"/>
      <c r="K838" s="3"/>
      <c r="L838" s="3"/>
      <c r="M838" s="3"/>
      <c r="N838" s="3"/>
      <c r="O838" s="3"/>
      <c r="P838" s="3"/>
      <c r="Q838" s="3"/>
      <c r="R838" s="3"/>
      <c r="S838" s="3"/>
      <c r="T838" s="3"/>
      <c r="U838" s="3"/>
      <c r="V838" s="3"/>
      <c r="W838" s="3"/>
      <c r="X838" s="3"/>
      <c r="Y838" s="3"/>
      <c r="Z838" s="3"/>
    </row>
    <row r="839" hidden="1">
      <c r="A839" s="27" t="s">
        <v>3081</v>
      </c>
      <c r="B839" s="29" t="s">
        <v>1043</v>
      </c>
      <c r="C839" s="3"/>
      <c r="D839" s="3"/>
      <c r="E839" s="3"/>
      <c r="F839" s="3"/>
      <c r="G839" s="3"/>
      <c r="H839" s="3"/>
      <c r="I839" s="3"/>
      <c r="J839" s="3"/>
      <c r="K839" s="3"/>
      <c r="L839" s="3"/>
      <c r="M839" s="3"/>
      <c r="N839" s="3"/>
      <c r="O839" s="3"/>
      <c r="P839" s="3"/>
      <c r="Q839" s="3"/>
      <c r="R839" s="3"/>
      <c r="S839" s="3"/>
      <c r="T839" s="3"/>
      <c r="U839" s="3"/>
      <c r="V839" s="3"/>
      <c r="W839" s="3"/>
      <c r="X839" s="3"/>
      <c r="Y839" s="3"/>
      <c r="Z839" s="3"/>
    </row>
    <row r="840" hidden="1">
      <c r="A840" s="27" t="s">
        <v>3082</v>
      </c>
      <c r="B840" s="29" t="s">
        <v>1045</v>
      </c>
      <c r="C840" s="3"/>
      <c r="D840" s="3"/>
      <c r="E840" s="3"/>
      <c r="F840" s="3"/>
      <c r="G840" s="3"/>
      <c r="H840" s="3"/>
      <c r="I840" s="3"/>
      <c r="J840" s="3"/>
      <c r="K840" s="3"/>
      <c r="L840" s="3"/>
      <c r="M840" s="3"/>
      <c r="N840" s="3"/>
      <c r="O840" s="3"/>
      <c r="P840" s="3"/>
      <c r="Q840" s="3"/>
      <c r="R840" s="3"/>
      <c r="S840" s="3"/>
      <c r="T840" s="3"/>
      <c r="U840" s="3"/>
      <c r="V840" s="3"/>
      <c r="W840" s="3"/>
      <c r="X840" s="3"/>
      <c r="Y840" s="3"/>
      <c r="Z840" s="3"/>
    </row>
    <row r="841" hidden="1">
      <c r="A841" s="27" t="s">
        <v>3083</v>
      </c>
      <c r="B841" s="29" t="s">
        <v>1046</v>
      </c>
      <c r="C841" s="3"/>
      <c r="D841" s="3"/>
      <c r="E841" s="3"/>
      <c r="F841" s="3"/>
      <c r="G841" s="3"/>
      <c r="H841" s="3"/>
      <c r="I841" s="3"/>
      <c r="J841" s="3"/>
      <c r="K841" s="3"/>
      <c r="L841" s="3"/>
      <c r="M841" s="3"/>
      <c r="N841" s="3"/>
      <c r="O841" s="3"/>
      <c r="P841" s="3"/>
      <c r="Q841" s="3"/>
      <c r="R841" s="3"/>
      <c r="S841" s="3"/>
      <c r="T841" s="3"/>
      <c r="U841" s="3"/>
      <c r="V841" s="3"/>
      <c r="W841" s="3"/>
      <c r="X841" s="3"/>
      <c r="Y841" s="3"/>
      <c r="Z841" s="3"/>
    </row>
    <row r="842" hidden="1">
      <c r="A842" s="27" t="s">
        <v>3084</v>
      </c>
      <c r="B842" s="29" t="s">
        <v>1047</v>
      </c>
      <c r="C842" s="3"/>
      <c r="D842" s="3"/>
      <c r="E842" s="3"/>
      <c r="F842" s="3"/>
      <c r="G842" s="3"/>
      <c r="H842" s="3"/>
      <c r="I842" s="3"/>
      <c r="J842" s="3"/>
      <c r="K842" s="3"/>
      <c r="L842" s="3"/>
      <c r="M842" s="3"/>
      <c r="N842" s="3"/>
      <c r="O842" s="3"/>
      <c r="P842" s="3"/>
      <c r="Q842" s="3"/>
      <c r="R842" s="3"/>
      <c r="S842" s="3"/>
      <c r="T842" s="3"/>
      <c r="U842" s="3"/>
      <c r="V842" s="3"/>
      <c r="W842" s="3"/>
      <c r="X842" s="3"/>
      <c r="Y842" s="3"/>
      <c r="Z842" s="3"/>
    </row>
    <row r="843" hidden="1">
      <c r="A843" s="27" t="s">
        <v>3085</v>
      </c>
      <c r="B843" s="29" t="s">
        <v>1048</v>
      </c>
      <c r="C843" s="3"/>
      <c r="D843" s="3"/>
      <c r="E843" s="3"/>
      <c r="F843" s="3"/>
      <c r="G843" s="3"/>
      <c r="H843" s="3"/>
      <c r="I843" s="3"/>
      <c r="J843" s="3"/>
      <c r="K843" s="3"/>
      <c r="L843" s="3"/>
      <c r="M843" s="3"/>
      <c r="N843" s="3"/>
      <c r="O843" s="3"/>
      <c r="P843" s="3"/>
      <c r="Q843" s="3"/>
      <c r="R843" s="3"/>
      <c r="S843" s="3"/>
      <c r="T843" s="3"/>
      <c r="U843" s="3"/>
      <c r="V843" s="3"/>
      <c r="W843" s="3"/>
      <c r="X843" s="3"/>
      <c r="Y843" s="3"/>
      <c r="Z843" s="3"/>
    </row>
    <row r="844" hidden="1">
      <c r="A844" s="27" t="s">
        <v>3086</v>
      </c>
      <c r="B844" s="29" t="s">
        <v>1049</v>
      </c>
      <c r="C844" s="3"/>
      <c r="D844" s="3"/>
      <c r="E844" s="3"/>
      <c r="F844" s="3"/>
      <c r="G844" s="3"/>
      <c r="H844" s="3"/>
      <c r="I844" s="3"/>
      <c r="J844" s="3"/>
      <c r="K844" s="3"/>
      <c r="L844" s="3"/>
      <c r="M844" s="3"/>
      <c r="N844" s="3"/>
      <c r="O844" s="3"/>
      <c r="P844" s="3"/>
      <c r="Q844" s="3"/>
      <c r="R844" s="3"/>
      <c r="S844" s="3"/>
      <c r="T844" s="3"/>
      <c r="U844" s="3"/>
      <c r="V844" s="3"/>
      <c r="W844" s="3"/>
      <c r="X844" s="3"/>
      <c r="Y844" s="3"/>
      <c r="Z844" s="3"/>
    </row>
    <row r="845" hidden="1">
      <c r="A845" s="27" t="s">
        <v>3087</v>
      </c>
      <c r="B845" s="29" t="s">
        <v>1050</v>
      </c>
      <c r="C845" s="3"/>
      <c r="D845" s="3"/>
      <c r="E845" s="3"/>
      <c r="F845" s="3"/>
      <c r="G845" s="3"/>
      <c r="H845" s="3"/>
      <c r="I845" s="3"/>
      <c r="J845" s="3"/>
      <c r="K845" s="3"/>
      <c r="L845" s="3"/>
      <c r="M845" s="3"/>
      <c r="N845" s="3"/>
      <c r="O845" s="3"/>
      <c r="P845" s="3"/>
      <c r="Q845" s="3"/>
      <c r="R845" s="3"/>
      <c r="S845" s="3"/>
      <c r="T845" s="3"/>
      <c r="U845" s="3"/>
      <c r="V845" s="3"/>
      <c r="W845" s="3"/>
      <c r="X845" s="3"/>
      <c r="Y845" s="3"/>
      <c r="Z845" s="3"/>
    </row>
    <row r="846" hidden="1">
      <c r="A846" s="27" t="s">
        <v>3088</v>
      </c>
      <c r="B846" s="29" t="s">
        <v>1052</v>
      </c>
      <c r="C846" s="3"/>
      <c r="D846" s="3"/>
      <c r="E846" s="3"/>
      <c r="F846" s="3"/>
      <c r="G846" s="3"/>
      <c r="H846" s="3"/>
      <c r="I846" s="3"/>
      <c r="J846" s="3"/>
      <c r="K846" s="3"/>
      <c r="L846" s="3"/>
      <c r="M846" s="3"/>
      <c r="N846" s="3"/>
      <c r="O846" s="3"/>
      <c r="P846" s="3"/>
      <c r="Q846" s="3"/>
      <c r="R846" s="3"/>
      <c r="S846" s="3"/>
      <c r="T846" s="3"/>
      <c r="U846" s="3"/>
      <c r="V846" s="3"/>
      <c r="W846" s="3"/>
      <c r="X846" s="3"/>
      <c r="Y846" s="3"/>
      <c r="Z846" s="3"/>
    </row>
    <row r="847" hidden="1">
      <c r="A847" s="27" t="s">
        <v>3089</v>
      </c>
      <c r="B847" s="29" t="s">
        <v>1053</v>
      </c>
      <c r="C847" s="3"/>
      <c r="D847" s="3"/>
      <c r="E847" s="3"/>
      <c r="F847" s="3"/>
      <c r="G847" s="3"/>
      <c r="H847" s="3"/>
      <c r="I847" s="3"/>
      <c r="J847" s="3"/>
      <c r="K847" s="3"/>
      <c r="L847" s="3"/>
      <c r="M847" s="3"/>
      <c r="N847" s="3"/>
      <c r="O847" s="3"/>
      <c r="P847" s="3"/>
      <c r="Q847" s="3"/>
      <c r="R847" s="3"/>
      <c r="S847" s="3"/>
      <c r="T847" s="3"/>
      <c r="U847" s="3"/>
      <c r="V847" s="3"/>
      <c r="W847" s="3"/>
      <c r="X847" s="3"/>
      <c r="Y847" s="3"/>
      <c r="Z847" s="3"/>
    </row>
    <row r="848" hidden="1">
      <c r="A848" s="27" t="s">
        <v>3090</v>
      </c>
      <c r="B848" s="29" t="s">
        <v>1054</v>
      </c>
      <c r="C848" s="3"/>
      <c r="D848" s="3"/>
      <c r="E848" s="3"/>
      <c r="F848" s="3"/>
      <c r="G848" s="3"/>
      <c r="H848" s="3"/>
      <c r="I848" s="3"/>
      <c r="J848" s="3"/>
      <c r="K848" s="3"/>
      <c r="L848" s="3"/>
      <c r="M848" s="3"/>
      <c r="N848" s="3"/>
      <c r="O848" s="3"/>
      <c r="P848" s="3"/>
      <c r="Q848" s="3"/>
      <c r="R848" s="3"/>
      <c r="S848" s="3"/>
      <c r="T848" s="3"/>
      <c r="U848" s="3"/>
      <c r="V848" s="3"/>
      <c r="W848" s="3"/>
      <c r="X848" s="3"/>
      <c r="Y848" s="3"/>
      <c r="Z848" s="3"/>
    </row>
    <row r="849" hidden="1">
      <c r="A849" s="27" t="s">
        <v>3091</v>
      </c>
      <c r="B849" s="29" t="s">
        <v>1055</v>
      </c>
      <c r="C849" s="3"/>
      <c r="D849" s="3"/>
      <c r="E849" s="3"/>
      <c r="F849" s="3"/>
      <c r="G849" s="3"/>
      <c r="H849" s="3"/>
      <c r="I849" s="3"/>
      <c r="J849" s="3"/>
      <c r="K849" s="3"/>
      <c r="L849" s="3"/>
      <c r="M849" s="3"/>
      <c r="N849" s="3"/>
      <c r="O849" s="3"/>
      <c r="P849" s="3"/>
      <c r="Q849" s="3"/>
      <c r="R849" s="3"/>
      <c r="S849" s="3"/>
      <c r="T849" s="3"/>
      <c r="U849" s="3"/>
      <c r="V849" s="3"/>
      <c r="W849" s="3"/>
      <c r="X849" s="3"/>
      <c r="Y849" s="3"/>
      <c r="Z849" s="3"/>
    </row>
    <row r="850" hidden="1">
      <c r="A850" s="27" t="s">
        <v>3092</v>
      </c>
      <c r="B850" s="29" t="s">
        <v>1056</v>
      </c>
      <c r="C850" s="3"/>
      <c r="D850" s="3"/>
      <c r="E850" s="3"/>
      <c r="F850" s="3"/>
      <c r="G850" s="3"/>
      <c r="H850" s="3"/>
      <c r="I850" s="3"/>
      <c r="J850" s="3"/>
      <c r="K850" s="3"/>
      <c r="L850" s="3"/>
      <c r="M850" s="3"/>
      <c r="N850" s="3"/>
      <c r="O850" s="3"/>
      <c r="P850" s="3"/>
      <c r="Q850" s="3"/>
      <c r="R850" s="3"/>
      <c r="S850" s="3"/>
      <c r="T850" s="3"/>
      <c r="U850" s="3"/>
      <c r="V850" s="3"/>
      <c r="W850" s="3"/>
      <c r="X850" s="3"/>
      <c r="Y850" s="3"/>
      <c r="Z850" s="3"/>
    </row>
    <row r="851" hidden="1">
      <c r="A851" s="27" t="s">
        <v>3093</v>
      </c>
      <c r="B851" s="29" t="s">
        <v>1057</v>
      </c>
      <c r="C851" s="3"/>
      <c r="D851" s="3"/>
      <c r="E851" s="3"/>
      <c r="F851" s="3"/>
      <c r="G851" s="3"/>
      <c r="H851" s="3"/>
      <c r="I851" s="3"/>
      <c r="J851" s="3"/>
      <c r="K851" s="3"/>
      <c r="L851" s="3"/>
      <c r="M851" s="3"/>
      <c r="N851" s="3"/>
      <c r="O851" s="3"/>
      <c r="P851" s="3"/>
      <c r="Q851" s="3"/>
      <c r="R851" s="3"/>
      <c r="S851" s="3"/>
      <c r="T851" s="3"/>
      <c r="U851" s="3"/>
      <c r="V851" s="3"/>
      <c r="W851" s="3"/>
      <c r="X851" s="3"/>
      <c r="Y851" s="3"/>
      <c r="Z851" s="3"/>
    </row>
    <row r="852" hidden="1">
      <c r="A852" s="27" t="s">
        <v>3094</v>
      </c>
      <c r="B852" s="29" t="s">
        <v>1058</v>
      </c>
      <c r="C852" s="3"/>
      <c r="D852" s="3"/>
      <c r="E852" s="3"/>
      <c r="F852" s="3"/>
      <c r="G852" s="3"/>
      <c r="H852" s="3"/>
      <c r="I852" s="3"/>
      <c r="J852" s="3"/>
      <c r="K852" s="3"/>
      <c r="L852" s="3"/>
      <c r="M852" s="3"/>
      <c r="N852" s="3"/>
      <c r="O852" s="3"/>
      <c r="P852" s="3"/>
      <c r="Q852" s="3"/>
      <c r="R852" s="3"/>
      <c r="S852" s="3"/>
      <c r="T852" s="3"/>
      <c r="U852" s="3"/>
      <c r="V852" s="3"/>
      <c r="W852" s="3"/>
      <c r="X852" s="3"/>
      <c r="Y852" s="3"/>
      <c r="Z852" s="3"/>
    </row>
    <row r="853" hidden="1">
      <c r="A853" s="27" t="s">
        <v>3095</v>
      </c>
      <c r="B853" s="29" t="s">
        <v>1060</v>
      </c>
      <c r="C853" s="3"/>
      <c r="D853" s="3"/>
      <c r="E853" s="3"/>
      <c r="F853" s="3"/>
      <c r="G853" s="3"/>
      <c r="H853" s="3"/>
      <c r="I853" s="3"/>
      <c r="J853" s="3"/>
      <c r="K853" s="3"/>
      <c r="L853" s="3"/>
      <c r="M853" s="3"/>
      <c r="N853" s="3"/>
      <c r="O853" s="3"/>
      <c r="P853" s="3"/>
      <c r="Q853" s="3"/>
      <c r="R853" s="3"/>
      <c r="S853" s="3"/>
      <c r="T853" s="3"/>
      <c r="U853" s="3"/>
      <c r="V853" s="3"/>
      <c r="W853" s="3"/>
      <c r="X853" s="3"/>
      <c r="Y853" s="3"/>
      <c r="Z853" s="3"/>
    </row>
    <row r="854" hidden="1">
      <c r="A854" s="27" t="s">
        <v>3096</v>
      </c>
      <c r="B854" s="29" t="s">
        <v>1061</v>
      </c>
      <c r="C854" s="3"/>
      <c r="D854" s="3"/>
      <c r="E854" s="3"/>
      <c r="F854" s="3"/>
      <c r="G854" s="3"/>
      <c r="H854" s="3"/>
      <c r="I854" s="3"/>
      <c r="J854" s="3"/>
      <c r="K854" s="3"/>
      <c r="L854" s="3"/>
      <c r="M854" s="3"/>
      <c r="N854" s="3"/>
      <c r="O854" s="3"/>
      <c r="P854" s="3"/>
      <c r="Q854" s="3"/>
      <c r="R854" s="3"/>
      <c r="S854" s="3"/>
      <c r="T854" s="3"/>
      <c r="U854" s="3"/>
      <c r="V854" s="3"/>
      <c r="W854" s="3"/>
      <c r="X854" s="3"/>
      <c r="Y854" s="3"/>
      <c r="Z854" s="3"/>
    </row>
    <row r="855" hidden="1">
      <c r="A855" s="27" t="s">
        <v>3097</v>
      </c>
      <c r="B855" s="29" t="s">
        <v>1062</v>
      </c>
      <c r="C855" s="3"/>
      <c r="D855" s="3"/>
      <c r="E855" s="3"/>
      <c r="F855" s="3"/>
      <c r="G855" s="3"/>
      <c r="H855" s="3"/>
      <c r="I855" s="3"/>
      <c r="J855" s="3"/>
      <c r="K855" s="3"/>
      <c r="L855" s="3"/>
      <c r="M855" s="3"/>
      <c r="N855" s="3"/>
      <c r="O855" s="3"/>
      <c r="P855" s="3"/>
      <c r="Q855" s="3"/>
      <c r="R855" s="3"/>
      <c r="S855" s="3"/>
      <c r="T855" s="3"/>
      <c r="U855" s="3"/>
      <c r="V855" s="3"/>
      <c r="W855" s="3"/>
      <c r="X855" s="3"/>
      <c r="Y855" s="3"/>
      <c r="Z855" s="3"/>
    </row>
    <row r="856" hidden="1">
      <c r="A856" s="27" t="s">
        <v>3098</v>
      </c>
      <c r="B856" s="29" t="s">
        <v>1063</v>
      </c>
      <c r="C856" s="3"/>
      <c r="D856" s="3"/>
      <c r="E856" s="3"/>
      <c r="F856" s="3"/>
      <c r="G856" s="3"/>
      <c r="H856" s="3"/>
      <c r="I856" s="3"/>
      <c r="J856" s="3"/>
      <c r="K856" s="3"/>
      <c r="L856" s="3"/>
      <c r="M856" s="3"/>
      <c r="N856" s="3"/>
      <c r="O856" s="3"/>
      <c r="P856" s="3"/>
      <c r="Q856" s="3"/>
      <c r="R856" s="3"/>
      <c r="S856" s="3"/>
      <c r="T856" s="3"/>
      <c r="U856" s="3"/>
      <c r="V856" s="3"/>
      <c r="W856" s="3"/>
      <c r="X856" s="3"/>
      <c r="Y856" s="3"/>
      <c r="Z856" s="3"/>
    </row>
    <row r="857" hidden="1">
      <c r="A857" s="27" t="s">
        <v>3099</v>
      </c>
      <c r="B857" s="29" t="s">
        <v>1064</v>
      </c>
      <c r="C857" s="3"/>
      <c r="D857" s="3"/>
      <c r="E857" s="3"/>
      <c r="F857" s="3"/>
      <c r="G857" s="3"/>
      <c r="H857" s="3"/>
      <c r="I857" s="3"/>
      <c r="J857" s="3"/>
      <c r="K857" s="3"/>
      <c r="L857" s="3"/>
      <c r="M857" s="3"/>
      <c r="N857" s="3"/>
      <c r="O857" s="3"/>
      <c r="P857" s="3"/>
      <c r="Q857" s="3"/>
      <c r="R857" s="3"/>
      <c r="S857" s="3"/>
      <c r="T857" s="3"/>
      <c r="U857" s="3"/>
      <c r="V857" s="3"/>
      <c r="W857" s="3"/>
      <c r="X857" s="3"/>
      <c r="Y857" s="3"/>
      <c r="Z857" s="3"/>
    </row>
    <row r="858" hidden="1">
      <c r="A858" s="27" t="s">
        <v>3100</v>
      </c>
      <c r="B858" s="29" t="s">
        <v>1065</v>
      </c>
      <c r="C858" s="3"/>
      <c r="D858" s="3"/>
      <c r="E858" s="3"/>
      <c r="F858" s="3"/>
      <c r="G858" s="3"/>
      <c r="H858" s="3"/>
      <c r="I858" s="3"/>
      <c r="J858" s="3"/>
      <c r="K858" s="3"/>
      <c r="L858" s="3"/>
      <c r="M858" s="3"/>
      <c r="N858" s="3"/>
      <c r="O858" s="3"/>
      <c r="P858" s="3"/>
      <c r="Q858" s="3"/>
      <c r="R858" s="3"/>
      <c r="S858" s="3"/>
      <c r="T858" s="3"/>
      <c r="U858" s="3"/>
      <c r="V858" s="3"/>
      <c r="W858" s="3"/>
      <c r="X858" s="3"/>
      <c r="Y858" s="3"/>
      <c r="Z858" s="3"/>
    </row>
    <row r="859" hidden="1">
      <c r="A859" s="27" t="s">
        <v>3101</v>
      </c>
      <c r="B859" s="29" t="s">
        <v>1066</v>
      </c>
      <c r="C859" s="3"/>
      <c r="D859" s="3"/>
      <c r="E859" s="3"/>
      <c r="F859" s="3"/>
      <c r="G859" s="3"/>
      <c r="H859" s="3"/>
      <c r="I859" s="3"/>
      <c r="J859" s="3"/>
      <c r="K859" s="3"/>
      <c r="L859" s="3"/>
      <c r="M859" s="3"/>
      <c r="N859" s="3"/>
      <c r="O859" s="3"/>
      <c r="P859" s="3"/>
      <c r="Q859" s="3"/>
      <c r="R859" s="3"/>
      <c r="S859" s="3"/>
      <c r="T859" s="3"/>
      <c r="U859" s="3"/>
      <c r="V859" s="3"/>
      <c r="W859" s="3"/>
      <c r="X859" s="3"/>
      <c r="Y859" s="3"/>
      <c r="Z859" s="3"/>
    </row>
    <row r="860" hidden="1">
      <c r="A860" s="27" t="s">
        <v>3102</v>
      </c>
      <c r="B860" s="29" t="s">
        <v>1067</v>
      </c>
      <c r="C860" s="3"/>
      <c r="D860" s="3"/>
      <c r="E860" s="3"/>
      <c r="F860" s="3"/>
      <c r="G860" s="3"/>
      <c r="H860" s="3"/>
      <c r="I860" s="3"/>
      <c r="J860" s="3"/>
      <c r="K860" s="3"/>
      <c r="L860" s="3"/>
      <c r="M860" s="3"/>
      <c r="N860" s="3"/>
      <c r="O860" s="3"/>
      <c r="P860" s="3"/>
      <c r="Q860" s="3"/>
      <c r="R860" s="3"/>
      <c r="S860" s="3"/>
      <c r="T860" s="3"/>
      <c r="U860" s="3"/>
      <c r="V860" s="3"/>
      <c r="W860" s="3"/>
      <c r="X860" s="3"/>
      <c r="Y860" s="3"/>
      <c r="Z860" s="3"/>
    </row>
    <row r="861" hidden="1">
      <c r="A861" s="27" t="s">
        <v>3103</v>
      </c>
      <c r="B861" s="29" t="s">
        <v>1069</v>
      </c>
      <c r="C861" s="3"/>
      <c r="D861" s="3"/>
      <c r="E861" s="3"/>
      <c r="F861" s="3"/>
      <c r="G861" s="3"/>
      <c r="H861" s="3"/>
      <c r="I861" s="3"/>
      <c r="J861" s="3"/>
      <c r="K861" s="3"/>
      <c r="L861" s="3"/>
      <c r="M861" s="3"/>
      <c r="N861" s="3"/>
      <c r="O861" s="3"/>
      <c r="P861" s="3"/>
      <c r="Q861" s="3"/>
      <c r="R861" s="3"/>
      <c r="S861" s="3"/>
      <c r="T861" s="3"/>
      <c r="U861" s="3"/>
      <c r="V861" s="3"/>
      <c r="W861" s="3"/>
      <c r="X861" s="3"/>
      <c r="Y861" s="3"/>
      <c r="Z861" s="3"/>
    </row>
    <row r="862" hidden="1">
      <c r="A862" s="27" t="s">
        <v>3104</v>
      </c>
      <c r="B862" s="29" t="s">
        <v>1070</v>
      </c>
      <c r="C862" s="3"/>
      <c r="D862" s="3"/>
      <c r="E862" s="3"/>
      <c r="F862" s="3"/>
      <c r="G862" s="3"/>
      <c r="H862" s="3"/>
      <c r="I862" s="3"/>
      <c r="J862" s="3"/>
      <c r="K862" s="3"/>
      <c r="L862" s="3"/>
      <c r="M862" s="3"/>
      <c r="N862" s="3"/>
      <c r="O862" s="3"/>
      <c r="P862" s="3"/>
      <c r="Q862" s="3"/>
      <c r="R862" s="3"/>
      <c r="S862" s="3"/>
      <c r="T862" s="3"/>
      <c r="U862" s="3"/>
      <c r="V862" s="3"/>
      <c r="W862" s="3"/>
      <c r="X862" s="3"/>
      <c r="Y862" s="3"/>
      <c r="Z862" s="3"/>
    </row>
    <row r="863" hidden="1">
      <c r="A863" s="27" t="s">
        <v>3105</v>
      </c>
      <c r="B863" s="29" t="s">
        <v>1071</v>
      </c>
      <c r="C863" s="3"/>
      <c r="D863" s="3"/>
      <c r="E863" s="3"/>
      <c r="F863" s="3"/>
      <c r="G863" s="3"/>
      <c r="H863" s="3"/>
      <c r="I863" s="3"/>
      <c r="J863" s="3"/>
      <c r="K863" s="3"/>
      <c r="L863" s="3"/>
      <c r="M863" s="3"/>
      <c r="N863" s="3"/>
      <c r="O863" s="3"/>
      <c r="P863" s="3"/>
      <c r="Q863" s="3"/>
      <c r="R863" s="3"/>
      <c r="S863" s="3"/>
      <c r="T863" s="3"/>
      <c r="U863" s="3"/>
      <c r="V863" s="3"/>
      <c r="W863" s="3"/>
      <c r="X863" s="3"/>
      <c r="Y863" s="3"/>
      <c r="Z863" s="3"/>
    </row>
    <row r="864" hidden="1">
      <c r="A864" s="27" t="s">
        <v>3106</v>
      </c>
      <c r="B864" s="29" t="s">
        <v>1072</v>
      </c>
      <c r="C864" s="3"/>
      <c r="D864" s="3"/>
      <c r="E864" s="3"/>
      <c r="F864" s="3"/>
      <c r="G864" s="3"/>
      <c r="H864" s="3"/>
      <c r="I864" s="3"/>
      <c r="J864" s="3"/>
      <c r="K864" s="3"/>
      <c r="L864" s="3"/>
      <c r="M864" s="3"/>
      <c r="N864" s="3"/>
      <c r="O864" s="3"/>
      <c r="P864" s="3"/>
      <c r="Q864" s="3"/>
      <c r="R864" s="3"/>
      <c r="S864" s="3"/>
      <c r="T864" s="3"/>
      <c r="U864" s="3"/>
      <c r="V864" s="3"/>
      <c r="W864" s="3"/>
      <c r="X864" s="3"/>
      <c r="Y864" s="3"/>
      <c r="Z864" s="3"/>
    </row>
    <row r="865" hidden="1">
      <c r="A865" s="27" t="s">
        <v>3107</v>
      </c>
      <c r="B865" s="29" t="s">
        <v>1073</v>
      </c>
      <c r="C865" s="3"/>
      <c r="D865" s="3"/>
      <c r="E865" s="3"/>
      <c r="F865" s="3"/>
      <c r="G865" s="3"/>
      <c r="H865" s="3"/>
      <c r="I865" s="3"/>
      <c r="J865" s="3"/>
      <c r="K865" s="3"/>
      <c r="L865" s="3"/>
      <c r="M865" s="3"/>
      <c r="N865" s="3"/>
      <c r="O865" s="3"/>
      <c r="P865" s="3"/>
      <c r="Q865" s="3"/>
      <c r="R865" s="3"/>
      <c r="S865" s="3"/>
      <c r="T865" s="3"/>
      <c r="U865" s="3"/>
      <c r="V865" s="3"/>
      <c r="W865" s="3"/>
      <c r="X865" s="3"/>
      <c r="Y865" s="3"/>
      <c r="Z865" s="3"/>
    </row>
    <row r="866" hidden="1">
      <c r="A866" s="27" t="s">
        <v>3108</v>
      </c>
      <c r="B866" s="29" t="s">
        <v>1074</v>
      </c>
      <c r="C866" s="3"/>
      <c r="D866" s="3"/>
      <c r="E866" s="3"/>
      <c r="F866" s="3"/>
      <c r="G866" s="3"/>
      <c r="H866" s="3"/>
      <c r="I866" s="3"/>
      <c r="J866" s="3"/>
      <c r="K866" s="3"/>
      <c r="L866" s="3"/>
      <c r="M866" s="3"/>
      <c r="N866" s="3"/>
      <c r="O866" s="3"/>
      <c r="P866" s="3"/>
      <c r="Q866" s="3"/>
      <c r="R866" s="3"/>
      <c r="S866" s="3"/>
      <c r="T866" s="3"/>
      <c r="U866" s="3"/>
      <c r="V866" s="3"/>
      <c r="W866" s="3"/>
      <c r="X866" s="3"/>
      <c r="Y866" s="3"/>
      <c r="Z866" s="3"/>
    </row>
    <row r="867" hidden="1">
      <c r="A867" s="27" t="s">
        <v>3109</v>
      </c>
      <c r="B867" s="29" t="s">
        <v>1075</v>
      </c>
      <c r="C867" s="3"/>
      <c r="D867" s="3"/>
      <c r="E867" s="3"/>
      <c r="F867" s="3"/>
      <c r="G867" s="3"/>
      <c r="H867" s="3"/>
      <c r="I867" s="3"/>
      <c r="J867" s="3"/>
      <c r="K867" s="3"/>
      <c r="L867" s="3"/>
      <c r="M867" s="3"/>
      <c r="N867" s="3"/>
      <c r="O867" s="3"/>
      <c r="P867" s="3"/>
      <c r="Q867" s="3"/>
      <c r="R867" s="3"/>
      <c r="S867" s="3"/>
      <c r="T867" s="3"/>
      <c r="U867" s="3"/>
      <c r="V867" s="3"/>
      <c r="W867" s="3"/>
      <c r="X867" s="3"/>
      <c r="Y867" s="3"/>
      <c r="Z867" s="3"/>
    </row>
    <row r="868" hidden="1">
      <c r="A868" s="27" t="s">
        <v>3110</v>
      </c>
      <c r="B868" s="29" t="s">
        <v>1076</v>
      </c>
      <c r="C868" s="3"/>
      <c r="D868" s="3"/>
      <c r="E868" s="3"/>
      <c r="F868" s="3"/>
      <c r="G868" s="3"/>
      <c r="H868" s="3"/>
      <c r="I868" s="3"/>
      <c r="J868" s="3"/>
      <c r="K868" s="3"/>
      <c r="L868" s="3"/>
      <c r="M868" s="3"/>
      <c r="N868" s="3"/>
      <c r="O868" s="3"/>
      <c r="P868" s="3"/>
      <c r="Q868" s="3"/>
      <c r="R868" s="3"/>
      <c r="S868" s="3"/>
      <c r="T868" s="3"/>
      <c r="U868" s="3"/>
      <c r="V868" s="3"/>
      <c r="W868" s="3"/>
      <c r="X868" s="3"/>
      <c r="Y868" s="3"/>
      <c r="Z868" s="3"/>
    </row>
    <row r="869" hidden="1">
      <c r="A869" s="27" t="s">
        <v>3111</v>
      </c>
      <c r="B869" s="29" t="s">
        <v>1078</v>
      </c>
      <c r="C869" s="3"/>
      <c r="D869" s="3"/>
      <c r="E869" s="3"/>
      <c r="F869" s="3"/>
      <c r="G869" s="3"/>
      <c r="H869" s="3"/>
      <c r="I869" s="3"/>
      <c r="J869" s="3"/>
      <c r="K869" s="3"/>
      <c r="L869" s="3"/>
      <c r="M869" s="3"/>
      <c r="N869" s="3"/>
      <c r="O869" s="3"/>
      <c r="P869" s="3"/>
      <c r="Q869" s="3"/>
      <c r="R869" s="3"/>
      <c r="S869" s="3"/>
      <c r="T869" s="3"/>
      <c r="U869" s="3"/>
      <c r="V869" s="3"/>
      <c r="W869" s="3"/>
      <c r="X869" s="3"/>
      <c r="Y869" s="3"/>
      <c r="Z869" s="3"/>
    </row>
    <row r="870" hidden="1">
      <c r="A870" s="27" t="s">
        <v>3112</v>
      </c>
      <c r="B870" s="29" t="s">
        <v>1079</v>
      </c>
      <c r="C870" s="3"/>
      <c r="D870" s="3"/>
      <c r="E870" s="3"/>
      <c r="F870" s="3"/>
      <c r="G870" s="3"/>
      <c r="H870" s="3"/>
      <c r="I870" s="3"/>
      <c r="J870" s="3"/>
      <c r="K870" s="3"/>
      <c r="L870" s="3"/>
      <c r="M870" s="3"/>
      <c r="N870" s="3"/>
      <c r="O870" s="3"/>
      <c r="P870" s="3"/>
      <c r="Q870" s="3"/>
      <c r="R870" s="3"/>
      <c r="S870" s="3"/>
      <c r="T870" s="3"/>
      <c r="U870" s="3"/>
      <c r="V870" s="3"/>
      <c r="W870" s="3"/>
      <c r="X870" s="3"/>
      <c r="Y870" s="3"/>
      <c r="Z870" s="3"/>
    </row>
    <row r="871" hidden="1">
      <c r="A871" s="27" t="s">
        <v>3113</v>
      </c>
      <c r="B871" s="29" t="s">
        <v>1080</v>
      </c>
      <c r="C871" s="3"/>
      <c r="D871" s="3"/>
      <c r="E871" s="3"/>
      <c r="F871" s="3"/>
      <c r="G871" s="3"/>
      <c r="H871" s="3"/>
      <c r="I871" s="3"/>
      <c r="J871" s="3"/>
      <c r="K871" s="3"/>
      <c r="L871" s="3"/>
      <c r="M871" s="3"/>
      <c r="N871" s="3"/>
      <c r="O871" s="3"/>
      <c r="P871" s="3"/>
      <c r="Q871" s="3"/>
      <c r="R871" s="3"/>
      <c r="S871" s="3"/>
      <c r="T871" s="3"/>
      <c r="U871" s="3"/>
      <c r="V871" s="3"/>
      <c r="W871" s="3"/>
      <c r="X871" s="3"/>
      <c r="Y871" s="3"/>
      <c r="Z871" s="3"/>
    </row>
    <row r="872" hidden="1">
      <c r="A872" s="27" t="s">
        <v>3114</v>
      </c>
      <c r="B872" s="29" t="s">
        <v>1081</v>
      </c>
      <c r="C872" s="3"/>
      <c r="D872" s="3"/>
      <c r="E872" s="3"/>
      <c r="F872" s="3"/>
      <c r="G872" s="3"/>
      <c r="H872" s="3"/>
      <c r="I872" s="3"/>
      <c r="J872" s="3"/>
      <c r="K872" s="3"/>
      <c r="L872" s="3"/>
      <c r="M872" s="3"/>
      <c r="N872" s="3"/>
      <c r="O872" s="3"/>
      <c r="P872" s="3"/>
      <c r="Q872" s="3"/>
      <c r="R872" s="3"/>
      <c r="S872" s="3"/>
      <c r="T872" s="3"/>
      <c r="U872" s="3"/>
      <c r="V872" s="3"/>
      <c r="W872" s="3"/>
      <c r="X872" s="3"/>
      <c r="Y872" s="3"/>
      <c r="Z872" s="3"/>
    </row>
    <row r="873" hidden="1">
      <c r="A873" s="27" t="s">
        <v>3115</v>
      </c>
      <c r="B873" s="29" t="s">
        <v>1082</v>
      </c>
      <c r="C873" s="3"/>
      <c r="D873" s="3"/>
      <c r="E873" s="3"/>
      <c r="F873" s="3"/>
      <c r="G873" s="3"/>
      <c r="H873" s="3"/>
      <c r="I873" s="3"/>
      <c r="J873" s="3"/>
      <c r="K873" s="3"/>
      <c r="L873" s="3"/>
      <c r="M873" s="3"/>
      <c r="N873" s="3"/>
      <c r="O873" s="3"/>
      <c r="P873" s="3"/>
      <c r="Q873" s="3"/>
      <c r="R873" s="3"/>
      <c r="S873" s="3"/>
      <c r="T873" s="3"/>
      <c r="U873" s="3"/>
      <c r="V873" s="3"/>
      <c r="W873" s="3"/>
      <c r="X873" s="3"/>
      <c r="Y873" s="3"/>
      <c r="Z873" s="3"/>
    </row>
    <row r="874" hidden="1">
      <c r="A874" s="27" t="s">
        <v>3116</v>
      </c>
      <c r="B874" s="29" t="s">
        <v>1083</v>
      </c>
      <c r="C874" s="3"/>
      <c r="D874" s="3"/>
      <c r="E874" s="3"/>
      <c r="F874" s="3"/>
      <c r="G874" s="3"/>
      <c r="H874" s="3"/>
      <c r="I874" s="3"/>
      <c r="J874" s="3"/>
      <c r="K874" s="3"/>
      <c r="L874" s="3"/>
      <c r="M874" s="3"/>
      <c r="N874" s="3"/>
      <c r="O874" s="3"/>
      <c r="P874" s="3"/>
      <c r="Q874" s="3"/>
      <c r="R874" s="3"/>
      <c r="S874" s="3"/>
      <c r="T874" s="3"/>
      <c r="U874" s="3"/>
      <c r="V874" s="3"/>
      <c r="W874" s="3"/>
      <c r="X874" s="3"/>
      <c r="Y874" s="3"/>
      <c r="Z874" s="3"/>
    </row>
    <row r="875" hidden="1">
      <c r="A875" s="27" t="s">
        <v>3117</v>
      </c>
      <c r="B875" s="29" t="s">
        <v>1084</v>
      </c>
      <c r="C875" s="3"/>
      <c r="D875" s="3"/>
      <c r="E875" s="3"/>
      <c r="F875" s="3"/>
      <c r="G875" s="3"/>
      <c r="H875" s="3"/>
      <c r="I875" s="3"/>
      <c r="J875" s="3"/>
      <c r="K875" s="3"/>
      <c r="L875" s="3"/>
      <c r="M875" s="3"/>
      <c r="N875" s="3"/>
      <c r="O875" s="3"/>
      <c r="P875" s="3"/>
      <c r="Q875" s="3"/>
      <c r="R875" s="3"/>
      <c r="S875" s="3"/>
      <c r="T875" s="3"/>
      <c r="U875" s="3"/>
      <c r="V875" s="3"/>
      <c r="W875" s="3"/>
      <c r="X875" s="3"/>
      <c r="Y875" s="3"/>
      <c r="Z875" s="3"/>
    </row>
    <row r="876" hidden="1">
      <c r="A876" s="27" t="s">
        <v>3118</v>
      </c>
      <c r="B876" s="29" t="s">
        <v>1086</v>
      </c>
      <c r="C876" s="3"/>
      <c r="D876" s="3"/>
      <c r="E876" s="3"/>
      <c r="F876" s="3"/>
      <c r="G876" s="3"/>
      <c r="H876" s="3"/>
      <c r="I876" s="3"/>
      <c r="J876" s="3"/>
      <c r="K876" s="3"/>
      <c r="L876" s="3"/>
      <c r="M876" s="3"/>
      <c r="N876" s="3"/>
      <c r="O876" s="3"/>
      <c r="P876" s="3"/>
      <c r="Q876" s="3"/>
      <c r="R876" s="3"/>
      <c r="S876" s="3"/>
      <c r="T876" s="3"/>
      <c r="U876" s="3"/>
      <c r="V876" s="3"/>
      <c r="W876" s="3"/>
      <c r="X876" s="3"/>
      <c r="Y876" s="3"/>
      <c r="Z876" s="3"/>
    </row>
    <row r="877" hidden="1">
      <c r="A877" s="27" t="s">
        <v>3119</v>
      </c>
      <c r="B877" s="29" t="s">
        <v>1087</v>
      </c>
      <c r="C877" s="3"/>
      <c r="D877" s="3"/>
      <c r="E877" s="3"/>
      <c r="F877" s="3"/>
      <c r="G877" s="3"/>
      <c r="H877" s="3"/>
      <c r="I877" s="3"/>
      <c r="J877" s="3"/>
      <c r="K877" s="3"/>
      <c r="L877" s="3"/>
      <c r="M877" s="3"/>
      <c r="N877" s="3"/>
      <c r="O877" s="3"/>
      <c r="P877" s="3"/>
      <c r="Q877" s="3"/>
      <c r="R877" s="3"/>
      <c r="S877" s="3"/>
      <c r="T877" s="3"/>
      <c r="U877" s="3"/>
      <c r="V877" s="3"/>
      <c r="W877" s="3"/>
      <c r="X877" s="3"/>
      <c r="Y877" s="3"/>
      <c r="Z877" s="3"/>
    </row>
    <row r="878" hidden="1">
      <c r="A878" s="27" t="s">
        <v>3120</v>
      </c>
      <c r="B878" s="29" t="s">
        <v>1088</v>
      </c>
      <c r="C878" s="3"/>
      <c r="D878" s="3"/>
      <c r="E878" s="3"/>
      <c r="F878" s="3"/>
      <c r="G878" s="3"/>
      <c r="H878" s="3"/>
      <c r="I878" s="3"/>
      <c r="J878" s="3"/>
      <c r="K878" s="3"/>
      <c r="L878" s="3"/>
      <c r="M878" s="3"/>
      <c r="N878" s="3"/>
      <c r="O878" s="3"/>
      <c r="P878" s="3"/>
      <c r="Q878" s="3"/>
      <c r="R878" s="3"/>
      <c r="S878" s="3"/>
      <c r="T878" s="3"/>
      <c r="U878" s="3"/>
      <c r="V878" s="3"/>
      <c r="W878" s="3"/>
      <c r="X878" s="3"/>
      <c r="Y878" s="3"/>
      <c r="Z878" s="3"/>
    </row>
    <row r="879" hidden="1">
      <c r="A879" s="27" t="s">
        <v>3121</v>
      </c>
      <c r="B879" s="29" t="s">
        <v>1089</v>
      </c>
      <c r="C879" s="3"/>
      <c r="D879" s="3"/>
      <c r="E879" s="3"/>
      <c r="F879" s="3"/>
      <c r="G879" s="3"/>
      <c r="H879" s="3"/>
      <c r="I879" s="3"/>
      <c r="J879" s="3"/>
      <c r="K879" s="3"/>
      <c r="L879" s="3"/>
      <c r="M879" s="3"/>
      <c r="N879" s="3"/>
      <c r="O879" s="3"/>
      <c r="P879" s="3"/>
      <c r="Q879" s="3"/>
      <c r="R879" s="3"/>
      <c r="S879" s="3"/>
      <c r="T879" s="3"/>
      <c r="U879" s="3"/>
      <c r="V879" s="3"/>
      <c r="W879" s="3"/>
      <c r="X879" s="3"/>
      <c r="Y879" s="3"/>
      <c r="Z879" s="3"/>
    </row>
    <row r="880" hidden="1">
      <c r="A880" s="27" t="s">
        <v>3122</v>
      </c>
      <c r="B880" s="29" t="s">
        <v>1090</v>
      </c>
      <c r="C880" s="3"/>
      <c r="D880" s="3"/>
      <c r="E880" s="3"/>
      <c r="F880" s="3"/>
      <c r="G880" s="3"/>
      <c r="H880" s="3"/>
      <c r="I880" s="3"/>
      <c r="J880" s="3"/>
      <c r="K880" s="3"/>
      <c r="L880" s="3"/>
      <c r="M880" s="3"/>
      <c r="N880" s="3"/>
      <c r="O880" s="3"/>
      <c r="P880" s="3"/>
      <c r="Q880" s="3"/>
      <c r="R880" s="3"/>
      <c r="S880" s="3"/>
      <c r="T880" s="3"/>
      <c r="U880" s="3"/>
      <c r="V880" s="3"/>
      <c r="W880" s="3"/>
      <c r="X880" s="3"/>
      <c r="Y880" s="3"/>
      <c r="Z880" s="3"/>
    </row>
    <row r="881" hidden="1">
      <c r="A881" s="27" t="s">
        <v>3123</v>
      </c>
      <c r="B881" s="29" t="s">
        <v>1091</v>
      </c>
      <c r="C881" s="3"/>
      <c r="D881" s="3"/>
      <c r="E881" s="3"/>
      <c r="F881" s="3"/>
      <c r="G881" s="3"/>
      <c r="H881" s="3"/>
      <c r="I881" s="3"/>
      <c r="J881" s="3"/>
      <c r="K881" s="3"/>
      <c r="L881" s="3"/>
      <c r="M881" s="3"/>
      <c r="N881" s="3"/>
      <c r="O881" s="3"/>
      <c r="P881" s="3"/>
      <c r="Q881" s="3"/>
      <c r="R881" s="3"/>
      <c r="S881" s="3"/>
      <c r="T881" s="3"/>
      <c r="U881" s="3"/>
      <c r="V881" s="3"/>
      <c r="W881" s="3"/>
      <c r="X881" s="3"/>
      <c r="Y881" s="3"/>
      <c r="Z881" s="3"/>
    </row>
    <row r="882" hidden="1">
      <c r="A882" s="27" t="s">
        <v>3124</v>
      </c>
      <c r="B882" s="29" t="s">
        <v>1092</v>
      </c>
      <c r="C882" s="3"/>
      <c r="D882" s="3"/>
      <c r="E882" s="3"/>
      <c r="F882" s="3"/>
      <c r="G882" s="3"/>
      <c r="H882" s="3"/>
      <c r="I882" s="3"/>
      <c r="J882" s="3"/>
      <c r="K882" s="3"/>
      <c r="L882" s="3"/>
      <c r="M882" s="3"/>
      <c r="N882" s="3"/>
      <c r="O882" s="3"/>
      <c r="P882" s="3"/>
      <c r="Q882" s="3"/>
      <c r="R882" s="3"/>
      <c r="S882" s="3"/>
      <c r="T882" s="3"/>
      <c r="U882" s="3"/>
      <c r="V882" s="3"/>
      <c r="W882" s="3"/>
      <c r="X882" s="3"/>
      <c r="Y882" s="3"/>
      <c r="Z882" s="3"/>
    </row>
    <row r="883" hidden="1">
      <c r="A883" s="27" t="s">
        <v>3125</v>
      </c>
      <c r="B883" s="29" t="s">
        <v>1093</v>
      </c>
      <c r="C883" s="3"/>
      <c r="D883" s="3"/>
      <c r="E883" s="3"/>
      <c r="F883" s="3"/>
      <c r="G883" s="3"/>
      <c r="H883" s="3"/>
      <c r="I883" s="3"/>
      <c r="J883" s="3"/>
      <c r="K883" s="3"/>
      <c r="L883" s="3"/>
      <c r="M883" s="3"/>
      <c r="N883" s="3"/>
      <c r="O883" s="3"/>
      <c r="P883" s="3"/>
      <c r="Q883" s="3"/>
      <c r="R883" s="3"/>
      <c r="S883" s="3"/>
      <c r="T883" s="3"/>
      <c r="U883" s="3"/>
      <c r="V883" s="3"/>
      <c r="W883" s="3"/>
      <c r="X883" s="3"/>
      <c r="Y883" s="3"/>
      <c r="Z883" s="3"/>
    </row>
    <row r="884" hidden="1">
      <c r="A884" s="27" t="s">
        <v>3126</v>
      </c>
      <c r="B884" s="29" t="s">
        <v>1095</v>
      </c>
      <c r="C884" s="3"/>
      <c r="D884" s="3"/>
      <c r="E884" s="3"/>
      <c r="F884" s="3"/>
      <c r="G884" s="3"/>
      <c r="H884" s="3"/>
      <c r="I884" s="3"/>
      <c r="J884" s="3"/>
      <c r="K884" s="3"/>
      <c r="L884" s="3"/>
      <c r="M884" s="3"/>
      <c r="N884" s="3"/>
      <c r="O884" s="3"/>
      <c r="P884" s="3"/>
      <c r="Q884" s="3"/>
      <c r="R884" s="3"/>
      <c r="S884" s="3"/>
      <c r="T884" s="3"/>
      <c r="U884" s="3"/>
      <c r="V884" s="3"/>
      <c r="W884" s="3"/>
      <c r="X884" s="3"/>
      <c r="Y884" s="3"/>
      <c r="Z884" s="3"/>
    </row>
    <row r="885" hidden="1">
      <c r="A885" s="27" t="s">
        <v>3127</v>
      </c>
      <c r="B885" s="29" t="s">
        <v>1096</v>
      </c>
      <c r="C885" s="3"/>
      <c r="D885" s="3"/>
      <c r="E885" s="3"/>
      <c r="F885" s="3"/>
      <c r="G885" s="3"/>
      <c r="H885" s="3"/>
      <c r="I885" s="3"/>
      <c r="J885" s="3"/>
      <c r="K885" s="3"/>
      <c r="L885" s="3"/>
      <c r="M885" s="3"/>
      <c r="N885" s="3"/>
      <c r="O885" s="3"/>
      <c r="P885" s="3"/>
      <c r="Q885" s="3"/>
      <c r="R885" s="3"/>
      <c r="S885" s="3"/>
      <c r="T885" s="3"/>
      <c r="U885" s="3"/>
      <c r="V885" s="3"/>
      <c r="W885" s="3"/>
      <c r="X885" s="3"/>
      <c r="Y885" s="3"/>
      <c r="Z885" s="3"/>
    </row>
    <row r="886" hidden="1">
      <c r="A886" s="27" t="s">
        <v>3128</v>
      </c>
      <c r="B886" s="29" t="s">
        <v>1097</v>
      </c>
      <c r="C886" s="3"/>
      <c r="D886" s="3"/>
      <c r="E886" s="3"/>
      <c r="F886" s="3"/>
      <c r="G886" s="3"/>
      <c r="H886" s="3"/>
      <c r="I886" s="3"/>
      <c r="J886" s="3"/>
      <c r="K886" s="3"/>
      <c r="L886" s="3"/>
      <c r="M886" s="3"/>
      <c r="N886" s="3"/>
      <c r="O886" s="3"/>
      <c r="P886" s="3"/>
      <c r="Q886" s="3"/>
      <c r="R886" s="3"/>
      <c r="S886" s="3"/>
      <c r="T886" s="3"/>
      <c r="U886" s="3"/>
      <c r="V886" s="3"/>
      <c r="W886" s="3"/>
      <c r="X886" s="3"/>
      <c r="Y886" s="3"/>
      <c r="Z886" s="3"/>
    </row>
    <row r="887" hidden="1">
      <c r="A887" s="27" t="s">
        <v>3129</v>
      </c>
      <c r="B887" s="29" t="s">
        <v>1098</v>
      </c>
      <c r="C887" s="3"/>
      <c r="D887" s="3"/>
      <c r="E887" s="3"/>
      <c r="F887" s="3"/>
      <c r="G887" s="3"/>
      <c r="H887" s="3"/>
      <c r="I887" s="3"/>
      <c r="J887" s="3"/>
      <c r="K887" s="3"/>
      <c r="L887" s="3"/>
      <c r="M887" s="3"/>
      <c r="N887" s="3"/>
      <c r="O887" s="3"/>
      <c r="P887" s="3"/>
      <c r="Q887" s="3"/>
      <c r="R887" s="3"/>
      <c r="S887" s="3"/>
      <c r="T887" s="3"/>
      <c r="U887" s="3"/>
      <c r="V887" s="3"/>
      <c r="W887" s="3"/>
      <c r="X887" s="3"/>
      <c r="Y887" s="3"/>
      <c r="Z887" s="3"/>
    </row>
    <row r="888" hidden="1">
      <c r="A888" s="27" t="s">
        <v>3130</v>
      </c>
      <c r="B888" s="29" t="s">
        <v>1099</v>
      </c>
      <c r="C888" s="3"/>
      <c r="D888" s="3"/>
      <c r="E888" s="3"/>
      <c r="F888" s="3"/>
      <c r="G888" s="3"/>
      <c r="H888" s="3"/>
      <c r="I888" s="3"/>
      <c r="J888" s="3"/>
      <c r="K888" s="3"/>
      <c r="L888" s="3"/>
      <c r="M888" s="3"/>
      <c r="N888" s="3"/>
      <c r="O888" s="3"/>
      <c r="P888" s="3"/>
      <c r="Q888" s="3"/>
      <c r="R888" s="3"/>
      <c r="S888" s="3"/>
      <c r="T888" s="3"/>
      <c r="U888" s="3"/>
      <c r="V888" s="3"/>
      <c r="W888" s="3"/>
      <c r="X888" s="3"/>
      <c r="Y888" s="3"/>
      <c r="Z888" s="3"/>
    </row>
    <row r="889" hidden="1">
      <c r="A889" s="27" t="s">
        <v>3131</v>
      </c>
      <c r="B889" s="29" t="s">
        <v>1100</v>
      </c>
      <c r="C889" s="3"/>
      <c r="D889" s="3"/>
      <c r="E889" s="3"/>
      <c r="F889" s="3"/>
      <c r="G889" s="3"/>
      <c r="H889" s="3"/>
      <c r="I889" s="3"/>
      <c r="J889" s="3"/>
      <c r="K889" s="3"/>
      <c r="L889" s="3"/>
      <c r="M889" s="3"/>
      <c r="N889" s="3"/>
      <c r="O889" s="3"/>
      <c r="P889" s="3"/>
      <c r="Q889" s="3"/>
      <c r="R889" s="3"/>
      <c r="S889" s="3"/>
      <c r="T889" s="3"/>
      <c r="U889" s="3"/>
      <c r="V889" s="3"/>
      <c r="W889" s="3"/>
      <c r="X889" s="3"/>
      <c r="Y889" s="3"/>
      <c r="Z889" s="3"/>
    </row>
    <row r="890" hidden="1">
      <c r="A890" s="27" t="s">
        <v>3132</v>
      </c>
      <c r="B890" s="29" t="s">
        <v>1101</v>
      </c>
      <c r="C890" s="3"/>
      <c r="D890" s="3"/>
      <c r="E890" s="3"/>
      <c r="F890" s="3"/>
      <c r="G890" s="3"/>
      <c r="H890" s="3"/>
      <c r="I890" s="3"/>
      <c r="J890" s="3"/>
      <c r="K890" s="3"/>
      <c r="L890" s="3"/>
      <c r="M890" s="3"/>
      <c r="N890" s="3"/>
      <c r="O890" s="3"/>
      <c r="P890" s="3"/>
      <c r="Q890" s="3"/>
      <c r="R890" s="3"/>
      <c r="S890" s="3"/>
      <c r="T890" s="3"/>
      <c r="U890" s="3"/>
      <c r="V890" s="3"/>
      <c r="W890" s="3"/>
      <c r="X890" s="3"/>
      <c r="Y890" s="3"/>
      <c r="Z890" s="3"/>
    </row>
    <row r="891" hidden="1">
      <c r="A891" s="27" t="s">
        <v>3133</v>
      </c>
      <c r="B891" s="29" t="s">
        <v>1103</v>
      </c>
      <c r="C891" s="3"/>
      <c r="D891" s="3"/>
      <c r="E891" s="3"/>
      <c r="F891" s="3"/>
      <c r="G891" s="3"/>
      <c r="H891" s="3"/>
      <c r="I891" s="3"/>
      <c r="J891" s="3"/>
      <c r="K891" s="3"/>
      <c r="L891" s="3"/>
      <c r="M891" s="3"/>
      <c r="N891" s="3"/>
      <c r="O891" s="3"/>
      <c r="P891" s="3"/>
      <c r="Q891" s="3"/>
      <c r="R891" s="3"/>
      <c r="S891" s="3"/>
      <c r="T891" s="3"/>
      <c r="U891" s="3"/>
      <c r="V891" s="3"/>
      <c r="W891" s="3"/>
      <c r="X891" s="3"/>
      <c r="Y891" s="3"/>
      <c r="Z891" s="3"/>
    </row>
    <row r="892" hidden="1">
      <c r="A892" s="27" t="s">
        <v>3134</v>
      </c>
      <c r="B892" s="29" t="s">
        <v>1104</v>
      </c>
      <c r="C892" s="3"/>
      <c r="D892" s="3"/>
      <c r="E892" s="3"/>
      <c r="F892" s="3"/>
      <c r="G892" s="3"/>
      <c r="H892" s="3"/>
      <c r="I892" s="3"/>
      <c r="J892" s="3"/>
      <c r="K892" s="3"/>
      <c r="L892" s="3"/>
      <c r="M892" s="3"/>
      <c r="N892" s="3"/>
      <c r="O892" s="3"/>
      <c r="P892" s="3"/>
      <c r="Q892" s="3"/>
      <c r="R892" s="3"/>
      <c r="S892" s="3"/>
      <c r="T892" s="3"/>
      <c r="U892" s="3"/>
      <c r="V892" s="3"/>
      <c r="W892" s="3"/>
      <c r="X892" s="3"/>
      <c r="Y892" s="3"/>
      <c r="Z892" s="3"/>
    </row>
    <row r="893" hidden="1">
      <c r="A893" s="27" t="s">
        <v>3135</v>
      </c>
      <c r="B893" s="29" t="s">
        <v>1105</v>
      </c>
      <c r="C893" s="3"/>
      <c r="D893" s="3"/>
      <c r="E893" s="3"/>
      <c r="F893" s="3"/>
      <c r="G893" s="3"/>
      <c r="H893" s="3"/>
      <c r="I893" s="3"/>
      <c r="J893" s="3"/>
      <c r="K893" s="3"/>
      <c r="L893" s="3"/>
      <c r="M893" s="3"/>
      <c r="N893" s="3"/>
      <c r="O893" s="3"/>
      <c r="P893" s="3"/>
      <c r="Q893" s="3"/>
      <c r="R893" s="3"/>
      <c r="S893" s="3"/>
      <c r="T893" s="3"/>
      <c r="U893" s="3"/>
      <c r="V893" s="3"/>
      <c r="W893" s="3"/>
      <c r="X893" s="3"/>
      <c r="Y893" s="3"/>
      <c r="Z893" s="3"/>
    </row>
    <row r="894" hidden="1">
      <c r="A894" s="27" t="s">
        <v>3136</v>
      </c>
      <c r="B894" s="29" t="s">
        <v>1106</v>
      </c>
      <c r="C894" s="3"/>
      <c r="D894" s="3"/>
      <c r="E894" s="3"/>
      <c r="F894" s="3"/>
      <c r="G894" s="3"/>
      <c r="H894" s="3"/>
      <c r="I894" s="3"/>
      <c r="J894" s="3"/>
      <c r="K894" s="3"/>
      <c r="L894" s="3"/>
      <c r="M894" s="3"/>
      <c r="N894" s="3"/>
      <c r="O894" s="3"/>
      <c r="P894" s="3"/>
      <c r="Q894" s="3"/>
      <c r="R894" s="3"/>
      <c r="S894" s="3"/>
      <c r="T894" s="3"/>
      <c r="U894" s="3"/>
      <c r="V894" s="3"/>
      <c r="W894" s="3"/>
      <c r="X894" s="3"/>
      <c r="Y894" s="3"/>
      <c r="Z894" s="3"/>
    </row>
    <row r="895" hidden="1">
      <c r="A895" s="27" t="s">
        <v>3137</v>
      </c>
      <c r="B895" s="29" t="s">
        <v>1107</v>
      </c>
      <c r="C895" s="3"/>
      <c r="D895" s="3"/>
      <c r="E895" s="3"/>
      <c r="F895" s="3"/>
      <c r="G895" s="3"/>
      <c r="H895" s="3"/>
      <c r="I895" s="3"/>
      <c r="J895" s="3"/>
      <c r="K895" s="3"/>
      <c r="L895" s="3"/>
      <c r="M895" s="3"/>
      <c r="N895" s="3"/>
      <c r="O895" s="3"/>
      <c r="P895" s="3"/>
      <c r="Q895" s="3"/>
      <c r="R895" s="3"/>
      <c r="S895" s="3"/>
      <c r="T895" s="3"/>
      <c r="U895" s="3"/>
      <c r="V895" s="3"/>
      <c r="W895" s="3"/>
      <c r="X895" s="3"/>
      <c r="Y895" s="3"/>
      <c r="Z895" s="3"/>
    </row>
    <row r="896" hidden="1">
      <c r="A896" s="27" t="s">
        <v>3138</v>
      </c>
      <c r="B896" s="29" t="s">
        <v>1108</v>
      </c>
      <c r="C896" s="3"/>
      <c r="D896" s="3"/>
      <c r="E896" s="3"/>
      <c r="F896" s="3"/>
      <c r="G896" s="3"/>
      <c r="H896" s="3"/>
      <c r="I896" s="3"/>
      <c r="J896" s="3"/>
      <c r="K896" s="3"/>
      <c r="L896" s="3"/>
      <c r="M896" s="3"/>
      <c r="N896" s="3"/>
      <c r="O896" s="3"/>
      <c r="P896" s="3"/>
      <c r="Q896" s="3"/>
      <c r="R896" s="3"/>
      <c r="S896" s="3"/>
      <c r="T896" s="3"/>
      <c r="U896" s="3"/>
      <c r="V896" s="3"/>
      <c r="W896" s="3"/>
      <c r="X896" s="3"/>
      <c r="Y896" s="3"/>
      <c r="Z896" s="3"/>
    </row>
    <row r="897" hidden="1">
      <c r="A897" s="27" t="s">
        <v>3139</v>
      </c>
      <c r="B897" s="29" t="s">
        <v>1109</v>
      </c>
      <c r="C897" s="3"/>
      <c r="D897" s="3"/>
      <c r="E897" s="3"/>
      <c r="F897" s="3"/>
      <c r="G897" s="3"/>
      <c r="H897" s="3"/>
      <c r="I897" s="3"/>
      <c r="J897" s="3"/>
      <c r="K897" s="3"/>
      <c r="L897" s="3"/>
      <c r="M897" s="3"/>
      <c r="N897" s="3"/>
      <c r="O897" s="3"/>
      <c r="P897" s="3"/>
      <c r="Q897" s="3"/>
      <c r="R897" s="3"/>
      <c r="S897" s="3"/>
      <c r="T897" s="3"/>
      <c r="U897" s="3"/>
      <c r="V897" s="3"/>
      <c r="W897" s="3"/>
      <c r="X897" s="3"/>
      <c r="Y897" s="3"/>
      <c r="Z897" s="3"/>
    </row>
    <row r="898" hidden="1">
      <c r="A898" s="27" t="s">
        <v>3140</v>
      </c>
      <c r="B898" s="29" t="s">
        <v>1110</v>
      </c>
      <c r="C898" s="3"/>
      <c r="D898" s="3"/>
      <c r="E898" s="3"/>
      <c r="F898" s="3"/>
      <c r="G898" s="3"/>
      <c r="H898" s="3"/>
      <c r="I898" s="3"/>
      <c r="J898" s="3"/>
      <c r="K898" s="3"/>
      <c r="L898" s="3"/>
      <c r="M898" s="3"/>
      <c r="N898" s="3"/>
      <c r="O898" s="3"/>
      <c r="P898" s="3"/>
      <c r="Q898" s="3"/>
      <c r="R898" s="3"/>
      <c r="S898" s="3"/>
      <c r="T898" s="3"/>
      <c r="U898" s="3"/>
      <c r="V898" s="3"/>
      <c r="W898" s="3"/>
      <c r="X898" s="3"/>
      <c r="Y898" s="3"/>
      <c r="Z898" s="3"/>
    </row>
    <row r="899" hidden="1">
      <c r="A899" s="27" t="s">
        <v>3141</v>
      </c>
      <c r="B899" s="29" t="s">
        <v>1112</v>
      </c>
      <c r="C899" s="3"/>
      <c r="D899" s="3"/>
      <c r="E899" s="3"/>
      <c r="F899" s="3"/>
      <c r="G899" s="3"/>
      <c r="H899" s="3"/>
      <c r="I899" s="3"/>
      <c r="J899" s="3"/>
      <c r="K899" s="3"/>
      <c r="L899" s="3"/>
      <c r="M899" s="3"/>
      <c r="N899" s="3"/>
      <c r="O899" s="3"/>
      <c r="P899" s="3"/>
      <c r="Q899" s="3"/>
      <c r="R899" s="3"/>
      <c r="S899" s="3"/>
      <c r="T899" s="3"/>
      <c r="U899" s="3"/>
      <c r="V899" s="3"/>
      <c r="W899" s="3"/>
      <c r="X899" s="3"/>
      <c r="Y899" s="3"/>
      <c r="Z899" s="3"/>
    </row>
    <row r="900" hidden="1">
      <c r="A900" s="27" t="s">
        <v>3142</v>
      </c>
      <c r="B900" s="29" t="s">
        <v>1113</v>
      </c>
      <c r="C900" s="3"/>
      <c r="D900" s="3"/>
      <c r="E900" s="3"/>
      <c r="F900" s="3"/>
      <c r="G900" s="3"/>
      <c r="H900" s="3"/>
      <c r="I900" s="3"/>
      <c r="J900" s="3"/>
      <c r="K900" s="3"/>
      <c r="L900" s="3"/>
      <c r="M900" s="3"/>
      <c r="N900" s="3"/>
      <c r="O900" s="3"/>
      <c r="P900" s="3"/>
      <c r="Q900" s="3"/>
      <c r="R900" s="3"/>
      <c r="S900" s="3"/>
      <c r="T900" s="3"/>
      <c r="U900" s="3"/>
      <c r="V900" s="3"/>
      <c r="W900" s="3"/>
      <c r="X900" s="3"/>
      <c r="Y900" s="3"/>
      <c r="Z900" s="3"/>
    </row>
    <row r="901" hidden="1">
      <c r="A901" s="27" t="s">
        <v>3143</v>
      </c>
      <c r="B901" s="29" t="s">
        <v>1114</v>
      </c>
      <c r="C901" s="3"/>
      <c r="D901" s="3"/>
      <c r="E901" s="3"/>
      <c r="F901" s="3"/>
      <c r="G901" s="3"/>
      <c r="H901" s="3"/>
      <c r="I901" s="3"/>
      <c r="J901" s="3"/>
      <c r="K901" s="3"/>
      <c r="L901" s="3"/>
      <c r="M901" s="3"/>
      <c r="N901" s="3"/>
      <c r="O901" s="3"/>
      <c r="P901" s="3"/>
      <c r="Q901" s="3"/>
      <c r="R901" s="3"/>
      <c r="S901" s="3"/>
      <c r="T901" s="3"/>
      <c r="U901" s="3"/>
      <c r="V901" s="3"/>
      <c r="W901" s="3"/>
      <c r="X901" s="3"/>
      <c r="Y901" s="3"/>
      <c r="Z901" s="3"/>
    </row>
    <row r="902" hidden="1">
      <c r="A902" s="27" t="s">
        <v>3144</v>
      </c>
      <c r="B902" s="29" t="s">
        <v>1115</v>
      </c>
      <c r="C902" s="3"/>
      <c r="D902" s="3"/>
      <c r="E902" s="3"/>
      <c r="F902" s="3"/>
      <c r="G902" s="3"/>
      <c r="H902" s="3"/>
      <c r="I902" s="3"/>
      <c r="J902" s="3"/>
      <c r="K902" s="3"/>
      <c r="L902" s="3"/>
      <c r="M902" s="3"/>
      <c r="N902" s="3"/>
      <c r="O902" s="3"/>
      <c r="P902" s="3"/>
      <c r="Q902" s="3"/>
      <c r="R902" s="3"/>
      <c r="S902" s="3"/>
      <c r="T902" s="3"/>
      <c r="U902" s="3"/>
      <c r="V902" s="3"/>
      <c r="W902" s="3"/>
      <c r="X902" s="3"/>
      <c r="Y902" s="3"/>
      <c r="Z902" s="3"/>
    </row>
    <row r="903" hidden="1">
      <c r="A903" s="27" t="s">
        <v>3145</v>
      </c>
      <c r="B903" s="29" t="s">
        <v>1116</v>
      </c>
      <c r="C903" s="3"/>
      <c r="D903" s="3"/>
      <c r="E903" s="3"/>
      <c r="F903" s="3"/>
      <c r="G903" s="3"/>
      <c r="H903" s="3"/>
      <c r="I903" s="3"/>
      <c r="J903" s="3"/>
      <c r="K903" s="3"/>
      <c r="L903" s="3"/>
      <c r="M903" s="3"/>
      <c r="N903" s="3"/>
      <c r="O903" s="3"/>
      <c r="P903" s="3"/>
      <c r="Q903" s="3"/>
      <c r="R903" s="3"/>
      <c r="S903" s="3"/>
      <c r="T903" s="3"/>
      <c r="U903" s="3"/>
      <c r="V903" s="3"/>
      <c r="W903" s="3"/>
      <c r="X903" s="3"/>
      <c r="Y903" s="3"/>
      <c r="Z903" s="3"/>
    </row>
    <row r="904" hidden="1">
      <c r="A904" s="27" t="s">
        <v>3146</v>
      </c>
      <c r="B904" s="29" t="s">
        <v>1117</v>
      </c>
      <c r="C904" s="3"/>
      <c r="D904" s="3"/>
      <c r="E904" s="3"/>
      <c r="F904" s="3"/>
      <c r="G904" s="3"/>
      <c r="H904" s="3"/>
      <c r="I904" s="3"/>
      <c r="J904" s="3"/>
      <c r="K904" s="3"/>
      <c r="L904" s="3"/>
      <c r="M904" s="3"/>
      <c r="N904" s="3"/>
      <c r="O904" s="3"/>
      <c r="P904" s="3"/>
      <c r="Q904" s="3"/>
      <c r="R904" s="3"/>
      <c r="S904" s="3"/>
      <c r="T904" s="3"/>
      <c r="U904" s="3"/>
      <c r="V904" s="3"/>
      <c r="W904" s="3"/>
      <c r="X904" s="3"/>
      <c r="Y904" s="3"/>
      <c r="Z904" s="3"/>
    </row>
    <row r="905" hidden="1">
      <c r="A905" s="27" t="s">
        <v>3147</v>
      </c>
      <c r="B905" s="29" t="s">
        <v>1118</v>
      </c>
      <c r="C905" s="3"/>
      <c r="D905" s="3"/>
      <c r="E905" s="3"/>
      <c r="F905" s="3"/>
      <c r="G905" s="3"/>
      <c r="H905" s="3"/>
      <c r="I905" s="3"/>
      <c r="J905" s="3"/>
      <c r="K905" s="3"/>
      <c r="L905" s="3"/>
      <c r="M905" s="3"/>
      <c r="N905" s="3"/>
      <c r="O905" s="3"/>
      <c r="P905" s="3"/>
      <c r="Q905" s="3"/>
      <c r="R905" s="3"/>
      <c r="S905" s="3"/>
      <c r="T905" s="3"/>
      <c r="U905" s="3"/>
      <c r="V905" s="3"/>
      <c r="W905" s="3"/>
      <c r="X905" s="3"/>
      <c r="Y905" s="3"/>
      <c r="Z905" s="3"/>
    </row>
    <row r="906" hidden="1">
      <c r="A906" s="27" t="s">
        <v>3148</v>
      </c>
      <c r="B906" s="29" t="s">
        <v>1120</v>
      </c>
      <c r="C906" s="3"/>
      <c r="D906" s="3"/>
      <c r="E906" s="3"/>
      <c r="F906" s="3"/>
      <c r="G906" s="3"/>
      <c r="H906" s="3"/>
      <c r="I906" s="3"/>
      <c r="J906" s="3"/>
      <c r="K906" s="3"/>
      <c r="L906" s="3"/>
      <c r="M906" s="3"/>
      <c r="N906" s="3"/>
      <c r="O906" s="3"/>
      <c r="P906" s="3"/>
      <c r="Q906" s="3"/>
      <c r="R906" s="3"/>
      <c r="S906" s="3"/>
      <c r="T906" s="3"/>
      <c r="U906" s="3"/>
      <c r="V906" s="3"/>
      <c r="W906" s="3"/>
      <c r="X906" s="3"/>
      <c r="Y906" s="3"/>
      <c r="Z906" s="3"/>
    </row>
    <row r="907" hidden="1">
      <c r="A907" s="27" t="s">
        <v>3149</v>
      </c>
      <c r="B907" s="29" t="s">
        <v>1121</v>
      </c>
      <c r="C907" s="3"/>
      <c r="D907" s="3"/>
      <c r="E907" s="3"/>
      <c r="F907" s="3"/>
      <c r="G907" s="3"/>
      <c r="H907" s="3"/>
      <c r="I907" s="3"/>
      <c r="J907" s="3"/>
      <c r="K907" s="3"/>
      <c r="L907" s="3"/>
      <c r="M907" s="3"/>
      <c r="N907" s="3"/>
      <c r="O907" s="3"/>
      <c r="P907" s="3"/>
      <c r="Q907" s="3"/>
      <c r="R907" s="3"/>
      <c r="S907" s="3"/>
      <c r="T907" s="3"/>
      <c r="U907" s="3"/>
      <c r="V907" s="3"/>
      <c r="W907" s="3"/>
      <c r="X907" s="3"/>
      <c r="Y907" s="3"/>
      <c r="Z907" s="3"/>
    </row>
    <row r="908" hidden="1">
      <c r="A908" s="27" t="s">
        <v>3150</v>
      </c>
      <c r="B908" s="29" t="s">
        <v>1122</v>
      </c>
      <c r="C908" s="3"/>
      <c r="D908" s="3"/>
      <c r="E908" s="3"/>
      <c r="F908" s="3"/>
      <c r="G908" s="3"/>
      <c r="H908" s="3"/>
      <c r="I908" s="3"/>
      <c r="J908" s="3"/>
      <c r="K908" s="3"/>
      <c r="L908" s="3"/>
      <c r="M908" s="3"/>
      <c r="N908" s="3"/>
      <c r="O908" s="3"/>
      <c r="P908" s="3"/>
      <c r="Q908" s="3"/>
      <c r="R908" s="3"/>
      <c r="S908" s="3"/>
      <c r="T908" s="3"/>
      <c r="U908" s="3"/>
      <c r="V908" s="3"/>
      <c r="W908" s="3"/>
      <c r="X908" s="3"/>
      <c r="Y908" s="3"/>
      <c r="Z908" s="3"/>
    </row>
    <row r="909" hidden="1">
      <c r="A909" s="27" t="s">
        <v>3151</v>
      </c>
      <c r="B909" s="29" t="s">
        <v>1123</v>
      </c>
      <c r="C909" s="3"/>
      <c r="D909" s="3"/>
      <c r="E909" s="3"/>
      <c r="F909" s="3"/>
      <c r="G909" s="3"/>
      <c r="H909" s="3"/>
      <c r="I909" s="3"/>
      <c r="J909" s="3"/>
      <c r="K909" s="3"/>
      <c r="L909" s="3"/>
      <c r="M909" s="3"/>
      <c r="N909" s="3"/>
      <c r="O909" s="3"/>
      <c r="P909" s="3"/>
      <c r="Q909" s="3"/>
      <c r="R909" s="3"/>
      <c r="S909" s="3"/>
      <c r="T909" s="3"/>
      <c r="U909" s="3"/>
      <c r="V909" s="3"/>
      <c r="W909" s="3"/>
      <c r="X909" s="3"/>
      <c r="Y909" s="3"/>
      <c r="Z909" s="3"/>
    </row>
    <row r="910" hidden="1">
      <c r="A910" s="27" t="s">
        <v>3152</v>
      </c>
      <c r="B910" s="29" t="s">
        <v>1124</v>
      </c>
      <c r="C910" s="3"/>
      <c r="D910" s="3"/>
      <c r="E910" s="3"/>
      <c r="F910" s="3"/>
      <c r="G910" s="3"/>
      <c r="H910" s="3"/>
      <c r="I910" s="3"/>
      <c r="J910" s="3"/>
      <c r="K910" s="3"/>
      <c r="L910" s="3"/>
      <c r="M910" s="3"/>
      <c r="N910" s="3"/>
      <c r="O910" s="3"/>
      <c r="P910" s="3"/>
      <c r="Q910" s="3"/>
      <c r="R910" s="3"/>
      <c r="S910" s="3"/>
      <c r="T910" s="3"/>
      <c r="U910" s="3"/>
      <c r="V910" s="3"/>
      <c r="W910" s="3"/>
      <c r="X910" s="3"/>
      <c r="Y910" s="3"/>
      <c r="Z910" s="3"/>
    </row>
    <row r="911" hidden="1">
      <c r="A911" s="27" t="s">
        <v>3153</v>
      </c>
      <c r="B911" s="29" t="s">
        <v>1125</v>
      </c>
      <c r="C911" s="3"/>
      <c r="D911" s="3"/>
      <c r="E911" s="3"/>
      <c r="F911" s="3"/>
      <c r="G911" s="3"/>
      <c r="H911" s="3"/>
      <c r="I911" s="3"/>
      <c r="J911" s="3"/>
      <c r="K911" s="3"/>
      <c r="L911" s="3"/>
      <c r="M911" s="3"/>
      <c r="N911" s="3"/>
      <c r="O911" s="3"/>
      <c r="P911" s="3"/>
      <c r="Q911" s="3"/>
      <c r="R911" s="3"/>
      <c r="S911" s="3"/>
      <c r="T911" s="3"/>
      <c r="U911" s="3"/>
      <c r="V911" s="3"/>
      <c r="W911" s="3"/>
      <c r="X911" s="3"/>
      <c r="Y911" s="3"/>
      <c r="Z911" s="3"/>
    </row>
    <row r="912" hidden="1">
      <c r="A912" s="27" t="s">
        <v>3154</v>
      </c>
      <c r="B912" s="29" t="s">
        <v>1126</v>
      </c>
      <c r="C912" s="3"/>
      <c r="D912" s="3"/>
      <c r="E912" s="3"/>
      <c r="F912" s="3"/>
      <c r="G912" s="3"/>
      <c r="H912" s="3"/>
      <c r="I912" s="3"/>
      <c r="J912" s="3"/>
      <c r="K912" s="3"/>
      <c r="L912" s="3"/>
      <c r="M912" s="3"/>
      <c r="N912" s="3"/>
      <c r="O912" s="3"/>
      <c r="P912" s="3"/>
      <c r="Q912" s="3"/>
      <c r="R912" s="3"/>
      <c r="S912" s="3"/>
      <c r="T912" s="3"/>
      <c r="U912" s="3"/>
      <c r="V912" s="3"/>
      <c r="W912" s="3"/>
      <c r="X912" s="3"/>
      <c r="Y912" s="3"/>
      <c r="Z912" s="3"/>
    </row>
    <row r="913" hidden="1">
      <c r="A913" s="27" t="s">
        <v>3155</v>
      </c>
      <c r="B913" s="29" t="s">
        <v>1127</v>
      </c>
      <c r="C913" s="3"/>
      <c r="D913" s="3"/>
      <c r="E913" s="3"/>
      <c r="F913" s="3"/>
      <c r="G913" s="3"/>
      <c r="H913" s="3"/>
      <c r="I913" s="3"/>
      <c r="J913" s="3"/>
      <c r="K913" s="3"/>
      <c r="L913" s="3"/>
      <c r="M913" s="3"/>
      <c r="N913" s="3"/>
      <c r="O913" s="3"/>
      <c r="P913" s="3"/>
      <c r="Q913" s="3"/>
      <c r="R913" s="3"/>
      <c r="S913" s="3"/>
      <c r="T913" s="3"/>
      <c r="U913" s="3"/>
      <c r="V913" s="3"/>
      <c r="W913" s="3"/>
      <c r="X913" s="3"/>
      <c r="Y913" s="3"/>
      <c r="Z913" s="3"/>
    </row>
    <row r="914" hidden="1">
      <c r="A914" s="27" t="s">
        <v>3156</v>
      </c>
      <c r="B914" s="29" t="s">
        <v>1129</v>
      </c>
      <c r="C914" s="3"/>
      <c r="D914" s="3"/>
      <c r="E914" s="3"/>
      <c r="F914" s="3"/>
      <c r="G914" s="3"/>
      <c r="H914" s="3"/>
      <c r="I914" s="3"/>
      <c r="J914" s="3"/>
      <c r="K914" s="3"/>
      <c r="L914" s="3"/>
      <c r="M914" s="3"/>
      <c r="N914" s="3"/>
      <c r="O914" s="3"/>
      <c r="P914" s="3"/>
      <c r="Q914" s="3"/>
      <c r="R914" s="3"/>
      <c r="S914" s="3"/>
      <c r="T914" s="3"/>
      <c r="U914" s="3"/>
      <c r="V914" s="3"/>
      <c r="W914" s="3"/>
      <c r="X914" s="3"/>
      <c r="Y914" s="3"/>
      <c r="Z914" s="3"/>
    </row>
    <row r="915" hidden="1">
      <c r="A915" s="27" t="s">
        <v>3157</v>
      </c>
      <c r="B915" s="29" t="s">
        <v>1130</v>
      </c>
      <c r="C915" s="3"/>
      <c r="D915" s="3"/>
      <c r="E915" s="3"/>
      <c r="F915" s="3"/>
      <c r="G915" s="3"/>
      <c r="H915" s="3"/>
      <c r="I915" s="3"/>
      <c r="J915" s="3"/>
      <c r="K915" s="3"/>
      <c r="L915" s="3"/>
      <c r="M915" s="3"/>
      <c r="N915" s="3"/>
      <c r="O915" s="3"/>
      <c r="P915" s="3"/>
      <c r="Q915" s="3"/>
      <c r="R915" s="3"/>
      <c r="S915" s="3"/>
      <c r="T915" s="3"/>
      <c r="U915" s="3"/>
      <c r="V915" s="3"/>
      <c r="W915" s="3"/>
      <c r="X915" s="3"/>
      <c r="Y915" s="3"/>
      <c r="Z915" s="3"/>
    </row>
    <row r="916" hidden="1">
      <c r="A916" s="27" t="s">
        <v>3158</v>
      </c>
      <c r="B916" s="29" t="s">
        <v>1131</v>
      </c>
      <c r="C916" s="3"/>
      <c r="D916" s="3"/>
      <c r="E916" s="3"/>
      <c r="F916" s="3"/>
      <c r="G916" s="3"/>
      <c r="H916" s="3"/>
      <c r="I916" s="3"/>
      <c r="J916" s="3"/>
      <c r="K916" s="3"/>
      <c r="L916" s="3"/>
      <c r="M916" s="3"/>
      <c r="N916" s="3"/>
      <c r="O916" s="3"/>
      <c r="P916" s="3"/>
      <c r="Q916" s="3"/>
      <c r="R916" s="3"/>
      <c r="S916" s="3"/>
      <c r="T916" s="3"/>
      <c r="U916" s="3"/>
      <c r="V916" s="3"/>
      <c r="W916" s="3"/>
      <c r="X916" s="3"/>
      <c r="Y916" s="3"/>
      <c r="Z916" s="3"/>
    </row>
    <row r="917" hidden="1">
      <c r="A917" s="27" t="s">
        <v>3159</v>
      </c>
      <c r="B917" s="29" t="s">
        <v>1132</v>
      </c>
      <c r="C917" s="3"/>
      <c r="D917" s="3"/>
      <c r="E917" s="3"/>
      <c r="F917" s="3"/>
      <c r="G917" s="3"/>
      <c r="H917" s="3"/>
      <c r="I917" s="3"/>
      <c r="J917" s="3"/>
      <c r="K917" s="3"/>
      <c r="L917" s="3"/>
      <c r="M917" s="3"/>
      <c r="N917" s="3"/>
      <c r="O917" s="3"/>
      <c r="P917" s="3"/>
      <c r="Q917" s="3"/>
      <c r="R917" s="3"/>
      <c r="S917" s="3"/>
      <c r="T917" s="3"/>
      <c r="U917" s="3"/>
      <c r="V917" s="3"/>
      <c r="W917" s="3"/>
      <c r="X917" s="3"/>
      <c r="Y917" s="3"/>
      <c r="Z917" s="3"/>
    </row>
    <row r="918" hidden="1">
      <c r="A918" s="27" t="s">
        <v>3160</v>
      </c>
      <c r="B918" s="29" t="s">
        <v>1133</v>
      </c>
      <c r="C918" s="3"/>
      <c r="D918" s="3"/>
      <c r="E918" s="3"/>
      <c r="F918" s="3"/>
      <c r="G918" s="3"/>
      <c r="H918" s="3"/>
      <c r="I918" s="3"/>
      <c r="J918" s="3"/>
      <c r="K918" s="3"/>
      <c r="L918" s="3"/>
      <c r="M918" s="3"/>
      <c r="N918" s="3"/>
      <c r="O918" s="3"/>
      <c r="P918" s="3"/>
      <c r="Q918" s="3"/>
      <c r="R918" s="3"/>
      <c r="S918" s="3"/>
      <c r="T918" s="3"/>
      <c r="U918" s="3"/>
      <c r="V918" s="3"/>
      <c r="W918" s="3"/>
      <c r="X918" s="3"/>
      <c r="Y918" s="3"/>
      <c r="Z918" s="3"/>
    </row>
    <row r="919" hidden="1">
      <c r="A919" s="27" t="s">
        <v>3161</v>
      </c>
      <c r="B919" s="29" t="s">
        <v>1134</v>
      </c>
      <c r="C919" s="3"/>
      <c r="D919" s="3"/>
      <c r="E919" s="3"/>
      <c r="F919" s="3"/>
      <c r="G919" s="3"/>
      <c r="H919" s="3"/>
      <c r="I919" s="3"/>
      <c r="J919" s="3"/>
      <c r="K919" s="3"/>
      <c r="L919" s="3"/>
      <c r="M919" s="3"/>
      <c r="N919" s="3"/>
      <c r="O919" s="3"/>
      <c r="P919" s="3"/>
      <c r="Q919" s="3"/>
      <c r="R919" s="3"/>
      <c r="S919" s="3"/>
      <c r="T919" s="3"/>
      <c r="U919" s="3"/>
      <c r="V919" s="3"/>
      <c r="W919" s="3"/>
      <c r="X919" s="3"/>
      <c r="Y919" s="3"/>
      <c r="Z919" s="3"/>
    </row>
    <row r="920" hidden="1">
      <c r="A920" s="27" t="s">
        <v>3162</v>
      </c>
      <c r="B920" s="29" t="s">
        <v>1135</v>
      </c>
      <c r="C920" s="3"/>
      <c r="D920" s="3"/>
      <c r="E920" s="3"/>
      <c r="F920" s="3"/>
      <c r="G920" s="3"/>
      <c r="H920" s="3"/>
      <c r="I920" s="3"/>
      <c r="J920" s="3"/>
      <c r="K920" s="3"/>
      <c r="L920" s="3"/>
      <c r="M920" s="3"/>
      <c r="N920" s="3"/>
      <c r="O920" s="3"/>
      <c r="P920" s="3"/>
      <c r="Q920" s="3"/>
      <c r="R920" s="3"/>
      <c r="S920" s="3"/>
      <c r="T920" s="3"/>
      <c r="U920" s="3"/>
      <c r="V920" s="3"/>
      <c r="W920" s="3"/>
      <c r="X920" s="3"/>
      <c r="Y920" s="3"/>
      <c r="Z920" s="3"/>
    </row>
    <row r="921" hidden="1">
      <c r="A921" s="27" t="s">
        <v>3163</v>
      </c>
      <c r="B921" s="29" t="s">
        <v>1137</v>
      </c>
      <c r="C921" s="3"/>
      <c r="D921" s="3"/>
      <c r="E921" s="3"/>
      <c r="F921" s="3"/>
      <c r="G921" s="3"/>
      <c r="H921" s="3"/>
      <c r="I921" s="3"/>
      <c r="J921" s="3"/>
      <c r="K921" s="3"/>
      <c r="L921" s="3"/>
      <c r="M921" s="3"/>
      <c r="N921" s="3"/>
      <c r="O921" s="3"/>
      <c r="P921" s="3"/>
      <c r="Q921" s="3"/>
      <c r="R921" s="3"/>
      <c r="S921" s="3"/>
      <c r="T921" s="3"/>
      <c r="U921" s="3"/>
      <c r="V921" s="3"/>
      <c r="W921" s="3"/>
      <c r="X921" s="3"/>
      <c r="Y921" s="3"/>
      <c r="Z921" s="3"/>
    </row>
    <row r="922" hidden="1">
      <c r="A922" s="27" t="s">
        <v>3164</v>
      </c>
      <c r="B922" s="29" t="s">
        <v>1138</v>
      </c>
      <c r="C922" s="3"/>
      <c r="D922" s="3"/>
      <c r="E922" s="3"/>
      <c r="F922" s="3"/>
      <c r="G922" s="3"/>
      <c r="H922" s="3"/>
      <c r="I922" s="3"/>
      <c r="J922" s="3"/>
      <c r="K922" s="3"/>
      <c r="L922" s="3"/>
      <c r="M922" s="3"/>
      <c r="N922" s="3"/>
      <c r="O922" s="3"/>
      <c r="P922" s="3"/>
      <c r="Q922" s="3"/>
      <c r="R922" s="3"/>
      <c r="S922" s="3"/>
      <c r="T922" s="3"/>
      <c r="U922" s="3"/>
      <c r="V922" s="3"/>
      <c r="W922" s="3"/>
      <c r="X922" s="3"/>
      <c r="Y922" s="3"/>
      <c r="Z922" s="3"/>
    </row>
    <row r="923" hidden="1">
      <c r="A923" s="27" t="s">
        <v>3165</v>
      </c>
      <c r="B923" s="29" t="s">
        <v>1139</v>
      </c>
      <c r="C923" s="3"/>
      <c r="D923" s="3"/>
      <c r="E923" s="3"/>
      <c r="F923" s="3"/>
      <c r="G923" s="3"/>
      <c r="H923" s="3"/>
      <c r="I923" s="3"/>
      <c r="J923" s="3"/>
      <c r="K923" s="3"/>
      <c r="L923" s="3"/>
      <c r="M923" s="3"/>
      <c r="N923" s="3"/>
      <c r="O923" s="3"/>
      <c r="P923" s="3"/>
      <c r="Q923" s="3"/>
      <c r="R923" s="3"/>
      <c r="S923" s="3"/>
      <c r="T923" s="3"/>
      <c r="U923" s="3"/>
      <c r="V923" s="3"/>
      <c r="W923" s="3"/>
      <c r="X923" s="3"/>
      <c r="Y923" s="3"/>
      <c r="Z923" s="3"/>
    </row>
    <row r="924" hidden="1">
      <c r="A924" s="27" t="s">
        <v>3166</v>
      </c>
      <c r="B924" s="29" t="s">
        <v>1140</v>
      </c>
      <c r="C924" s="3"/>
      <c r="D924" s="3"/>
      <c r="E924" s="3"/>
      <c r="F924" s="3"/>
      <c r="G924" s="3"/>
      <c r="H924" s="3"/>
      <c r="I924" s="3"/>
      <c r="J924" s="3"/>
      <c r="K924" s="3"/>
      <c r="L924" s="3"/>
      <c r="M924" s="3"/>
      <c r="N924" s="3"/>
      <c r="O924" s="3"/>
      <c r="P924" s="3"/>
      <c r="Q924" s="3"/>
      <c r="R924" s="3"/>
      <c r="S924" s="3"/>
      <c r="T924" s="3"/>
      <c r="U924" s="3"/>
      <c r="V924" s="3"/>
      <c r="W924" s="3"/>
      <c r="X924" s="3"/>
      <c r="Y924" s="3"/>
      <c r="Z924" s="3"/>
    </row>
    <row r="925" hidden="1">
      <c r="A925" s="27" t="s">
        <v>3167</v>
      </c>
      <c r="B925" s="29" t="s">
        <v>1141</v>
      </c>
      <c r="C925" s="3"/>
      <c r="D925" s="3"/>
      <c r="E925" s="3"/>
      <c r="F925" s="3"/>
      <c r="G925" s="3"/>
      <c r="H925" s="3"/>
      <c r="I925" s="3"/>
      <c r="J925" s="3"/>
      <c r="K925" s="3"/>
      <c r="L925" s="3"/>
      <c r="M925" s="3"/>
      <c r="N925" s="3"/>
      <c r="O925" s="3"/>
      <c r="P925" s="3"/>
      <c r="Q925" s="3"/>
      <c r="R925" s="3"/>
      <c r="S925" s="3"/>
      <c r="T925" s="3"/>
      <c r="U925" s="3"/>
      <c r="V925" s="3"/>
      <c r="W925" s="3"/>
      <c r="X925" s="3"/>
      <c r="Y925" s="3"/>
      <c r="Z925" s="3"/>
    </row>
    <row r="926" hidden="1">
      <c r="A926" s="27" t="s">
        <v>3168</v>
      </c>
      <c r="B926" s="29" t="s">
        <v>1142</v>
      </c>
      <c r="C926" s="3"/>
      <c r="D926" s="3"/>
      <c r="E926" s="3"/>
      <c r="F926" s="3"/>
      <c r="G926" s="3"/>
      <c r="H926" s="3"/>
      <c r="I926" s="3"/>
      <c r="J926" s="3"/>
      <c r="K926" s="3"/>
      <c r="L926" s="3"/>
      <c r="M926" s="3"/>
      <c r="N926" s="3"/>
      <c r="O926" s="3"/>
      <c r="P926" s="3"/>
      <c r="Q926" s="3"/>
      <c r="R926" s="3"/>
      <c r="S926" s="3"/>
      <c r="T926" s="3"/>
      <c r="U926" s="3"/>
      <c r="V926" s="3"/>
      <c r="W926" s="3"/>
      <c r="X926" s="3"/>
      <c r="Y926" s="3"/>
      <c r="Z926" s="3"/>
    </row>
    <row r="927" hidden="1">
      <c r="A927" s="27" t="s">
        <v>3169</v>
      </c>
      <c r="B927" s="29" t="s">
        <v>1143</v>
      </c>
      <c r="C927" s="3"/>
      <c r="D927" s="3"/>
      <c r="E927" s="3"/>
      <c r="F927" s="3"/>
      <c r="G927" s="3"/>
      <c r="H927" s="3"/>
      <c r="I927" s="3"/>
      <c r="J927" s="3"/>
      <c r="K927" s="3"/>
      <c r="L927" s="3"/>
      <c r="M927" s="3"/>
      <c r="N927" s="3"/>
      <c r="O927" s="3"/>
      <c r="P927" s="3"/>
      <c r="Q927" s="3"/>
      <c r="R927" s="3"/>
      <c r="S927" s="3"/>
      <c r="T927" s="3"/>
      <c r="U927" s="3"/>
      <c r="V927" s="3"/>
      <c r="W927" s="3"/>
      <c r="X927" s="3"/>
      <c r="Y927" s="3"/>
      <c r="Z927" s="3"/>
    </row>
    <row r="928" hidden="1">
      <c r="A928" s="27" t="s">
        <v>3170</v>
      </c>
      <c r="B928" s="29" t="s">
        <v>1145</v>
      </c>
      <c r="C928" s="3"/>
      <c r="D928" s="3"/>
      <c r="E928" s="3"/>
      <c r="F928" s="3"/>
      <c r="G928" s="3"/>
      <c r="H928" s="3"/>
      <c r="I928" s="3"/>
      <c r="J928" s="3"/>
      <c r="K928" s="3"/>
      <c r="L928" s="3"/>
      <c r="M928" s="3"/>
      <c r="N928" s="3"/>
      <c r="O928" s="3"/>
      <c r="P928" s="3"/>
      <c r="Q928" s="3"/>
      <c r="R928" s="3"/>
      <c r="S928" s="3"/>
      <c r="T928" s="3"/>
      <c r="U928" s="3"/>
      <c r="V928" s="3"/>
      <c r="W928" s="3"/>
      <c r="X928" s="3"/>
      <c r="Y928" s="3"/>
      <c r="Z928" s="3"/>
    </row>
    <row r="929" hidden="1">
      <c r="A929" s="27" t="s">
        <v>3171</v>
      </c>
      <c r="B929" s="29" t="s">
        <v>1146</v>
      </c>
      <c r="C929" s="3"/>
      <c r="D929" s="3"/>
      <c r="E929" s="3"/>
      <c r="F929" s="3"/>
      <c r="G929" s="3"/>
      <c r="H929" s="3"/>
      <c r="I929" s="3"/>
      <c r="J929" s="3"/>
      <c r="K929" s="3"/>
      <c r="L929" s="3"/>
      <c r="M929" s="3"/>
      <c r="N929" s="3"/>
      <c r="O929" s="3"/>
      <c r="P929" s="3"/>
      <c r="Q929" s="3"/>
      <c r="R929" s="3"/>
      <c r="S929" s="3"/>
      <c r="T929" s="3"/>
      <c r="U929" s="3"/>
      <c r="V929" s="3"/>
      <c r="W929" s="3"/>
      <c r="X929" s="3"/>
      <c r="Y929" s="3"/>
      <c r="Z929" s="3"/>
    </row>
    <row r="930" hidden="1">
      <c r="A930" s="27" t="s">
        <v>3172</v>
      </c>
      <c r="B930" s="29" t="s">
        <v>1147</v>
      </c>
      <c r="C930" s="3"/>
      <c r="D930" s="3"/>
      <c r="E930" s="3"/>
      <c r="F930" s="3"/>
      <c r="G930" s="3"/>
      <c r="H930" s="3"/>
      <c r="I930" s="3"/>
      <c r="J930" s="3"/>
      <c r="K930" s="3"/>
      <c r="L930" s="3"/>
      <c r="M930" s="3"/>
      <c r="N930" s="3"/>
      <c r="O930" s="3"/>
      <c r="P930" s="3"/>
      <c r="Q930" s="3"/>
      <c r="R930" s="3"/>
      <c r="S930" s="3"/>
      <c r="T930" s="3"/>
      <c r="U930" s="3"/>
      <c r="V930" s="3"/>
      <c r="W930" s="3"/>
      <c r="X930" s="3"/>
      <c r="Y930" s="3"/>
      <c r="Z930" s="3"/>
    </row>
    <row r="931" hidden="1">
      <c r="A931" s="27" t="s">
        <v>3173</v>
      </c>
      <c r="B931" s="29" t="s">
        <v>1148</v>
      </c>
      <c r="C931" s="3"/>
      <c r="D931" s="3"/>
      <c r="E931" s="3"/>
      <c r="F931" s="3"/>
      <c r="G931" s="3"/>
      <c r="H931" s="3"/>
      <c r="I931" s="3"/>
      <c r="J931" s="3"/>
      <c r="K931" s="3"/>
      <c r="L931" s="3"/>
      <c r="M931" s="3"/>
      <c r="N931" s="3"/>
      <c r="O931" s="3"/>
      <c r="P931" s="3"/>
      <c r="Q931" s="3"/>
      <c r="R931" s="3"/>
      <c r="S931" s="3"/>
      <c r="T931" s="3"/>
      <c r="U931" s="3"/>
      <c r="V931" s="3"/>
      <c r="W931" s="3"/>
      <c r="X931" s="3"/>
      <c r="Y931" s="3"/>
      <c r="Z931" s="3"/>
    </row>
    <row r="932" hidden="1">
      <c r="A932" s="27" t="s">
        <v>3174</v>
      </c>
      <c r="B932" s="29" t="s">
        <v>1149</v>
      </c>
      <c r="C932" s="3"/>
      <c r="D932" s="3"/>
      <c r="E932" s="3"/>
      <c r="F932" s="3"/>
      <c r="G932" s="3"/>
      <c r="H932" s="3"/>
      <c r="I932" s="3"/>
      <c r="J932" s="3"/>
      <c r="K932" s="3"/>
      <c r="L932" s="3"/>
      <c r="M932" s="3"/>
      <c r="N932" s="3"/>
      <c r="O932" s="3"/>
      <c r="P932" s="3"/>
      <c r="Q932" s="3"/>
      <c r="R932" s="3"/>
      <c r="S932" s="3"/>
      <c r="T932" s="3"/>
      <c r="U932" s="3"/>
      <c r="V932" s="3"/>
      <c r="W932" s="3"/>
      <c r="X932" s="3"/>
      <c r="Y932" s="3"/>
      <c r="Z932" s="3"/>
    </row>
    <row r="933" hidden="1">
      <c r="A933" s="27" t="s">
        <v>3175</v>
      </c>
      <c r="B933" s="29" t="s">
        <v>1150</v>
      </c>
      <c r="C933" s="3"/>
      <c r="D933" s="3"/>
      <c r="E933" s="3"/>
      <c r="F933" s="3"/>
      <c r="G933" s="3"/>
      <c r="H933" s="3"/>
      <c r="I933" s="3"/>
      <c r="J933" s="3"/>
      <c r="K933" s="3"/>
      <c r="L933" s="3"/>
      <c r="M933" s="3"/>
      <c r="N933" s="3"/>
      <c r="O933" s="3"/>
      <c r="P933" s="3"/>
      <c r="Q933" s="3"/>
      <c r="R933" s="3"/>
      <c r="S933" s="3"/>
      <c r="T933" s="3"/>
      <c r="U933" s="3"/>
      <c r="V933" s="3"/>
      <c r="W933" s="3"/>
      <c r="X933" s="3"/>
      <c r="Y933" s="3"/>
      <c r="Z933" s="3"/>
    </row>
    <row r="934" hidden="1">
      <c r="A934" s="27" t="s">
        <v>3176</v>
      </c>
      <c r="B934" s="29" t="s">
        <v>15</v>
      </c>
      <c r="C934" s="3"/>
      <c r="D934" s="3"/>
      <c r="E934" s="3"/>
      <c r="F934" s="3"/>
      <c r="G934" s="3"/>
      <c r="H934" s="3"/>
      <c r="I934" s="3"/>
      <c r="J934" s="3"/>
      <c r="K934" s="3"/>
      <c r="L934" s="3"/>
      <c r="M934" s="3"/>
      <c r="N934" s="3"/>
      <c r="O934" s="3"/>
      <c r="P934" s="3"/>
      <c r="Q934" s="3"/>
      <c r="R934" s="3"/>
      <c r="S934" s="3"/>
      <c r="T934" s="3"/>
      <c r="U934" s="3"/>
      <c r="V934" s="3"/>
      <c r="W934" s="3"/>
      <c r="X934" s="3"/>
      <c r="Y934" s="3"/>
      <c r="Z934" s="3"/>
    </row>
    <row r="935" hidden="1">
      <c r="A935" s="27" t="s">
        <v>3177</v>
      </c>
      <c r="B935" s="29" t="s">
        <v>1152</v>
      </c>
      <c r="C935" s="3"/>
      <c r="D935" s="3"/>
      <c r="E935" s="3"/>
      <c r="F935" s="3"/>
      <c r="G935" s="3"/>
      <c r="H935" s="3"/>
      <c r="I935" s="3"/>
      <c r="J935" s="3"/>
      <c r="K935" s="3"/>
      <c r="L935" s="3"/>
      <c r="M935" s="3"/>
      <c r="N935" s="3"/>
      <c r="O935" s="3"/>
      <c r="P935" s="3"/>
      <c r="Q935" s="3"/>
      <c r="R935" s="3"/>
      <c r="S935" s="3"/>
      <c r="T935" s="3"/>
      <c r="U935" s="3"/>
      <c r="V935" s="3"/>
      <c r="W935" s="3"/>
      <c r="X935" s="3"/>
      <c r="Y935" s="3"/>
      <c r="Z935" s="3"/>
    </row>
    <row r="936" hidden="1">
      <c r="A936" s="27" t="s">
        <v>3178</v>
      </c>
      <c r="B936" s="29" t="s">
        <v>1153</v>
      </c>
      <c r="C936" s="3"/>
      <c r="D936" s="3"/>
      <c r="E936" s="3"/>
      <c r="F936" s="3"/>
      <c r="G936" s="3"/>
      <c r="H936" s="3"/>
      <c r="I936" s="3"/>
      <c r="J936" s="3"/>
      <c r="K936" s="3"/>
      <c r="L936" s="3"/>
      <c r="M936" s="3"/>
      <c r="N936" s="3"/>
      <c r="O936" s="3"/>
      <c r="P936" s="3"/>
      <c r="Q936" s="3"/>
      <c r="R936" s="3"/>
      <c r="S936" s="3"/>
      <c r="T936" s="3"/>
      <c r="U936" s="3"/>
      <c r="V936" s="3"/>
      <c r="W936" s="3"/>
      <c r="X936" s="3"/>
      <c r="Y936" s="3"/>
      <c r="Z936" s="3"/>
    </row>
    <row r="937" hidden="1">
      <c r="A937" s="27" t="s">
        <v>3179</v>
      </c>
      <c r="B937" s="29" t="s">
        <v>1154</v>
      </c>
      <c r="C937" s="3"/>
      <c r="D937" s="3"/>
      <c r="E937" s="3"/>
      <c r="F937" s="3"/>
      <c r="G937" s="3"/>
      <c r="H937" s="3"/>
      <c r="I937" s="3"/>
      <c r="J937" s="3"/>
      <c r="K937" s="3"/>
      <c r="L937" s="3"/>
      <c r="M937" s="3"/>
      <c r="N937" s="3"/>
      <c r="O937" s="3"/>
      <c r="P937" s="3"/>
      <c r="Q937" s="3"/>
      <c r="R937" s="3"/>
      <c r="S937" s="3"/>
      <c r="T937" s="3"/>
      <c r="U937" s="3"/>
      <c r="V937" s="3"/>
      <c r="W937" s="3"/>
      <c r="X937" s="3"/>
      <c r="Y937" s="3"/>
      <c r="Z937" s="3"/>
    </row>
    <row r="938" hidden="1">
      <c r="A938" s="27" t="s">
        <v>3180</v>
      </c>
      <c r="B938" s="29" t="s">
        <v>1155</v>
      </c>
      <c r="C938" s="3"/>
      <c r="D938" s="3"/>
      <c r="E938" s="3"/>
      <c r="F938" s="3"/>
      <c r="G938" s="3"/>
      <c r="H938" s="3"/>
      <c r="I938" s="3"/>
      <c r="J938" s="3"/>
      <c r="K938" s="3"/>
      <c r="L938" s="3"/>
      <c r="M938" s="3"/>
      <c r="N938" s="3"/>
      <c r="O938" s="3"/>
      <c r="P938" s="3"/>
      <c r="Q938" s="3"/>
      <c r="R938" s="3"/>
      <c r="S938" s="3"/>
      <c r="T938" s="3"/>
      <c r="U938" s="3"/>
      <c r="V938" s="3"/>
      <c r="W938" s="3"/>
      <c r="X938" s="3"/>
      <c r="Y938" s="3"/>
      <c r="Z938" s="3"/>
    </row>
    <row r="939" hidden="1">
      <c r="A939" s="27" t="s">
        <v>3181</v>
      </c>
      <c r="B939" s="29" t="s">
        <v>1156</v>
      </c>
      <c r="C939" s="3"/>
      <c r="D939" s="3"/>
      <c r="E939" s="3"/>
      <c r="F939" s="3"/>
      <c r="G939" s="3"/>
      <c r="H939" s="3"/>
      <c r="I939" s="3"/>
      <c r="J939" s="3"/>
      <c r="K939" s="3"/>
      <c r="L939" s="3"/>
      <c r="M939" s="3"/>
      <c r="N939" s="3"/>
      <c r="O939" s="3"/>
      <c r="P939" s="3"/>
      <c r="Q939" s="3"/>
      <c r="R939" s="3"/>
      <c r="S939" s="3"/>
      <c r="T939" s="3"/>
      <c r="U939" s="3"/>
      <c r="V939" s="3"/>
      <c r="W939" s="3"/>
      <c r="X939" s="3"/>
      <c r="Y939" s="3"/>
      <c r="Z939" s="3"/>
    </row>
    <row r="940" hidden="1">
      <c r="A940" s="27" t="s">
        <v>3182</v>
      </c>
      <c r="B940" s="29" t="s">
        <v>1157</v>
      </c>
      <c r="C940" s="3"/>
      <c r="D940" s="3"/>
      <c r="E940" s="3"/>
      <c r="F940" s="3"/>
      <c r="G940" s="3"/>
      <c r="H940" s="3"/>
      <c r="I940" s="3"/>
      <c r="J940" s="3"/>
      <c r="K940" s="3"/>
      <c r="L940" s="3"/>
      <c r="M940" s="3"/>
      <c r="N940" s="3"/>
      <c r="O940" s="3"/>
      <c r="P940" s="3"/>
      <c r="Q940" s="3"/>
      <c r="R940" s="3"/>
      <c r="S940" s="3"/>
      <c r="T940" s="3"/>
      <c r="U940" s="3"/>
      <c r="V940" s="3"/>
      <c r="W940" s="3"/>
      <c r="X940" s="3"/>
      <c r="Y940" s="3"/>
      <c r="Z940" s="3"/>
    </row>
    <row r="941" hidden="1">
      <c r="A941" s="27" t="s">
        <v>3183</v>
      </c>
      <c r="B941" s="29" t="s">
        <v>1159</v>
      </c>
      <c r="C941" s="3"/>
      <c r="D941" s="3"/>
      <c r="E941" s="3"/>
      <c r="F941" s="3"/>
      <c r="G941" s="3"/>
      <c r="H941" s="3"/>
      <c r="I941" s="3"/>
      <c r="J941" s="3"/>
      <c r="K941" s="3"/>
      <c r="L941" s="3"/>
      <c r="M941" s="3"/>
      <c r="N941" s="3"/>
      <c r="O941" s="3"/>
      <c r="P941" s="3"/>
      <c r="Q941" s="3"/>
      <c r="R941" s="3"/>
      <c r="S941" s="3"/>
      <c r="T941" s="3"/>
      <c r="U941" s="3"/>
      <c r="V941" s="3"/>
      <c r="W941" s="3"/>
      <c r="X941" s="3"/>
      <c r="Y941" s="3"/>
      <c r="Z941" s="3"/>
    </row>
    <row r="942" hidden="1">
      <c r="A942" s="27" t="s">
        <v>3184</v>
      </c>
      <c r="B942" s="29" t="s">
        <v>1160</v>
      </c>
      <c r="C942" s="3"/>
      <c r="D942" s="3"/>
      <c r="E942" s="3"/>
      <c r="F942" s="3"/>
      <c r="G942" s="3"/>
      <c r="H942" s="3"/>
      <c r="I942" s="3"/>
      <c r="J942" s="3"/>
      <c r="K942" s="3"/>
      <c r="L942" s="3"/>
      <c r="M942" s="3"/>
      <c r="N942" s="3"/>
      <c r="O942" s="3"/>
      <c r="P942" s="3"/>
      <c r="Q942" s="3"/>
      <c r="R942" s="3"/>
      <c r="S942" s="3"/>
      <c r="T942" s="3"/>
      <c r="U942" s="3"/>
      <c r="V942" s="3"/>
      <c r="W942" s="3"/>
      <c r="X942" s="3"/>
      <c r="Y942" s="3"/>
      <c r="Z942" s="3"/>
    </row>
    <row r="943" hidden="1">
      <c r="A943" s="27" t="s">
        <v>3185</v>
      </c>
      <c r="B943" s="29" t="s">
        <v>1161</v>
      </c>
      <c r="C943" s="3"/>
      <c r="D943" s="3"/>
      <c r="E943" s="3"/>
      <c r="F943" s="3"/>
      <c r="G943" s="3"/>
      <c r="H943" s="3"/>
      <c r="I943" s="3"/>
      <c r="J943" s="3"/>
      <c r="K943" s="3"/>
      <c r="L943" s="3"/>
      <c r="M943" s="3"/>
      <c r="N943" s="3"/>
      <c r="O943" s="3"/>
      <c r="P943" s="3"/>
      <c r="Q943" s="3"/>
      <c r="R943" s="3"/>
      <c r="S943" s="3"/>
      <c r="T943" s="3"/>
      <c r="U943" s="3"/>
      <c r="V943" s="3"/>
      <c r="W943" s="3"/>
      <c r="X943" s="3"/>
      <c r="Y943" s="3"/>
      <c r="Z943" s="3"/>
    </row>
    <row r="944" hidden="1">
      <c r="A944" s="27" t="s">
        <v>3186</v>
      </c>
      <c r="B944" s="29" t="s">
        <v>1162</v>
      </c>
      <c r="C944" s="3"/>
      <c r="D944" s="3"/>
      <c r="E944" s="3"/>
      <c r="F944" s="3"/>
      <c r="G944" s="3"/>
      <c r="H944" s="3"/>
      <c r="I944" s="3"/>
      <c r="J944" s="3"/>
      <c r="K944" s="3"/>
      <c r="L944" s="3"/>
      <c r="M944" s="3"/>
      <c r="N944" s="3"/>
      <c r="O944" s="3"/>
      <c r="P944" s="3"/>
      <c r="Q944" s="3"/>
      <c r="R944" s="3"/>
      <c r="S944" s="3"/>
      <c r="T944" s="3"/>
      <c r="U944" s="3"/>
      <c r="V944" s="3"/>
      <c r="W944" s="3"/>
      <c r="X944" s="3"/>
      <c r="Y944" s="3"/>
      <c r="Z944" s="3"/>
    </row>
    <row r="945" hidden="1">
      <c r="A945" s="27" t="s">
        <v>3187</v>
      </c>
      <c r="B945" s="29" t="s">
        <v>1163</v>
      </c>
      <c r="C945" s="3"/>
      <c r="D945" s="3"/>
      <c r="E945" s="3"/>
      <c r="F945" s="3"/>
      <c r="G945" s="3"/>
      <c r="H945" s="3"/>
      <c r="I945" s="3"/>
      <c r="J945" s="3"/>
      <c r="K945" s="3"/>
      <c r="L945" s="3"/>
      <c r="M945" s="3"/>
      <c r="N945" s="3"/>
      <c r="O945" s="3"/>
      <c r="P945" s="3"/>
      <c r="Q945" s="3"/>
      <c r="R945" s="3"/>
      <c r="S945" s="3"/>
      <c r="T945" s="3"/>
      <c r="U945" s="3"/>
      <c r="V945" s="3"/>
      <c r="W945" s="3"/>
      <c r="X945" s="3"/>
      <c r="Y945" s="3"/>
      <c r="Z945" s="3"/>
    </row>
    <row r="946" hidden="1">
      <c r="A946" s="27" t="s">
        <v>3188</v>
      </c>
      <c r="B946" s="29" t="s">
        <v>1164</v>
      </c>
      <c r="C946" s="3"/>
      <c r="D946" s="3"/>
      <c r="E946" s="3"/>
      <c r="F946" s="3"/>
      <c r="G946" s="3"/>
      <c r="H946" s="3"/>
      <c r="I946" s="3"/>
      <c r="J946" s="3"/>
      <c r="K946" s="3"/>
      <c r="L946" s="3"/>
      <c r="M946" s="3"/>
      <c r="N946" s="3"/>
      <c r="O946" s="3"/>
      <c r="P946" s="3"/>
      <c r="Q946" s="3"/>
      <c r="R946" s="3"/>
      <c r="S946" s="3"/>
      <c r="T946" s="3"/>
      <c r="U946" s="3"/>
      <c r="V946" s="3"/>
      <c r="W946" s="3"/>
      <c r="X946" s="3"/>
      <c r="Y946" s="3"/>
      <c r="Z946" s="3"/>
    </row>
    <row r="947" hidden="1">
      <c r="A947" s="27" t="s">
        <v>3189</v>
      </c>
      <c r="B947" s="29" t="s">
        <v>1165</v>
      </c>
      <c r="C947" s="3"/>
      <c r="D947" s="3"/>
      <c r="E947" s="3"/>
      <c r="F947" s="3"/>
      <c r="G947" s="3"/>
      <c r="H947" s="3"/>
      <c r="I947" s="3"/>
      <c r="J947" s="3"/>
      <c r="K947" s="3"/>
      <c r="L947" s="3"/>
      <c r="M947" s="3"/>
      <c r="N947" s="3"/>
      <c r="O947" s="3"/>
      <c r="P947" s="3"/>
      <c r="Q947" s="3"/>
      <c r="R947" s="3"/>
      <c r="S947" s="3"/>
      <c r="T947" s="3"/>
      <c r="U947" s="3"/>
      <c r="V947" s="3"/>
      <c r="W947" s="3"/>
      <c r="X947" s="3"/>
      <c r="Y947" s="3"/>
      <c r="Z947" s="3"/>
    </row>
    <row r="948" hidden="1">
      <c r="A948" s="27" t="s">
        <v>3190</v>
      </c>
      <c r="B948" s="29" t="s">
        <v>1166</v>
      </c>
      <c r="C948" s="3"/>
      <c r="D948" s="3"/>
      <c r="E948" s="3"/>
      <c r="F948" s="3"/>
      <c r="G948" s="3"/>
      <c r="H948" s="3"/>
      <c r="I948" s="3"/>
      <c r="J948" s="3"/>
      <c r="K948" s="3"/>
      <c r="L948" s="3"/>
      <c r="M948" s="3"/>
      <c r="N948" s="3"/>
      <c r="O948" s="3"/>
      <c r="P948" s="3"/>
      <c r="Q948" s="3"/>
      <c r="R948" s="3"/>
      <c r="S948" s="3"/>
      <c r="T948" s="3"/>
      <c r="U948" s="3"/>
      <c r="V948" s="3"/>
      <c r="W948" s="3"/>
      <c r="X948" s="3"/>
      <c r="Y948" s="3"/>
      <c r="Z948" s="3"/>
    </row>
    <row r="949" hidden="1">
      <c r="A949" s="27" t="s">
        <v>3191</v>
      </c>
      <c r="B949" s="29" t="s">
        <v>1168</v>
      </c>
      <c r="C949" s="3"/>
      <c r="D949" s="3"/>
      <c r="E949" s="3"/>
      <c r="F949" s="3"/>
      <c r="G949" s="3"/>
      <c r="H949" s="3"/>
      <c r="I949" s="3"/>
      <c r="J949" s="3"/>
      <c r="K949" s="3"/>
      <c r="L949" s="3"/>
      <c r="M949" s="3"/>
      <c r="N949" s="3"/>
      <c r="O949" s="3"/>
      <c r="P949" s="3"/>
      <c r="Q949" s="3"/>
      <c r="R949" s="3"/>
      <c r="S949" s="3"/>
      <c r="T949" s="3"/>
      <c r="U949" s="3"/>
      <c r="V949" s="3"/>
      <c r="W949" s="3"/>
      <c r="X949" s="3"/>
      <c r="Y949" s="3"/>
      <c r="Z949" s="3"/>
    </row>
    <row r="950" hidden="1">
      <c r="A950" s="27" t="s">
        <v>3192</v>
      </c>
      <c r="B950" s="29" t="s">
        <v>1169</v>
      </c>
      <c r="C950" s="3"/>
      <c r="D950" s="3"/>
      <c r="E950" s="3"/>
      <c r="F950" s="3"/>
      <c r="G950" s="3"/>
      <c r="H950" s="3"/>
      <c r="I950" s="3"/>
      <c r="J950" s="3"/>
      <c r="K950" s="3"/>
      <c r="L950" s="3"/>
      <c r="M950" s="3"/>
      <c r="N950" s="3"/>
      <c r="O950" s="3"/>
      <c r="P950" s="3"/>
      <c r="Q950" s="3"/>
      <c r="R950" s="3"/>
      <c r="S950" s="3"/>
      <c r="T950" s="3"/>
      <c r="U950" s="3"/>
      <c r="V950" s="3"/>
      <c r="W950" s="3"/>
      <c r="X950" s="3"/>
      <c r="Y950" s="3"/>
      <c r="Z950" s="3"/>
    </row>
    <row r="951" hidden="1">
      <c r="A951" s="27" t="s">
        <v>3193</v>
      </c>
      <c r="B951" s="29" t="s">
        <v>1170</v>
      </c>
      <c r="C951" s="3"/>
      <c r="D951" s="3"/>
      <c r="E951" s="3"/>
      <c r="F951" s="3"/>
      <c r="G951" s="3"/>
      <c r="H951" s="3"/>
      <c r="I951" s="3"/>
      <c r="J951" s="3"/>
      <c r="K951" s="3"/>
      <c r="L951" s="3"/>
      <c r="M951" s="3"/>
      <c r="N951" s="3"/>
      <c r="O951" s="3"/>
      <c r="P951" s="3"/>
      <c r="Q951" s="3"/>
      <c r="R951" s="3"/>
      <c r="S951" s="3"/>
      <c r="T951" s="3"/>
      <c r="U951" s="3"/>
      <c r="V951" s="3"/>
      <c r="W951" s="3"/>
      <c r="X951" s="3"/>
      <c r="Y951" s="3"/>
      <c r="Z951" s="3"/>
    </row>
    <row r="952" hidden="1">
      <c r="A952" s="27" t="s">
        <v>3194</v>
      </c>
      <c r="B952" s="29" t="s">
        <v>1171</v>
      </c>
      <c r="C952" s="3"/>
      <c r="D952" s="3"/>
      <c r="E952" s="3"/>
      <c r="F952" s="3"/>
      <c r="G952" s="3"/>
      <c r="H952" s="3"/>
      <c r="I952" s="3"/>
      <c r="J952" s="3"/>
      <c r="K952" s="3"/>
      <c r="L952" s="3"/>
      <c r="M952" s="3"/>
      <c r="N952" s="3"/>
      <c r="O952" s="3"/>
      <c r="P952" s="3"/>
      <c r="Q952" s="3"/>
      <c r="R952" s="3"/>
      <c r="S952" s="3"/>
      <c r="T952" s="3"/>
      <c r="U952" s="3"/>
      <c r="V952" s="3"/>
      <c r="W952" s="3"/>
      <c r="X952" s="3"/>
      <c r="Y952" s="3"/>
      <c r="Z952" s="3"/>
    </row>
    <row r="953" hidden="1">
      <c r="A953" s="27" t="s">
        <v>3195</v>
      </c>
      <c r="B953" s="29" t="s">
        <v>1172</v>
      </c>
      <c r="C953" s="3"/>
      <c r="D953" s="3"/>
      <c r="E953" s="3"/>
      <c r="F953" s="3"/>
      <c r="G953" s="3"/>
      <c r="H953" s="3"/>
      <c r="I953" s="3"/>
      <c r="J953" s="3"/>
      <c r="K953" s="3"/>
      <c r="L953" s="3"/>
      <c r="M953" s="3"/>
      <c r="N953" s="3"/>
      <c r="O953" s="3"/>
      <c r="P953" s="3"/>
      <c r="Q953" s="3"/>
      <c r="R953" s="3"/>
      <c r="S953" s="3"/>
      <c r="T953" s="3"/>
      <c r="U953" s="3"/>
      <c r="V953" s="3"/>
      <c r="W953" s="3"/>
      <c r="X953" s="3"/>
      <c r="Y953" s="3"/>
      <c r="Z953" s="3"/>
    </row>
    <row r="954" hidden="1">
      <c r="A954" s="27" t="s">
        <v>3196</v>
      </c>
      <c r="B954" s="29" t="s">
        <v>1173</v>
      </c>
      <c r="C954" s="3"/>
      <c r="D954" s="3"/>
      <c r="E954" s="3"/>
      <c r="F954" s="3"/>
      <c r="G954" s="3"/>
      <c r="H954" s="3"/>
      <c r="I954" s="3"/>
      <c r="J954" s="3"/>
      <c r="K954" s="3"/>
      <c r="L954" s="3"/>
      <c r="M954" s="3"/>
      <c r="N954" s="3"/>
      <c r="O954" s="3"/>
      <c r="P954" s="3"/>
      <c r="Q954" s="3"/>
      <c r="R954" s="3"/>
      <c r="S954" s="3"/>
      <c r="T954" s="3"/>
      <c r="U954" s="3"/>
      <c r="V954" s="3"/>
      <c r="W954" s="3"/>
      <c r="X954" s="3"/>
      <c r="Y954" s="3"/>
      <c r="Z954" s="3"/>
    </row>
    <row r="955" hidden="1">
      <c r="A955" s="27" t="s">
        <v>3197</v>
      </c>
      <c r="B955" s="29" t="s">
        <v>1174</v>
      </c>
      <c r="C955" s="3"/>
      <c r="D955" s="3"/>
      <c r="E955" s="3"/>
      <c r="F955" s="3"/>
      <c r="G955" s="3"/>
      <c r="H955" s="3"/>
      <c r="I955" s="3"/>
      <c r="J955" s="3"/>
      <c r="K955" s="3"/>
      <c r="L955" s="3"/>
      <c r="M955" s="3"/>
      <c r="N955" s="3"/>
      <c r="O955" s="3"/>
      <c r="P955" s="3"/>
      <c r="Q955" s="3"/>
      <c r="R955" s="3"/>
      <c r="S955" s="3"/>
      <c r="T955" s="3"/>
      <c r="U955" s="3"/>
      <c r="V955" s="3"/>
      <c r="W955" s="3"/>
      <c r="X955" s="3"/>
      <c r="Y955" s="3"/>
      <c r="Z955" s="3"/>
    </row>
    <row r="956" hidden="1">
      <c r="A956" s="27" t="s">
        <v>3198</v>
      </c>
      <c r="B956" s="29" t="s">
        <v>1176</v>
      </c>
      <c r="C956" s="3"/>
      <c r="D956" s="3"/>
      <c r="E956" s="3"/>
      <c r="F956" s="3"/>
      <c r="G956" s="3"/>
      <c r="H956" s="3"/>
      <c r="I956" s="3"/>
      <c r="J956" s="3"/>
      <c r="K956" s="3"/>
      <c r="L956" s="3"/>
      <c r="M956" s="3"/>
      <c r="N956" s="3"/>
      <c r="O956" s="3"/>
      <c r="P956" s="3"/>
      <c r="Q956" s="3"/>
      <c r="R956" s="3"/>
      <c r="S956" s="3"/>
      <c r="T956" s="3"/>
      <c r="U956" s="3"/>
      <c r="V956" s="3"/>
      <c r="W956" s="3"/>
      <c r="X956" s="3"/>
      <c r="Y956" s="3"/>
      <c r="Z956" s="3"/>
    </row>
    <row r="957" hidden="1">
      <c r="A957" s="27" t="s">
        <v>3199</v>
      </c>
      <c r="B957" s="29" t="s">
        <v>1177</v>
      </c>
      <c r="C957" s="3"/>
      <c r="D957" s="3"/>
      <c r="E957" s="3"/>
      <c r="F957" s="3"/>
      <c r="G957" s="3"/>
      <c r="H957" s="3"/>
      <c r="I957" s="3"/>
      <c r="J957" s="3"/>
      <c r="K957" s="3"/>
      <c r="L957" s="3"/>
      <c r="M957" s="3"/>
      <c r="N957" s="3"/>
      <c r="O957" s="3"/>
      <c r="P957" s="3"/>
      <c r="Q957" s="3"/>
      <c r="R957" s="3"/>
      <c r="S957" s="3"/>
      <c r="T957" s="3"/>
      <c r="U957" s="3"/>
      <c r="V957" s="3"/>
      <c r="W957" s="3"/>
      <c r="X957" s="3"/>
      <c r="Y957" s="3"/>
      <c r="Z957" s="3"/>
    </row>
    <row r="958" hidden="1">
      <c r="A958" s="27" t="s">
        <v>3200</v>
      </c>
      <c r="B958" s="29" t="s">
        <v>1178</v>
      </c>
      <c r="C958" s="3"/>
      <c r="D958" s="3"/>
      <c r="E958" s="3"/>
      <c r="F958" s="3"/>
      <c r="G958" s="3"/>
      <c r="H958" s="3"/>
      <c r="I958" s="3"/>
      <c r="J958" s="3"/>
      <c r="K958" s="3"/>
      <c r="L958" s="3"/>
      <c r="M958" s="3"/>
      <c r="N958" s="3"/>
      <c r="O958" s="3"/>
      <c r="P958" s="3"/>
      <c r="Q958" s="3"/>
      <c r="R958" s="3"/>
      <c r="S958" s="3"/>
      <c r="T958" s="3"/>
      <c r="U958" s="3"/>
      <c r="V958" s="3"/>
      <c r="W958" s="3"/>
      <c r="X958" s="3"/>
      <c r="Y958" s="3"/>
      <c r="Z958" s="3"/>
    </row>
    <row r="959" hidden="1">
      <c r="A959" s="27" t="s">
        <v>3201</v>
      </c>
      <c r="B959" s="29" t="s">
        <v>1179</v>
      </c>
      <c r="C959" s="3"/>
      <c r="D959" s="3"/>
      <c r="E959" s="3"/>
      <c r="F959" s="3"/>
      <c r="G959" s="3"/>
      <c r="H959" s="3"/>
      <c r="I959" s="3"/>
      <c r="J959" s="3"/>
      <c r="K959" s="3"/>
      <c r="L959" s="3"/>
      <c r="M959" s="3"/>
      <c r="N959" s="3"/>
      <c r="O959" s="3"/>
      <c r="P959" s="3"/>
      <c r="Q959" s="3"/>
      <c r="R959" s="3"/>
      <c r="S959" s="3"/>
      <c r="T959" s="3"/>
      <c r="U959" s="3"/>
      <c r="V959" s="3"/>
      <c r="W959" s="3"/>
      <c r="X959" s="3"/>
      <c r="Y959" s="3"/>
      <c r="Z959" s="3"/>
    </row>
    <row r="960" hidden="1">
      <c r="A960" s="27" t="s">
        <v>3202</v>
      </c>
      <c r="B960" s="29" t="s">
        <v>1180</v>
      </c>
      <c r="C960" s="3"/>
      <c r="D960" s="3"/>
      <c r="E960" s="3"/>
      <c r="F960" s="3"/>
      <c r="G960" s="3"/>
      <c r="H960" s="3"/>
      <c r="I960" s="3"/>
      <c r="J960" s="3"/>
      <c r="K960" s="3"/>
      <c r="L960" s="3"/>
      <c r="M960" s="3"/>
      <c r="N960" s="3"/>
      <c r="O960" s="3"/>
      <c r="P960" s="3"/>
      <c r="Q960" s="3"/>
      <c r="R960" s="3"/>
      <c r="S960" s="3"/>
      <c r="T960" s="3"/>
      <c r="U960" s="3"/>
      <c r="V960" s="3"/>
      <c r="W960" s="3"/>
      <c r="X960" s="3"/>
      <c r="Y960" s="3"/>
      <c r="Z960" s="3"/>
    </row>
    <row r="961" hidden="1">
      <c r="A961" s="27" t="s">
        <v>3203</v>
      </c>
      <c r="B961" s="29" t="s">
        <v>1181</v>
      </c>
      <c r="C961" s="3"/>
      <c r="D961" s="3"/>
      <c r="E961" s="3"/>
      <c r="F961" s="3"/>
      <c r="G961" s="3"/>
      <c r="H961" s="3"/>
      <c r="I961" s="3"/>
      <c r="J961" s="3"/>
      <c r="K961" s="3"/>
      <c r="L961" s="3"/>
      <c r="M961" s="3"/>
      <c r="N961" s="3"/>
      <c r="O961" s="3"/>
      <c r="P961" s="3"/>
      <c r="Q961" s="3"/>
      <c r="R961" s="3"/>
      <c r="S961" s="3"/>
      <c r="T961" s="3"/>
      <c r="U961" s="3"/>
      <c r="V961" s="3"/>
      <c r="W961" s="3"/>
      <c r="X961" s="3"/>
      <c r="Y961" s="3"/>
      <c r="Z961" s="3"/>
    </row>
    <row r="962" hidden="1">
      <c r="A962" s="27" t="s">
        <v>3204</v>
      </c>
      <c r="B962" s="29" t="s">
        <v>1182</v>
      </c>
      <c r="C962" s="3"/>
      <c r="D962" s="3"/>
      <c r="E962" s="3"/>
      <c r="F962" s="3"/>
      <c r="G962" s="3"/>
      <c r="H962" s="3"/>
      <c r="I962" s="3"/>
      <c r="J962" s="3"/>
      <c r="K962" s="3"/>
      <c r="L962" s="3"/>
      <c r="M962" s="3"/>
      <c r="N962" s="3"/>
      <c r="O962" s="3"/>
      <c r="P962" s="3"/>
      <c r="Q962" s="3"/>
      <c r="R962" s="3"/>
      <c r="S962" s="3"/>
      <c r="T962" s="3"/>
      <c r="U962" s="3"/>
      <c r="V962" s="3"/>
      <c r="W962" s="3"/>
      <c r="X962" s="3"/>
      <c r="Y962" s="3"/>
      <c r="Z962" s="3"/>
    </row>
    <row r="963" hidden="1">
      <c r="A963" s="27" t="s">
        <v>3205</v>
      </c>
      <c r="B963" s="29" t="s">
        <v>1184</v>
      </c>
      <c r="C963" s="3"/>
      <c r="D963" s="3"/>
      <c r="E963" s="3"/>
      <c r="F963" s="3"/>
      <c r="G963" s="3"/>
      <c r="H963" s="3"/>
      <c r="I963" s="3"/>
      <c r="J963" s="3"/>
      <c r="K963" s="3"/>
      <c r="L963" s="3"/>
      <c r="M963" s="3"/>
      <c r="N963" s="3"/>
      <c r="O963" s="3"/>
      <c r="P963" s="3"/>
      <c r="Q963" s="3"/>
      <c r="R963" s="3"/>
      <c r="S963" s="3"/>
      <c r="T963" s="3"/>
      <c r="U963" s="3"/>
      <c r="V963" s="3"/>
      <c r="W963" s="3"/>
      <c r="X963" s="3"/>
      <c r="Y963" s="3"/>
      <c r="Z963" s="3"/>
    </row>
    <row r="964" hidden="1">
      <c r="A964" s="27" t="s">
        <v>3206</v>
      </c>
      <c r="B964" s="29" t="s">
        <v>1185</v>
      </c>
      <c r="C964" s="3"/>
      <c r="D964" s="3"/>
      <c r="E964" s="3"/>
      <c r="F964" s="3"/>
      <c r="G964" s="3"/>
      <c r="H964" s="3"/>
      <c r="I964" s="3"/>
      <c r="J964" s="3"/>
      <c r="K964" s="3"/>
      <c r="L964" s="3"/>
      <c r="M964" s="3"/>
      <c r="N964" s="3"/>
      <c r="O964" s="3"/>
      <c r="P964" s="3"/>
      <c r="Q964" s="3"/>
      <c r="R964" s="3"/>
      <c r="S964" s="3"/>
      <c r="T964" s="3"/>
      <c r="U964" s="3"/>
      <c r="V964" s="3"/>
      <c r="W964" s="3"/>
      <c r="X964" s="3"/>
      <c r="Y964" s="3"/>
      <c r="Z964" s="3"/>
    </row>
    <row r="965" hidden="1">
      <c r="A965" s="27" t="s">
        <v>3207</v>
      </c>
      <c r="B965" s="29" t="s">
        <v>1186</v>
      </c>
      <c r="C965" s="3"/>
      <c r="D965" s="3"/>
      <c r="E965" s="3"/>
      <c r="F965" s="3"/>
      <c r="G965" s="3"/>
      <c r="H965" s="3"/>
      <c r="I965" s="3"/>
      <c r="J965" s="3"/>
      <c r="K965" s="3"/>
      <c r="L965" s="3"/>
      <c r="M965" s="3"/>
      <c r="N965" s="3"/>
      <c r="O965" s="3"/>
      <c r="P965" s="3"/>
      <c r="Q965" s="3"/>
      <c r="R965" s="3"/>
      <c r="S965" s="3"/>
      <c r="T965" s="3"/>
      <c r="U965" s="3"/>
      <c r="V965" s="3"/>
      <c r="W965" s="3"/>
      <c r="X965" s="3"/>
      <c r="Y965" s="3"/>
      <c r="Z965" s="3"/>
    </row>
    <row r="966" hidden="1">
      <c r="A966" s="27" t="s">
        <v>3208</v>
      </c>
      <c r="B966" s="29" t="s">
        <v>1187</v>
      </c>
      <c r="C966" s="3"/>
      <c r="D966" s="3"/>
      <c r="E966" s="3"/>
      <c r="F966" s="3"/>
      <c r="G966" s="3"/>
      <c r="H966" s="3"/>
      <c r="I966" s="3"/>
      <c r="J966" s="3"/>
      <c r="K966" s="3"/>
      <c r="L966" s="3"/>
      <c r="M966" s="3"/>
      <c r="N966" s="3"/>
      <c r="O966" s="3"/>
      <c r="P966" s="3"/>
      <c r="Q966" s="3"/>
      <c r="R966" s="3"/>
      <c r="S966" s="3"/>
      <c r="T966" s="3"/>
      <c r="U966" s="3"/>
      <c r="V966" s="3"/>
      <c r="W966" s="3"/>
      <c r="X966" s="3"/>
      <c r="Y966" s="3"/>
      <c r="Z966" s="3"/>
    </row>
    <row r="967" hidden="1">
      <c r="A967" s="27" t="s">
        <v>3209</v>
      </c>
      <c r="B967" s="29" t="s">
        <v>1188</v>
      </c>
      <c r="C967" s="3"/>
      <c r="D967" s="3"/>
      <c r="E967" s="3"/>
      <c r="F967" s="3"/>
      <c r="G967" s="3"/>
      <c r="H967" s="3"/>
      <c r="I967" s="3"/>
      <c r="J967" s="3"/>
      <c r="K967" s="3"/>
      <c r="L967" s="3"/>
      <c r="M967" s="3"/>
      <c r="N967" s="3"/>
      <c r="O967" s="3"/>
      <c r="P967" s="3"/>
      <c r="Q967" s="3"/>
      <c r="R967" s="3"/>
      <c r="S967" s="3"/>
      <c r="T967" s="3"/>
      <c r="U967" s="3"/>
      <c r="V967" s="3"/>
      <c r="W967" s="3"/>
      <c r="X967" s="3"/>
      <c r="Y967" s="3"/>
      <c r="Z967" s="3"/>
    </row>
    <row r="968" hidden="1">
      <c r="A968" s="27" t="s">
        <v>3210</v>
      </c>
      <c r="B968" s="29" t="s">
        <v>1189</v>
      </c>
      <c r="C968" s="3"/>
      <c r="D968" s="3"/>
      <c r="E968" s="3"/>
      <c r="F968" s="3"/>
      <c r="G968" s="3"/>
      <c r="H968" s="3"/>
      <c r="I968" s="3"/>
      <c r="J968" s="3"/>
      <c r="K968" s="3"/>
      <c r="L968" s="3"/>
      <c r="M968" s="3"/>
      <c r="N968" s="3"/>
      <c r="O968" s="3"/>
      <c r="P968" s="3"/>
      <c r="Q968" s="3"/>
      <c r="R968" s="3"/>
      <c r="S968" s="3"/>
      <c r="T968" s="3"/>
      <c r="U968" s="3"/>
      <c r="V968" s="3"/>
      <c r="W968" s="3"/>
      <c r="X968" s="3"/>
      <c r="Y968" s="3"/>
      <c r="Z968" s="3"/>
    </row>
    <row r="969" hidden="1">
      <c r="A969" s="27" t="s">
        <v>3211</v>
      </c>
      <c r="B969" s="29" t="s">
        <v>1190</v>
      </c>
      <c r="C969" s="3"/>
      <c r="D969" s="3"/>
      <c r="E969" s="3"/>
      <c r="F969" s="3"/>
      <c r="G969" s="3"/>
      <c r="H969" s="3"/>
      <c r="I969" s="3"/>
      <c r="J969" s="3"/>
      <c r="K969" s="3"/>
      <c r="L969" s="3"/>
      <c r="M969" s="3"/>
      <c r="N969" s="3"/>
      <c r="O969" s="3"/>
      <c r="P969" s="3"/>
      <c r="Q969" s="3"/>
      <c r="R969" s="3"/>
      <c r="S969" s="3"/>
      <c r="T969" s="3"/>
      <c r="U969" s="3"/>
      <c r="V969" s="3"/>
      <c r="W969" s="3"/>
      <c r="X969" s="3"/>
      <c r="Y969" s="3"/>
      <c r="Z969" s="3"/>
    </row>
    <row r="970" hidden="1">
      <c r="A970" s="27" t="s">
        <v>3212</v>
      </c>
      <c r="B970" s="29" t="s">
        <v>1192</v>
      </c>
      <c r="C970" s="3"/>
      <c r="D970" s="3"/>
      <c r="E970" s="3"/>
      <c r="F970" s="3"/>
      <c r="G970" s="3"/>
      <c r="H970" s="3"/>
      <c r="I970" s="3"/>
      <c r="J970" s="3"/>
      <c r="K970" s="3"/>
      <c r="L970" s="3"/>
      <c r="M970" s="3"/>
      <c r="N970" s="3"/>
      <c r="O970" s="3"/>
      <c r="P970" s="3"/>
      <c r="Q970" s="3"/>
      <c r="R970" s="3"/>
      <c r="S970" s="3"/>
      <c r="T970" s="3"/>
      <c r="U970" s="3"/>
      <c r="V970" s="3"/>
      <c r="W970" s="3"/>
      <c r="X970" s="3"/>
      <c r="Y970" s="3"/>
      <c r="Z970" s="3"/>
    </row>
    <row r="971" hidden="1">
      <c r="A971" s="27" t="s">
        <v>3213</v>
      </c>
      <c r="B971" s="29" t="s">
        <v>1193</v>
      </c>
      <c r="C971" s="3"/>
      <c r="D971" s="3"/>
      <c r="E971" s="3"/>
      <c r="F971" s="3"/>
      <c r="G971" s="3"/>
      <c r="H971" s="3"/>
      <c r="I971" s="3"/>
      <c r="J971" s="3"/>
      <c r="K971" s="3"/>
      <c r="L971" s="3"/>
      <c r="M971" s="3"/>
      <c r="N971" s="3"/>
      <c r="O971" s="3"/>
      <c r="P971" s="3"/>
      <c r="Q971" s="3"/>
      <c r="R971" s="3"/>
      <c r="S971" s="3"/>
      <c r="T971" s="3"/>
      <c r="U971" s="3"/>
      <c r="V971" s="3"/>
      <c r="W971" s="3"/>
      <c r="X971" s="3"/>
      <c r="Y971" s="3"/>
      <c r="Z971" s="3"/>
    </row>
    <row r="972" hidden="1">
      <c r="A972" s="27" t="s">
        <v>3214</v>
      </c>
      <c r="B972" s="29" t="s">
        <v>1194</v>
      </c>
      <c r="C972" s="3"/>
      <c r="D972" s="3"/>
      <c r="E972" s="3"/>
      <c r="F972" s="3"/>
      <c r="G972" s="3"/>
      <c r="H972" s="3"/>
      <c r="I972" s="3"/>
      <c r="J972" s="3"/>
      <c r="K972" s="3"/>
      <c r="L972" s="3"/>
      <c r="M972" s="3"/>
      <c r="N972" s="3"/>
      <c r="O972" s="3"/>
      <c r="P972" s="3"/>
      <c r="Q972" s="3"/>
      <c r="R972" s="3"/>
      <c r="S972" s="3"/>
      <c r="T972" s="3"/>
      <c r="U972" s="3"/>
      <c r="V972" s="3"/>
      <c r="W972" s="3"/>
      <c r="X972" s="3"/>
      <c r="Y972" s="3"/>
      <c r="Z972" s="3"/>
    </row>
    <row r="973" hidden="1">
      <c r="A973" s="27" t="s">
        <v>3215</v>
      </c>
      <c r="B973" s="29" t="s">
        <v>1195</v>
      </c>
      <c r="C973" s="3"/>
      <c r="D973" s="3"/>
      <c r="E973" s="3"/>
      <c r="F973" s="3"/>
      <c r="G973" s="3"/>
      <c r="H973" s="3"/>
      <c r="I973" s="3"/>
      <c r="J973" s="3"/>
      <c r="K973" s="3"/>
      <c r="L973" s="3"/>
      <c r="M973" s="3"/>
      <c r="N973" s="3"/>
      <c r="O973" s="3"/>
      <c r="P973" s="3"/>
      <c r="Q973" s="3"/>
      <c r="R973" s="3"/>
      <c r="S973" s="3"/>
      <c r="T973" s="3"/>
      <c r="U973" s="3"/>
      <c r="V973" s="3"/>
      <c r="W973" s="3"/>
      <c r="X973" s="3"/>
      <c r="Y973" s="3"/>
      <c r="Z973" s="3"/>
    </row>
    <row r="974" hidden="1">
      <c r="A974" s="27" t="s">
        <v>3216</v>
      </c>
      <c r="B974" s="29" t="s">
        <v>1196</v>
      </c>
      <c r="C974" s="3"/>
      <c r="D974" s="3"/>
      <c r="E974" s="3"/>
      <c r="F974" s="3"/>
      <c r="G974" s="3"/>
      <c r="H974" s="3"/>
      <c r="I974" s="3"/>
      <c r="J974" s="3"/>
      <c r="K974" s="3"/>
      <c r="L974" s="3"/>
      <c r="M974" s="3"/>
      <c r="N974" s="3"/>
      <c r="O974" s="3"/>
      <c r="P974" s="3"/>
      <c r="Q974" s="3"/>
      <c r="R974" s="3"/>
      <c r="S974" s="3"/>
      <c r="T974" s="3"/>
      <c r="U974" s="3"/>
      <c r="V974" s="3"/>
      <c r="W974" s="3"/>
      <c r="X974" s="3"/>
      <c r="Y974" s="3"/>
      <c r="Z974" s="3"/>
    </row>
    <row r="975" hidden="1">
      <c r="A975" s="27" t="s">
        <v>3217</v>
      </c>
      <c r="B975" s="29" t="s">
        <v>1197</v>
      </c>
      <c r="C975" s="3"/>
      <c r="D975" s="3"/>
      <c r="E975" s="3"/>
      <c r="F975" s="3"/>
      <c r="G975" s="3"/>
      <c r="H975" s="3"/>
      <c r="I975" s="3"/>
      <c r="J975" s="3"/>
      <c r="K975" s="3"/>
      <c r="L975" s="3"/>
      <c r="M975" s="3"/>
      <c r="N975" s="3"/>
      <c r="O975" s="3"/>
      <c r="P975" s="3"/>
      <c r="Q975" s="3"/>
      <c r="R975" s="3"/>
      <c r="S975" s="3"/>
      <c r="T975" s="3"/>
      <c r="U975" s="3"/>
      <c r="V975" s="3"/>
      <c r="W975" s="3"/>
      <c r="X975" s="3"/>
      <c r="Y975" s="3"/>
      <c r="Z975" s="3"/>
    </row>
    <row r="976" hidden="1">
      <c r="A976" s="27" t="s">
        <v>3218</v>
      </c>
      <c r="B976" s="29" t="s">
        <v>1198</v>
      </c>
      <c r="C976" s="3"/>
      <c r="D976" s="3"/>
      <c r="E976" s="3"/>
      <c r="F976" s="3"/>
      <c r="G976" s="3"/>
      <c r="H976" s="3"/>
      <c r="I976" s="3"/>
      <c r="J976" s="3"/>
      <c r="K976" s="3"/>
      <c r="L976" s="3"/>
      <c r="M976" s="3"/>
      <c r="N976" s="3"/>
      <c r="O976" s="3"/>
      <c r="P976" s="3"/>
      <c r="Q976" s="3"/>
      <c r="R976" s="3"/>
      <c r="S976" s="3"/>
      <c r="T976" s="3"/>
      <c r="U976" s="3"/>
      <c r="V976" s="3"/>
      <c r="W976" s="3"/>
      <c r="X976" s="3"/>
      <c r="Y976" s="3"/>
      <c r="Z976" s="3"/>
    </row>
    <row r="977" hidden="1">
      <c r="A977" s="27" t="s">
        <v>3219</v>
      </c>
      <c r="B977" s="29" t="s">
        <v>1199</v>
      </c>
      <c r="C977" s="3"/>
      <c r="D977" s="3"/>
      <c r="E977" s="3"/>
      <c r="F977" s="3"/>
      <c r="G977" s="3"/>
      <c r="H977" s="3"/>
      <c r="I977" s="3"/>
      <c r="J977" s="3"/>
      <c r="K977" s="3"/>
      <c r="L977" s="3"/>
      <c r="M977" s="3"/>
      <c r="N977" s="3"/>
      <c r="O977" s="3"/>
      <c r="P977" s="3"/>
      <c r="Q977" s="3"/>
      <c r="R977" s="3"/>
      <c r="S977" s="3"/>
      <c r="T977" s="3"/>
      <c r="U977" s="3"/>
      <c r="V977" s="3"/>
      <c r="W977" s="3"/>
      <c r="X977" s="3"/>
      <c r="Y977" s="3"/>
      <c r="Z977" s="3"/>
    </row>
    <row r="978" hidden="1">
      <c r="A978" s="27" t="s">
        <v>3220</v>
      </c>
      <c r="B978" s="29" t="s">
        <v>1201</v>
      </c>
      <c r="C978" s="3"/>
      <c r="D978" s="3"/>
      <c r="E978" s="3"/>
      <c r="F978" s="3"/>
      <c r="G978" s="3"/>
      <c r="H978" s="3"/>
      <c r="I978" s="3"/>
      <c r="J978" s="3"/>
      <c r="K978" s="3"/>
      <c r="L978" s="3"/>
      <c r="M978" s="3"/>
      <c r="N978" s="3"/>
      <c r="O978" s="3"/>
      <c r="P978" s="3"/>
      <c r="Q978" s="3"/>
      <c r="R978" s="3"/>
      <c r="S978" s="3"/>
      <c r="T978" s="3"/>
      <c r="U978" s="3"/>
      <c r="V978" s="3"/>
      <c r="W978" s="3"/>
      <c r="X978" s="3"/>
      <c r="Y978" s="3"/>
      <c r="Z978" s="3"/>
    </row>
    <row r="979" hidden="1">
      <c r="A979" s="27" t="s">
        <v>3221</v>
      </c>
      <c r="B979" s="29" t="s">
        <v>1202</v>
      </c>
      <c r="C979" s="3"/>
      <c r="D979" s="3"/>
      <c r="E979" s="3"/>
      <c r="F979" s="3"/>
      <c r="G979" s="3"/>
      <c r="H979" s="3"/>
      <c r="I979" s="3"/>
      <c r="J979" s="3"/>
      <c r="K979" s="3"/>
      <c r="L979" s="3"/>
      <c r="M979" s="3"/>
      <c r="N979" s="3"/>
      <c r="O979" s="3"/>
      <c r="P979" s="3"/>
      <c r="Q979" s="3"/>
      <c r="R979" s="3"/>
      <c r="S979" s="3"/>
      <c r="T979" s="3"/>
      <c r="U979" s="3"/>
      <c r="V979" s="3"/>
      <c r="W979" s="3"/>
      <c r="X979" s="3"/>
      <c r="Y979" s="3"/>
      <c r="Z979" s="3"/>
    </row>
    <row r="980" hidden="1">
      <c r="A980" s="27" t="s">
        <v>3222</v>
      </c>
      <c r="B980" s="29" t="s">
        <v>1203</v>
      </c>
      <c r="C980" s="3"/>
      <c r="D980" s="3"/>
      <c r="E980" s="3"/>
      <c r="F980" s="3"/>
      <c r="G980" s="3"/>
      <c r="H980" s="3"/>
      <c r="I980" s="3"/>
      <c r="J980" s="3"/>
      <c r="K980" s="3"/>
      <c r="L980" s="3"/>
      <c r="M980" s="3"/>
      <c r="N980" s="3"/>
      <c r="O980" s="3"/>
      <c r="P980" s="3"/>
      <c r="Q980" s="3"/>
      <c r="R980" s="3"/>
      <c r="S980" s="3"/>
      <c r="T980" s="3"/>
      <c r="U980" s="3"/>
      <c r="V980" s="3"/>
      <c r="W980" s="3"/>
      <c r="X980" s="3"/>
      <c r="Y980" s="3"/>
      <c r="Z980" s="3"/>
    </row>
    <row r="981" hidden="1">
      <c r="A981" s="27" t="s">
        <v>3223</v>
      </c>
      <c r="B981" s="29" t="s">
        <v>1204</v>
      </c>
      <c r="C981" s="3"/>
      <c r="D981" s="3"/>
      <c r="E981" s="3"/>
      <c r="F981" s="3"/>
      <c r="G981" s="3"/>
      <c r="H981" s="3"/>
      <c r="I981" s="3"/>
      <c r="J981" s="3"/>
      <c r="K981" s="3"/>
      <c r="L981" s="3"/>
      <c r="M981" s="3"/>
      <c r="N981" s="3"/>
      <c r="O981" s="3"/>
      <c r="P981" s="3"/>
      <c r="Q981" s="3"/>
      <c r="R981" s="3"/>
      <c r="S981" s="3"/>
      <c r="T981" s="3"/>
      <c r="U981" s="3"/>
      <c r="V981" s="3"/>
      <c r="W981" s="3"/>
      <c r="X981" s="3"/>
      <c r="Y981" s="3"/>
      <c r="Z981" s="3"/>
    </row>
    <row r="982" hidden="1">
      <c r="A982" s="27" t="s">
        <v>3224</v>
      </c>
      <c r="B982" s="29" t="s">
        <v>1205</v>
      </c>
      <c r="C982" s="3"/>
      <c r="D982" s="3"/>
      <c r="E982" s="3"/>
      <c r="F982" s="3"/>
      <c r="G982" s="3"/>
      <c r="H982" s="3"/>
      <c r="I982" s="3"/>
      <c r="J982" s="3"/>
      <c r="K982" s="3"/>
      <c r="L982" s="3"/>
      <c r="M982" s="3"/>
      <c r="N982" s="3"/>
      <c r="O982" s="3"/>
      <c r="P982" s="3"/>
      <c r="Q982" s="3"/>
      <c r="R982" s="3"/>
      <c r="S982" s="3"/>
      <c r="T982" s="3"/>
      <c r="U982" s="3"/>
      <c r="V982" s="3"/>
      <c r="W982" s="3"/>
      <c r="X982" s="3"/>
      <c r="Y982" s="3"/>
      <c r="Z982" s="3"/>
    </row>
    <row r="983" hidden="1">
      <c r="A983" s="27" t="s">
        <v>3225</v>
      </c>
      <c r="B983" s="29" t="s">
        <v>1206</v>
      </c>
      <c r="C983" s="3"/>
      <c r="D983" s="3"/>
      <c r="E983" s="3"/>
      <c r="F983" s="3"/>
      <c r="G983" s="3"/>
      <c r="H983" s="3"/>
      <c r="I983" s="3"/>
      <c r="J983" s="3"/>
      <c r="K983" s="3"/>
      <c r="L983" s="3"/>
      <c r="M983" s="3"/>
      <c r="N983" s="3"/>
      <c r="O983" s="3"/>
      <c r="P983" s="3"/>
      <c r="Q983" s="3"/>
      <c r="R983" s="3"/>
      <c r="S983" s="3"/>
      <c r="T983" s="3"/>
      <c r="U983" s="3"/>
      <c r="V983" s="3"/>
      <c r="W983" s="3"/>
      <c r="X983" s="3"/>
      <c r="Y983" s="3"/>
      <c r="Z983" s="3"/>
    </row>
    <row r="984" hidden="1">
      <c r="A984" s="27" t="s">
        <v>3226</v>
      </c>
      <c r="B984" s="29" t="s">
        <v>1207</v>
      </c>
      <c r="C984" s="3"/>
      <c r="D984" s="3"/>
      <c r="E984" s="3"/>
      <c r="F984" s="3"/>
      <c r="G984" s="3"/>
      <c r="H984" s="3"/>
      <c r="I984" s="3"/>
      <c r="J984" s="3"/>
      <c r="K984" s="3"/>
      <c r="L984" s="3"/>
      <c r="M984" s="3"/>
      <c r="N984" s="3"/>
      <c r="O984" s="3"/>
      <c r="P984" s="3"/>
      <c r="Q984" s="3"/>
      <c r="R984" s="3"/>
      <c r="S984" s="3"/>
      <c r="T984" s="3"/>
      <c r="U984" s="3"/>
      <c r="V984" s="3"/>
      <c r="W984" s="3"/>
      <c r="X984" s="3"/>
      <c r="Y984" s="3"/>
      <c r="Z984" s="3"/>
    </row>
    <row r="985" hidden="1">
      <c r="A985" s="27" t="s">
        <v>3227</v>
      </c>
      <c r="B985" s="29" t="s">
        <v>1209</v>
      </c>
      <c r="C985" s="3"/>
      <c r="D985" s="3"/>
      <c r="E985" s="3"/>
      <c r="F985" s="3"/>
      <c r="G985" s="3"/>
      <c r="H985" s="3"/>
      <c r="I985" s="3"/>
      <c r="J985" s="3"/>
      <c r="K985" s="3"/>
      <c r="L985" s="3"/>
      <c r="M985" s="3"/>
      <c r="N985" s="3"/>
      <c r="O985" s="3"/>
      <c r="P985" s="3"/>
      <c r="Q985" s="3"/>
      <c r="R985" s="3"/>
      <c r="S985" s="3"/>
      <c r="T985" s="3"/>
      <c r="U985" s="3"/>
      <c r="V985" s="3"/>
      <c r="W985" s="3"/>
      <c r="X985" s="3"/>
      <c r="Y985" s="3"/>
      <c r="Z985" s="3"/>
    </row>
    <row r="986" hidden="1">
      <c r="A986" s="27" t="s">
        <v>3228</v>
      </c>
      <c r="B986" s="29" t="s">
        <v>1210</v>
      </c>
      <c r="C986" s="3"/>
      <c r="D986" s="3"/>
      <c r="E986" s="3"/>
      <c r="F986" s="3"/>
      <c r="G986" s="3"/>
      <c r="H986" s="3"/>
      <c r="I986" s="3"/>
      <c r="J986" s="3"/>
      <c r="K986" s="3"/>
      <c r="L986" s="3"/>
      <c r="M986" s="3"/>
      <c r="N986" s="3"/>
      <c r="O986" s="3"/>
      <c r="P986" s="3"/>
      <c r="Q986" s="3"/>
      <c r="R986" s="3"/>
      <c r="S986" s="3"/>
      <c r="T986" s="3"/>
      <c r="U986" s="3"/>
      <c r="V986" s="3"/>
      <c r="W986" s="3"/>
      <c r="X986" s="3"/>
      <c r="Y986" s="3"/>
      <c r="Z986" s="3"/>
    </row>
    <row r="987" hidden="1">
      <c r="A987" s="27" t="s">
        <v>3229</v>
      </c>
      <c r="B987" s="29" t="s">
        <v>1211</v>
      </c>
      <c r="C987" s="3"/>
      <c r="D987" s="3"/>
      <c r="E987" s="3"/>
      <c r="F987" s="3"/>
      <c r="G987" s="3"/>
      <c r="H987" s="3"/>
      <c r="I987" s="3"/>
      <c r="J987" s="3"/>
      <c r="K987" s="3"/>
      <c r="L987" s="3"/>
      <c r="M987" s="3"/>
      <c r="N987" s="3"/>
      <c r="O987" s="3"/>
      <c r="P987" s="3"/>
      <c r="Q987" s="3"/>
      <c r="R987" s="3"/>
      <c r="S987" s="3"/>
      <c r="T987" s="3"/>
      <c r="U987" s="3"/>
      <c r="V987" s="3"/>
      <c r="W987" s="3"/>
      <c r="X987" s="3"/>
      <c r="Y987" s="3"/>
      <c r="Z987" s="3"/>
    </row>
    <row r="988" hidden="1">
      <c r="A988" s="27" t="s">
        <v>3230</v>
      </c>
      <c r="B988" s="29" t="s">
        <v>1212</v>
      </c>
      <c r="C988" s="3"/>
      <c r="D988" s="3"/>
      <c r="E988" s="3"/>
      <c r="F988" s="3"/>
      <c r="G988" s="3"/>
      <c r="H988" s="3"/>
      <c r="I988" s="3"/>
      <c r="J988" s="3"/>
      <c r="K988" s="3"/>
      <c r="L988" s="3"/>
      <c r="M988" s="3"/>
      <c r="N988" s="3"/>
      <c r="O988" s="3"/>
      <c r="P988" s="3"/>
      <c r="Q988" s="3"/>
      <c r="R988" s="3"/>
      <c r="S988" s="3"/>
      <c r="T988" s="3"/>
      <c r="U988" s="3"/>
      <c r="V988" s="3"/>
      <c r="W988" s="3"/>
      <c r="X988" s="3"/>
      <c r="Y988" s="3"/>
      <c r="Z988" s="3"/>
    </row>
    <row r="989" hidden="1">
      <c r="A989" s="27" t="s">
        <v>3231</v>
      </c>
      <c r="B989" s="29" t="s">
        <v>1213</v>
      </c>
      <c r="C989" s="3"/>
      <c r="D989" s="3"/>
      <c r="E989" s="3"/>
      <c r="F989" s="3"/>
      <c r="G989" s="3"/>
      <c r="H989" s="3"/>
      <c r="I989" s="3"/>
      <c r="J989" s="3"/>
      <c r="K989" s="3"/>
      <c r="L989" s="3"/>
      <c r="M989" s="3"/>
      <c r="N989" s="3"/>
      <c r="O989" s="3"/>
      <c r="P989" s="3"/>
      <c r="Q989" s="3"/>
      <c r="R989" s="3"/>
      <c r="S989" s="3"/>
      <c r="T989" s="3"/>
      <c r="U989" s="3"/>
      <c r="V989" s="3"/>
      <c r="W989" s="3"/>
      <c r="X989" s="3"/>
      <c r="Y989" s="3"/>
      <c r="Z989" s="3"/>
    </row>
    <row r="990" hidden="1">
      <c r="A990" s="27" t="s">
        <v>3232</v>
      </c>
      <c r="B990" s="29" t="s">
        <v>1214</v>
      </c>
      <c r="C990" s="3"/>
      <c r="D990" s="3"/>
      <c r="E990" s="3"/>
      <c r="F990" s="3"/>
      <c r="G990" s="3"/>
      <c r="H990" s="3"/>
      <c r="I990" s="3"/>
      <c r="J990" s="3"/>
      <c r="K990" s="3"/>
      <c r="L990" s="3"/>
      <c r="M990" s="3"/>
      <c r="N990" s="3"/>
      <c r="O990" s="3"/>
      <c r="P990" s="3"/>
      <c r="Q990" s="3"/>
      <c r="R990" s="3"/>
      <c r="S990" s="3"/>
      <c r="T990" s="3"/>
      <c r="U990" s="3"/>
      <c r="V990" s="3"/>
      <c r="W990" s="3"/>
      <c r="X990" s="3"/>
      <c r="Y990" s="3"/>
      <c r="Z990" s="3"/>
    </row>
    <row r="991" hidden="1">
      <c r="A991" s="27" t="s">
        <v>3233</v>
      </c>
      <c r="B991" s="29" t="s">
        <v>1215</v>
      </c>
      <c r="C991" s="3"/>
      <c r="D991" s="3"/>
      <c r="E991" s="3"/>
      <c r="F991" s="3"/>
      <c r="G991" s="3"/>
      <c r="H991" s="3"/>
      <c r="I991" s="3"/>
      <c r="J991" s="3"/>
      <c r="K991" s="3"/>
      <c r="L991" s="3"/>
      <c r="M991" s="3"/>
      <c r="N991" s="3"/>
      <c r="O991" s="3"/>
      <c r="P991" s="3"/>
      <c r="Q991" s="3"/>
      <c r="R991" s="3"/>
      <c r="S991" s="3"/>
      <c r="T991" s="3"/>
      <c r="U991" s="3"/>
      <c r="V991" s="3"/>
      <c r="W991" s="3"/>
      <c r="X991" s="3"/>
      <c r="Y991" s="3"/>
      <c r="Z991" s="3"/>
    </row>
    <row r="992" hidden="1">
      <c r="A992" s="27" t="s">
        <v>3234</v>
      </c>
      <c r="B992" s="29" t="s">
        <v>1217</v>
      </c>
      <c r="C992" s="3"/>
      <c r="D992" s="3"/>
      <c r="E992" s="3"/>
      <c r="F992" s="3"/>
      <c r="G992" s="3"/>
      <c r="H992" s="3"/>
      <c r="I992" s="3"/>
      <c r="J992" s="3"/>
      <c r="K992" s="3"/>
      <c r="L992" s="3"/>
      <c r="M992" s="3"/>
      <c r="N992" s="3"/>
      <c r="O992" s="3"/>
      <c r="P992" s="3"/>
      <c r="Q992" s="3"/>
      <c r="R992" s="3"/>
      <c r="S992" s="3"/>
      <c r="T992" s="3"/>
      <c r="U992" s="3"/>
      <c r="V992" s="3"/>
      <c r="W992" s="3"/>
      <c r="X992" s="3"/>
      <c r="Y992" s="3"/>
      <c r="Z992" s="3"/>
    </row>
    <row r="993" hidden="1">
      <c r="A993" s="27" t="s">
        <v>3235</v>
      </c>
      <c r="B993" s="29" t="s">
        <v>1218</v>
      </c>
      <c r="C993" s="3"/>
      <c r="D993" s="3"/>
      <c r="E993" s="3"/>
      <c r="F993" s="3"/>
      <c r="G993" s="3"/>
      <c r="H993" s="3"/>
      <c r="I993" s="3"/>
      <c r="J993" s="3"/>
      <c r="K993" s="3"/>
      <c r="L993" s="3"/>
      <c r="M993" s="3"/>
      <c r="N993" s="3"/>
      <c r="O993" s="3"/>
      <c r="P993" s="3"/>
      <c r="Q993" s="3"/>
      <c r="R993" s="3"/>
      <c r="S993" s="3"/>
      <c r="T993" s="3"/>
      <c r="U993" s="3"/>
      <c r="V993" s="3"/>
      <c r="W993" s="3"/>
      <c r="X993" s="3"/>
      <c r="Y993" s="3"/>
      <c r="Z993" s="3"/>
    </row>
    <row r="994" hidden="1">
      <c r="A994" s="27" t="s">
        <v>3236</v>
      </c>
      <c r="B994" s="29" t="s">
        <v>1219</v>
      </c>
      <c r="C994" s="3"/>
      <c r="D994" s="3"/>
      <c r="E994" s="3"/>
      <c r="F994" s="3"/>
      <c r="G994" s="3"/>
      <c r="H994" s="3"/>
      <c r="I994" s="3"/>
      <c r="J994" s="3"/>
      <c r="K994" s="3"/>
      <c r="L994" s="3"/>
      <c r="M994" s="3"/>
      <c r="N994" s="3"/>
      <c r="O994" s="3"/>
      <c r="P994" s="3"/>
      <c r="Q994" s="3"/>
      <c r="R994" s="3"/>
      <c r="S994" s="3"/>
      <c r="T994" s="3"/>
      <c r="U994" s="3"/>
      <c r="V994" s="3"/>
      <c r="W994" s="3"/>
      <c r="X994" s="3"/>
      <c r="Y994" s="3"/>
      <c r="Z994" s="3"/>
    </row>
    <row r="995" hidden="1">
      <c r="A995" s="27" t="s">
        <v>3237</v>
      </c>
      <c r="B995" s="29" t="s">
        <v>1220</v>
      </c>
      <c r="C995" s="3"/>
      <c r="D995" s="3"/>
      <c r="E995" s="3"/>
      <c r="F995" s="3"/>
      <c r="G995" s="3"/>
      <c r="H995" s="3"/>
      <c r="I995" s="3"/>
      <c r="J995" s="3"/>
      <c r="K995" s="3"/>
      <c r="L995" s="3"/>
      <c r="M995" s="3"/>
      <c r="N995" s="3"/>
      <c r="O995" s="3"/>
      <c r="P995" s="3"/>
      <c r="Q995" s="3"/>
      <c r="R995" s="3"/>
      <c r="S995" s="3"/>
      <c r="T995" s="3"/>
      <c r="U995" s="3"/>
      <c r="V995" s="3"/>
      <c r="W995" s="3"/>
      <c r="X995" s="3"/>
      <c r="Y995" s="3"/>
      <c r="Z995" s="3"/>
    </row>
    <row r="996" hidden="1">
      <c r="A996" s="27" t="s">
        <v>3238</v>
      </c>
      <c r="B996" s="29" t="s">
        <v>1221</v>
      </c>
      <c r="C996" s="3"/>
      <c r="D996" s="3"/>
      <c r="E996" s="3"/>
      <c r="F996" s="3"/>
      <c r="G996" s="3"/>
      <c r="H996" s="3"/>
      <c r="I996" s="3"/>
      <c r="J996" s="3"/>
      <c r="K996" s="3"/>
      <c r="L996" s="3"/>
      <c r="M996" s="3"/>
      <c r="N996" s="3"/>
      <c r="O996" s="3"/>
      <c r="P996" s="3"/>
      <c r="Q996" s="3"/>
      <c r="R996" s="3"/>
      <c r="S996" s="3"/>
      <c r="T996" s="3"/>
      <c r="U996" s="3"/>
      <c r="V996" s="3"/>
      <c r="W996" s="3"/>
      <c r="X996" s="3"/>
      <c r="Y996" s="3"/>
      <c r="Z996" s="3"/>
    </row>
    <row r="997" hidden="1">
      <c r="A997" s="27" t="s">
        <v>3239</v>
      </c>
      <c r="B997" s="29" t="s">
        <v>1222</v>
      </c>
      <c r="C997" s="3"/>
      <c r="D997" s="3"/>
      <c r="E997" s="3"/>
      <c r="F997" s="3"/>
      <c r="G997" s="3"/>
      <c r="H997" s="3"/>
      <c r="I997" s="3"/>
      <c r="J997" s="3"/>
      <c r="K997" s="3"/>
      <c r="L997" s="3"/>
      <c r="M997" s="3"/>
      <c r="N997" s="3"/>
      <c r="O997" s="3"/>
      <c r="P997" s="3"/>
      <c r="Q997" s="3"/>
      <c r="R997" s="3"/>
      <c r="S997" s="3"/>
      <c r="T997" s="3"/>
      <c r="U997" s="3"/>
      <c r="V997" s="3"/>
      <c r="W997" s="3"/>
      <c r="X997" s="3"/>
      <c r="Y997" s="3"/>
      <c r="Z997" s="3"/>
    </row>
    <row r="998" hidden="1">
      <c r="A998" s="27" t="s">
        <v>3240</v>
      </c>
      <c r="B998" s="29" t="s">
        <v>1224</v>
      </c>
      <c r="C998" s="3"/>
      <c r="D998" s="3"/>
      <c r="E998" s="3"/>
      <c r="F998" s="3"/>
      <c r="G998" s="3"/>
      <c r="H998" s="3"/>
      <c r="I998" s="3"/>
      <c r="J998" s="3"/>
      <c r="K998" s="3"/>
      <c r="L998" s="3"/>
      <c r="M998" s="3"/>
      <c r="N998" s="3"/>
      <c r="O998" s="3"/>
      <c r="P998" s="3"/>
      <c r="Q998" s="3"/>
      <c r="R998" s="3"/>
      <c r="S998" s="3"/>
      <c r="T998" s="3"/>
      <c r="U998" s="3"/>
      <c r="V998" s="3"/>
      <c r="W998" s="3"/>
      <c r="X998" s="3"/>
      <c r="Y998" s="3"/>
      <c r="Z998" s="3"/>
    </row>
    <row r="999" hidden="1">
      <c r="A999" s="27" t="s">
        <v>3241</v>
      </c>
      <c r="B999" s="29" t="s">
        <v>1225</v>
      </c>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idden="1">
      <c r="A1000" s="27" t="s">
        <v>3242</v>
      </c>
      <c r="B1000" s="29" t="s">
        <v>1226</v>
      </c>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idden="1">
      <c r="A1001" s="27" t="s">
        <v>3243</v>
      </c>
      <c r="B1001" s="29" t="s">
        <v>1227</v>
      </c>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idden="1">
      <c r="A1002" s="27" t="s">
        <v>3244</v>
      </c>
      <c r="B1002" s="29" t="s">
        <v>1228</v>
      </c>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idden="1">
      <c r="A1003" s="27" t="s">
        <v>3245</v>
      </c>
      <c r="B1003" s="29" t="s">
        <v>1229</v>
      </c>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idden="1">
      <c r="A1004" s="27" t="s">
        <v>3246</v>
      </c>
      <c r="B1004" s="29" t="s">
        <v>1230</v>
      </c>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idden="1">
      <c r="A1005" s="27" t="s">
        <v>3247</v>
      </c>
      <c r="B1005" s="29" t="s">
        <v>1231</v>
      </c>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idden="1">
      <c r="A1006" s="27" t="s">
        <v>3248</v>
      </c>
      <c r="B1006" s="29" t="s">
        <v>1233</v>
      </c>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idden="1">
      <c r="A1007" s="27" t="s">
        <v>3249</v>
      </c>
      <c r="B1007" s="29" t="s">
        <v>1234</v>
      </c>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idden="1">
      <c r="A1008" s="27" t="s">
        <v>3250</v>
      </c>
      <c r="B1008" s="29" t="s">
        <v>1235</v>
      </c>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idden="1">
      <c r="A1009" s="27" t="s">
        <v>3251</v>
      </c>
      <c r="B1009" s="29" t="s">
        <v>1236</v>
      </c>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idden="1">
      <c r="A1010" s="27" t="s">
        <v>3252</v>
      </c>
      <c r="B1010" s="29" t="s">
        <v>1237</v>
      </c>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idden="1">
      <c r="A1011" s="27" t="s">
        <v>3253</v>
      </c>
      <c r="B1011" s="29" t="s">
        <v>1238</v>
      </c>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idden="1">
      <c r="A1012" s="27" t="s">
        <v>3254</v>
      </c>
      <c r="B1012" s="29" t="s">
        <v>1239</v>
      </c>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idden="1">
      <c r="A1013" s="27" t="s">
        <v>3255</v>
      </c>
      <c r="B1013" s="29" t="s">
        <v>1241</v>
      </c>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idden="1">
      <c r="A1014" s="27" t="s">
        <v>3256</v>
      </c>
      <c r="B1014" s="29" t="s">
        <v>1242</v>
      </c>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idden="1">
      <c r="A1015" s="27" t="s">
        <v>3257</v>
      </c>
      <c r="B1015" s="29" t="s">
        <v>1243</v>
      </c>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idden="1">
      <c r="A1016" s="27" t="s">
        <v>3258</v>
      </c>
      <c r="B1016" s="29" t="s">
        <v>1244</v>
      </c>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idden="1">
      <c r="A1017" s="27" t="s">
        <v>3259</v>
      </c>
      <c r="B1017" s="29" t="s">
        <v>1245</v>
      </c>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idden="1">
      <c r="A1018" s="27" t="s">
        <v>3260</v>
      </c>
      <c r="B1018" s="29" t="s">
        <v>1246</v>
      </c>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idden="1">
      <c r="A1019" s="27" t="s">
        <v>3261</v>
      </c>
      <c r="B1019" s="29" t="s">
        <v>1247</v>
      </c>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idden="1">
      <c r="A1020" s="27" t="s">
        <v>3262</v>
      </c>
      <c r="B1020" s="29" t="s">
        <v>1249</v>
      </c>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idden="1">
      <c r="A1021" s="27" t="s">
        <v>3263</v>
      </c>
      <c r="B1021" s="29" t="s">
        <v>1250</v>
      </c>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idden="1">
      <c r="A1022" s="27" t="s">
        <v>3264</v>
      </c>
      <c r="B1022" s="29" t="s">
        <v>1251</v>
      </c>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idden="1">
      <c r="A1023" s="27" t="s">
        <v>3265</v>
      </c>
      <c r="B1023" s="29" t="s">
        <v>1252</v>
      </c>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idden="1">
      <c r="A1024" s="27" t="s">
        <v>3266</v>
      </c>
      <c r="B1024" s="29" t="s">
        <v>1253</v>
      </c>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idden="1">
      <c r="A1025" s="27" t="s">
        <v>3267</v>
      </c>
      <c r="B1025" s="29" t="s">
        <v>1254</v>
      </c>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hidden="1">
      <c r="A1026" s="27" t="s">
        <v>3268</v>
      </c>
      <c r="B1026" s="29" t="s">
        <v>1255</v>
      </c>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hidden="1">
      <c r="A1027" s="27" t="s">
        <v>3269</v>
      </c>
      <c r="B1027" s="29" t="s">
        <v>1256</v>
      </c>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hidden="1">
      <c r="A1028" s="27" t="s">
        <v>3270</v>
      </c>
      <c r="B1028" s="29" t="s">
        <v>1257</v>
      </c>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hidden="1">
      <c r="A1029" s="27" t="s">
        <v>3271</v>
      </c>
      <c r="B1029" s="29" t="s">
        <v>1258</v>
      </c>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hidden="1">
      <c r="A1030" s="27" t="s">
        <v>3272</v>
      </c>
      <c r="B1030" s="29" t="s">
        <v>1260</v>
      </c>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hidden="1">
      <c r="A1031" s="27" t="s">
        <v>3273</v>
      </c>
      <c r="B1031" s="29" t="s">
        <v>1261</v>
      </c>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hidden="1">
      <c r="A1032" s="27" t="s">
        <v>3274</v>
      </c>
      <c r="B1032" s="29" t="s">
        <v>1262</v>
      </c>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hidden="1">
      <c r="A1033" s="27" t="s">
        <v>3275</v>
      </c>
      <c r="B1033" s="29" t="s">
        <v>1263</v>
      </c>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hidden="1">
      <c r="A1034" s="27" t="s">
        <v>3276</v>
      </c>
      <c r="B1034" s="29" t="s">
        <v>1264</v>
      </c>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hidden="1">
      <c r="A1035" s="27" t="s">
        <v>3277</v>
      </c>
      <c r="B1035" s="29" t="s">
        <v>1265</v>
      </c>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hidden="1">
      <c r="A1036" s="27" t="s">
        <v>3278</v>
      </c>
      <c r="B1036" s="29" t="s">
        <v>1267</v>
      </c>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hidden="1">
      <c r="A1037" s="27" t="s">
        <v>3279</v>
      </c>
      <c r="B1037" s="29" t="s">
        <v>1268</v>
      </c>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hidden="1">
      <c r="A1038" s="27" t="s">
        <v>3280</v>
      </c>
      <c r="B1038" s="29" t="s">
        <v>1269</v>
      </c>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hidden="1">
      <c r="A1039" s="27" t="s">
        <v>3281</v>
      </c>
      <c r="B1039" s="29" t="s">
        <v>1270</v>
      </c>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hidden="1">
      <c r="A1040" s="27" t="s">
        <v>3282</v>
      </c>
      <c r="B1040" s="29" t="s">
        <v>1271</v>
      </c>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hidden="1">
      <c r="A1041" s="27" t="s">
        <v>3283</v>
      </c>
      <c r="B1041" s="29" t="s">
        <v>1272</v>
      </c>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hidden="1">
      <c r="A1042" s="27" t="s">
        <v>3284</v>
      </c>
      <c r="B1042" s="29" t="s">
        <v>1273</v>
      </c>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hidden="1">
      <c r="A1043" s="27" t="s">
        <v>3285</v>
      </c>
      <c r="B1043" s="29" t="s">
        <v>1275</v>
      </c>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hidden="1">
      <c r="A1044" s="27" t="s">
        <v>3286</v>
      </c>
      <c r="B1044" s="29" t="s">
        <v>1276</v>
      </c>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hidden="1">
      <c r="A1045" s="27" t="s">
        <v>3287</v>
      </c>
      <c r="B1045" s="29" t="s">
        <v>1277</v>
      </c>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hidden="1">
      <c r="A1046" s="27" t="s">
        <v>3288</v>
      </c>
      <c r="B1046" s="29" t="s">
        <v>1278</v>
      </c>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hidden="1">
      <c r="A1047" s="27" t="s">
        <v>3289</v>
      </c>
      <c r="B1047" s="29" t="s">
        <v>1279</v>
      </c>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hidden="1">
      <c r="A1048" s="27" t="s">
        <v>3290</v>
      </c>
      <c r="B1048" s="29" t="s">
        <v>1280</v>
      </c>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hidden="1">
      <c r="A1049" s="27" t="s">
        <v>3291</v>
      </c>
      <c r="B1049" s="29" t="s">
        <v>1281</v>
      </c>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hidden="1">
      <c r="A1050" s="27" t="s">
        <v>3292</v>
      </c>
      <c r="B1050" s="29" t="s">
        <v>1282</v>
      </c>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hidden="1">
      <c r="A1051" s="27" t="s">
        <v>3293</v>
      </c>
      <c r="B1051" s="29" t="s">
        <v>1284</v>
      </c>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hidden="1">
      <c r="A1052" s="27" t="s">
        <v>3294</v>
      </c>
      <c r="B1052" s="29" t="s">
        <v>1285</v>
      </c>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hidden="1">
      <c r="A1053" s="27" t="s">
        <v>3295</v>
      </c>
      <c r="B1053" s="29" t="s">
        <v>1286</v>
      </c>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hidden="1">
      <c r="A1054" s="27" t="s">
        <v>3296</v>
      </c>
      <c r="B1054" s="29" t="s">
        <v>1287</v>
      </c>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hidden="1">
      <c r="A1055" s="27" t="s">
        <v>3297</v>
      </c>
      <c r="B1055" s="29" t="s">
        <v>1288</v>
      </c>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hidden="1">
      <c r="A1056" s="27" t="s">
        <v>3298</v>
      </c>
      <c r="B1056" s="29" t="s">
        <v>1289</v>
      </c>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hidden="1">
      <c r="A1057" s="27" t="s">
        <v>3299</v>
      </c>
      <c r="B1057" s="29" t="s">
        <v>1290</v>
      </c>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hidden="1">
      <c r="A1058" s="27" t="s">
        <v>3300</v>
      </c>
      <c r="B1058" s="29" t="s">
        <v>1292</v>
      </c>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hidden="1">
      <c r="A1059" s="27" t="s">
        <v>3301</v>
      </c>
      <c r="B1059" s="29" t="s">
        <v>1293</v>
      </c>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hidden="1">
      <c r="A1060" s="27" t="s">
        <v>3302</v>
      </c>
      <c r="B1060" s="29" t="s">
        <v>1294</v>
      </c>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hidden="1">
      <c r="A1061" s="27" t="s">
        <v>3303</v>
      </c>
      <c r="B1061" s="29" t="s">
        <v>1295</v>
      </c>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hidden="1">
      <c r="A1062" s="27" t="s">
        <v>3304</v>
      </c>
      <c r="B1062" s="29" t="s">
        <v>1296</v>
      </c>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hidden="1">
      <c r="A1063" s="27" t="s">
        <v>3305</v>
      </c>
      <c r="B1063" s="29" t="s">
        <v>1297</v>
      </c>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hidden="1">
      <c r="A1064" s="27" t="s">
        <v>3306</v>
      </c>
      <c r="B1064" s="29" t="s">
        <v>1298</v>
      </c>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hidden="1">
      <c r="A1065" s="27" t="s">
        <v>3307</v>
      </c>
      <c r="B1065" s="29" t="s">
        <v>1299</v>
      </c>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hidden="1">
      <c r="A1066" s="27" t="s">
        <v>3308</v>
      </c>
      <c r="B1066" s="29" t="s">
        <v>1301</v>
      </c>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hidden="1">
      <c r="A1067" s="27" t="s">
        <v>3309</v>
      </c>
      <c r="B1067" s="29" t="s">
        <v>1302</v>
      </c>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hidden="1">
      <c r="A1068" s="27" t="s">
        <v>3310</v>
      </c>
      <c r="B1068" s="29" t="s">
        <v>1303</v>
      </c>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hidden="1">
      <c r="A1069" s="27" t="s">
        <v>3311</v>
      </c>
      <c r="B1069" s="29" t="s">
        <v>1304</v>
      </c>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hidden="1">
      <c r="A1070" s="27" t="s">
        <v>3312</v>
      </c>
      <c r="B1070" s="29" t="s">
        <v>1305</v>
      </c>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hidden="1">
      <c r="A1071" s="27" t="s">
        <v>3313</v>
      </c>
      <c r="B1071" s="29" t="s">
        <v>1306</v>
      </c>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hidden="1">
      <c r="A1072" s="27" t="s">
        <v>3314</v>
      </c>
      <c r="B1072" s="29" t="s">
        <v>1307</v>
      </c>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hidden="1">
      <c r="A1073" s="27" t="s">
        <v>3315</v>
      </c>
      <c r="B1073" s="29" t="s">
        <v>1309</v>
      </c>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hidden="1">
      <c r="A1074" s="27" t="s">
        <v>3316</v>
      </c>
      <c r="B1074" s="29" t="s">
        <v>1310</v>
      </c>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hidden="1">
      <c r="A1075" s="27" t="s">
        <v>3317</v>
      </c>
      <c r="B1075" s="29" t="s">
        <v>1311</v>
      </c>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hidden="1">
      <c r="A1076" s="27" t="s">
        <v>3318</v>
      </c>
      <c r="B1076" s="29" t="s">
        <v>1312</v>
      </c>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hidden="1">
      <c r="A1077" s="27" t="s">
        <v>3319</v>
      </c>
      <c r="B1077" s="29" t="s">
        <v>1313</v>
      </c>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hidden="1">
      <c r="A1078" s="27" t="s">
        <v>3320</v>
      </c>
      <c r="B1078" s="29" t="s">
        <v>1314</v>
      </c>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hidden="1">
      <c r="A1079" s="27" t="s">
        <v>3321</v>
      </c>
      <c r="B1079" s="29" t="s">
        <v>1315</v>
      </c>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hidden="1">
      <c r="A1080" s="27" t="s">
        <v>3322</v>
      </c>
      <c r="B1080" s="29" t="s">
        <v>1317</v>
      </c>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hidden="1">
      <c r="A1081" s="27" t="s">
        <v>3323</v>
      </c>
      <c r="B1081" s="29" t="s">
        <v>1318</v>
      </c>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hidden="1">
      <c r="A1082" s="27" t="s">
        <v>3324</v>
      </c>
      <c r="B1082" s="29" t="s">
        <v>1319</v>
      </c>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hidden="1">
      <c r="A1083" s="27" t="s">
        <v>3325</v>
      </c>
      <c r="B1083" s="29" t="s">
        <v>1320</v>
      </c>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hidden="1">
      <c r="A1084" s="27" t="s">
        <v>3326</v>
      </c>
      <c r="B1084" s="29" t="s">
        <v>1321</v>
      </c>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hidden="1">
      <c r="A1085" s="27" t="s">
        <v>3327</v>
      </c>
      <c r="B1085" s="29" t="s">
        <v>1322</v>
      </c>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hidden="1">
      <c r="A1086" s="27" t="s">
        <v>3328</v>
      </c>
      <c r="B1086" s="29" t="s">
        <v>1323</v>
      </c>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hidden="1">
      <c r="A1087" s="27" t="s">
        <v>3329</v>
      </c>
      <c r="B1087" s="29" t="s">
        <v>1324</v>
      </c>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hidden="1">
      <c r="A1088" s="27" t="s">
        <v>3330</v>
      </c>
      <c r="B1088" s="29" t="s">
        <v>1326</v>
      </c>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hidden="1">
      <c r="A1089" s="27" t="s">
        <v>3331</v>
      </c>
      <c r="B1089" s="29" t="s">
        <v>1327</v>
      </c>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hidden="1">
      <c r="A1090" s="27" t="s">
        <v>3332</v>
      </c>
      <c r="B1090" s="29" t="s">
        <v>1328</v>
      </c>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hidden="1">
      <c r="A1091" s="27" t="s">
        <v>3333</v>
      </c>
      <c r="B1091" s="29" t="s">
        <v>1329</v>
      </c>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hidden="1">
      <c r="A1092" s="27" t="s">
        <v>3334</v>
      </c>
      <c r="B1092" s="29" t="s">
        <v>1330</v>
      </c>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hidden="1">
      <c r="A1093" s="27" t="s">
        <v>3335</v>
      </c>
      <c r="B1093" s="29" t="s">
        <v>1331</v>
      </c>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hidden="1">
      <c r="A1094" s="27" t="s">
        <v>3336</v>
      </c>
      <c r="B1094" s="29" t="s">
        <v>1332</v>
      </c>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hidden="1">
      <c r="A1095" s="27" t="s">
        <v>3337</v>
      </c>
      <c r="B1095" s="29" t="s">
        <v>1334</v>
      </c>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hidden="1">
      <c r="A1096" s="27" t="s">
        <v>3338</v>
      </c>
      <c r="B1096" s="29" t="s">
        <v>1335</v>
      </c>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hidden="1">
      <c r="A1097" s="27" t="s">
        <v>3339</v>
      </c>
      <c r="B1097" s="29" t="s">
        <v>1336</v>
      </c>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hidden="1">
      <c r="A1098" s="27" t="s">
        <v>3340</v>
      </c>
      <c r="B1098" s="29" t="s">
        <v>1337</v>
      </c>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hidden="1">
      <c r="A1099" s="27" t="s">
        <v>3341</v>
      </c>
      <c r="B1099" s="29" t="s">
        <v>1338</v>
      </c>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hidden="1">
      <c r="A1100" s="27" t="s">
        <v>3342</v>
      </c>
      <c r="B1100" s="29" t="s">
        <v>1339</v>
      </c>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hidden="1">
      <c r="A1101" s="27" t="s">
        <v>3343</v>
      </c>
      <c r="B1101" s="29" t="s">
        <v>1340</v>
      </c>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hidden="1">
      <c r="A1102" s="27" t="s">
        <v>3344</v>
      </c>
      <c r="B1102" s="29" t="s">
        <v>1342</v>
      </c>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hidden="1">
      <c r="A1103" s="27" t="s">
        <v>3345</v>
      </c>
      <c r="B1103" s="29" t="s">
        <v>1343</v>
      </c>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hidden="1">
      <c r="A1104" s="27" t="s">
        <v>3346</v>
      </c>
      <c r="B1104" s="29" t="s">
        <v>1344</v>
      </c>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hidden="1">
      <c r="A1105" s="27" t="s">
        <v>3347</v>
      </c>
      <c r="B1105" s="29" t="s">
        <v>1345</v>
      </c>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hidden="1">
      <c r="A1106" s="27" t="s">
        <v>3348</v>
      </c>
      <c r="B1106" s="29" t="s">
        <v>1346</v>
      </c>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hidden="1">
      <c r="A1107" s="27" t="s">
        <v>3349</v>
      </c>
      <c r="B1107" s="29" t="s">
        <v>1347</v>
      </c>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hidden="1">
      <c r="A1108" s="27" t="s">
        <v>3350</v>
      </c>
      <c r="B1108" s="29" t="s">
        <v>1348</v>
      </c>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hidden="1">
      <c r="A1109" s="27" t="s">
        <v>3351</v>
      </c>
      <c r="B1109" s="29" t="s">
        <v>1349</v>
      </c>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hidden="1">
      <c r="A1110" s="27" t="s">
        <v>3352</v>
      </c>
      <c r="B1110" s="29" t="s">
        <v>1351</v>
      </c>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hidden="1">
      <c r="A1111" s="27" t="s">
        <v>3353</v>
      </c>
      <c r="B1111" s="29" t="s">
        <v>1352</v>
      </c>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hidden="1">
      <c r="A1112" s="27" t="s">
        <v>3354</v>
      </c>
      <c r="B1112" s="29" t="s">
        <v>1353</v>
      </c>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hidden="1">
      <c r="A1113" s="27" t="s">
        <v>3355</v>
      </c>
      <c r="B1113" s="29" t="s">
        <v>1354</v>
      </c>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hidden="1">
      <c r="A1114" s="27" t="s">
        <v>3356</v>
      </c>
      <c r="B1114" s="29" t="s">
        <v>1355</v>
      </c>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hidden="1">
      <c r="A1115" s="27" t="s">
        <v>3357</v>
      </c>
      <c r="B1115" s="29" t="s">
        <v>1356</v>
      </c>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hidden="1">
      <c r="A1116" s="27" t="s">
        <v>3358</v>
      </c>
      <c r="B1116" s="29" t="s">
        <v>1358</v>
      </c>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hidden="1">
      <c r="A1117" s="27" t="s">
        <v>3359</v>
      </c>
      <c r="B1117" s="29" t="s">
        <v>1359</v>
      </c>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hidden="1">
      <c r="A1118" s="27" t="s">
        <v>3360</v>
      </c>
      <c r="B1118" s="29" t="s">
        <v>1361</v>
      </c>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hidden="1">
      <c r="A1119" s="27" t="s">
        <v>3361</v>
      </c>
      <c r="B1119" s="29" t="s">
        <v>1362</v>
      </c>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hidden="1">
      <c r="A1120" s="27" t="s">
        <v>3362</v>
      </c>
      <c r="B1120" s="29" t="s">
        <v>1363</v>
      </c>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hidden="1">
      <c r="A1121" s="27" t="s">
        <v>3363</v>
      </c>
      <c r="B1121" s="29" t="s">
        <v>1364</v>
      </c>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hidden="1">
      <c r="A1122" s="27" t="s">
        <v>3364</v>
      </c>
      <c r="B1122" s="29" t="s">
        <v>1366</v>
      </c>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hidden="1">
      <c r="A1123" s="27" t="s">
        <v>3365</v>
      </c>
      <c r="B1123" s="29" t="s">
        <v>1367</v>
      </c>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hidden="1">
      <c r="A1124" s="27" t="s">
        <v>3366</v>
      </c>
      <c r="B1124" s="29" t="s">
        <v>1368</v>
      </c>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hidden="1">
      <c r="A1125" s="27" t="s">
        <v>3367</v>
      </c>
      <c r="B1125" s="29" t="s">
        <v>1369</v>
      </c>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hidden="1">
      <c r="A1126" s="27" t="s">
        <v>3368</v>
      </c>
      <c r="B1126" s="29" t="s">
        <v>1370</v>
      </c>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hidden="1">
      <c r="A1127" s="27" t="s">
        <v>3369</v>
      </c>
      <c r="B1127" s="29" t="s">
        <v>1371</v>
      </c>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hidden="1">
      <c r="A1128" s="27" t="s">
        <v>3370</v>
      </c>
      <c r="B1128" s="29" t="s">
        <v>1373</v>
      </c>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hidden="1">
      <c r="A1129" s="27" t="s">
        <v>3371</v>
      </c>
      <c r="B1129" s="29" t="s">
        <v>1374</v>
      </c>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hidden="1">
      <c r="A1130" s="27" t="s">
        <v>3372</v>
      </c>
      <c r="B1130" s="29" t="s">
        <v>1375</v>
      </c>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hidden="1">
      <c r="A1131" s="27" t="s">
        <v>3373</v>
      </c>
      <c r="B1131" s="29" t="s">
        <v>1376</v>
      </c>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hidden="1">
      <c r="A1132" s="27" t="s">
        <v>3374</v>
      </c>
      <c r="B1132" s="29" t="s">
        <v>1377</v>
      </c>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hidden="1">
      <c r="A1133" s="27" t="s">
        <v>3375</v>
      </c>
      <c r="B1133" s="29" t="s">
        <v>1378</v>
      </c>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hidden="1">
      <c r="A1134" s="27" t="s">
        <v>3376</v>
      </c>
      <c r="B1134" s="29" t="s">
        <v>1379</v>
      </c>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hidden="1">
      <c r="A1135" s="27" t="s">
        <v>3377</v>
      </c>
      <c r="B1135" s="29" t="s">
        <v>1380</v>
      </c>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hidden="1">
      <c r="A1136" s="27" t="s">
        <v>3378</v>
      </c>
      <c r="B1136" s="29" t="s">
        <v>1382</v>
      </c>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hidden="1">
      <c r="A1137" s="27" t="s">
        <v>3379</v>
      </c>
      <c r="B1137" s="29" t="s">
        <v>1383</v>
      </c>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hidden="1">
      <c r="A1138" s="27" t="s">
        <v>3380</v>
      </c>
      <c r="B1138" s="29" t="s">
        <v>1384</v>
      </c>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hidden="1">
      <c r="A1139" s="27" t="s">
        <v>3381</v>
      </c>
      <c r="B1139" s="29" t="s">
        <v>1385</v>
      </c>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hidden="1">
      <c r="A1140" s="27" t="s">
        <v>3382</v>
      </c>
      <c r="B1140" s="29" t="s">
        <v>1386</v>
      </c>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hidden="1">
      <c r="A1141" s="27" t="s">
        <v>3383</v>
      </c>
      <c r="B1141" s="29" t="s">
        <v>1387</v>
      </c>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hidden="1">
      <c r="A1142" s="27" t="s">
        <v>3384</v>
      </c>
      <c r="B1142" s="29" t="s">
        <v>1388</v>
      </c>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hidden="1">
      <c r="A1143" s="27" t="s">
        <v>3385</v>
      </c>
      <c r="B1143" s="29" t="s">
        <v>1390</v>
      </c>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hidden="1">
      <c r="A1144" s="27" t="s">
        <v>3386</v>
      </c>
      <c r="B1144" s="29" t="s">
        <v>1391</v>
      </c>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hidden="1">
      <c r="A1145" s="27" t="s">
        <v>3387</v>
      </c>
      <c r="B1145" s="29" t="s">
        <v>1392</v>
      </c>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hidden="1">
      <c r="A1146" s="27" t="s">
        <v>3388</v>
      </c>
      <c r="B1146" s="29" t="s">
        <v>1393</v>
      </c>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hidden="1">
      <c r="A1147" s="27" t="s">
        <v>3389</v>
      </c>
      <c r="B1147" s="29" t="s">
        <v>1394</v>
      </c>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hidden="1">
      <c r="A1148" s="27" t="s">
        <v>3390</v>
      </c>
      <c r="B1148" s="29" t="s">
        <v>1395</v>
      </c>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hidden="1">
      <c r="A1149" s="27" t="s">
        <v>3391</v>
      </c>
      <c r="B1149" s="29" t="s">
        <v>1396</v>
      </c>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hidden="1">
      <c r="A1150" s="27" t="s">
        <v>3392</v>
      </c>
      <c r="B1150" s="29" t="s">
        <v>1397</v>
      </c>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hidden="1">
      <c r="A1151" s="27" t="s">
        <v>3393</v>
      </c>
      <c r="B1151" s="29" t="s">
        <v>1399</v>
      </c>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hidden="1">
      <c r="A1152" s="27" t="s">
        <v>3394</v>
      </c>
      <c r="B1152" s="29" t="s">
        <v>1400</v>
      </c>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hidden="1">
      <c r="A1153" s="27" t="s">
        <v>3395</v>
      </c>
      <c r="B1153" s="29" t="s">
        <v>1401</v>
      </c>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hidden="1">
      <c r="A1154" s="27" t="s">
        <v>3396</v>
      </c>
      <c r="B1154" s="29" t="s">
        <v>1402</v>
      </c>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hidden="1">
      <c r="A1155" s="27" t="s">
        <v>3397</v>
      </c>
      <c r="B1155" s="29" t="s">
        <v>1403</v>
      </c>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hidden="1">
      <c r="A1156" s="27" t="s">
        <v>3398</v>
      </c>
      <c r="B1156" s="29" t="s">
        <v>1404</v>
      </c>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hidden="1">
      <c r="A1157" s="27" t="s">
        <v>3399</v>
      </c>
      <c r="B1157" s="29" t="s">
        <v>1405</v>
      </c>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hidden="1">
      <c r="A1158" s="27" t="s">
        <v>3400</v>
      </c>
      <c r="B1158" s="29" t="s">
        <v>1407</v>
      </c>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hidden="1">
      <c r="A1159" s="27" t="s">
        <v>3401</v>
      </c>
      <c r="B1159" s="29" t="s">
        <v>1408</v>
      </c>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hidden="1">
      <c r="A1160" s="27" t="s">
        <v>3402</v>
      </c>
      <c r="B1160" s="29" t="s">
        <v>1409</v>
      </c>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hidden="1">
      <c r="A1161" s="27" t="s">
        <v>3403</v>
      </c>
      <c r="B1161" s="29" t="s">
        <v>1410</v>
      </c>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hidden="1">
      <c r="A1162" s="27" t="s">
        <v>3404</v>
      </c>
      <c r="B1162" s="29" t="s">
        <v>1411</v>
      </c>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hidden="1">
      <c r="A1163" s="27" t="s">
        <v>3405</v>
      </c>
      <c r="B1163" s="29" t="s">
        <v>1412</v>
      </c>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hidden="1">
      <c r="A1164" s="27" t="s">
        <v>3406</v>
      </c>
      <c r="B1164" s="29" t="s">
        <v>1413</v>
      </c>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hidden="1">
      <c r="A1165" s="27" t="s">
        <v>3407</v>
      </c>
      <c r="B1165" s="29" t="s">
        <v>1414</v>
      </c>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hidden="1">
      <c r="A1166" s="27" t="s">
        <v>3408</v>
      </c>
      <c r="B1166" s="29" t="s">
        <v>1416</v>
      </c>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hidden="1">
      <c r="A1167" s="27" t="s">
        <v>3409</v>
      </c>
      <c r="B1167" s="29" t="s">
        <v>1417</v>
      </c>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hidden="1">
      <c r="A1168" s="27" t="s">
        <v>3410</v>
      </c>
      <c r="B1168" s="29" t="s">
        <v>1418</v>
      </c>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hidden="1">
      <c r="A1169" s="27" t="s">
        <v>3411</v>
      </c>
      <c r="B1169" s="29" t="s">
        <v>1419</v>
      </c>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hidden="1">
      <c r="A1170" s="27" t="s">
        <v>3412</v>
      </c>
      <c r="B1170" s="29" t="s">
        <v>1420</v>
      </c>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hidden="1">
      <c r="A1171" s="27" t="s">
        <v>3413</v>
      </c>
      <c r="B1171" s="29" t="s">
        <v>1422</v>
      </c>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hidden="1">
      <c r="A1172" s="27" t="s">
        <v>3414</v>
      </c>
      <c r="B1172" s="29" t="s">
        <v>1423</v>
      </c>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hidden="1">
      <c r="A1173" s="27" t="s">
        <v>3415</v>
      </c>
      <c r="B1173" s="29" t="s">
        <v>1424</v>
      </c>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hidden="1">
      <c r="A1174" s="27" t="s">
        <v>3416</v>
      </c>
      <c r="B1174" s="29" t="s">
        <v>1425</v>
      </c>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hidden="1">
      <c r="A1175" s="27" t="s">
        <v>3417</v>
      </c>
      <c r="B1175" s="29" t="s">
        <v>1426</v>
      </c>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hidden="1">
      <c r="A1176" s="27" t="s">
        <v>3418</v>
      </c>
      <c r="B1176" s="29" t="s">
        <v>1428</v>
      </c>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hidden="1">
      <c r="A1177" s="27" t="s">
        <v>3419</v>
      </c>
      <c r="B1177" s="29" t="s">
        <v>1429</v>
      </c>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hidden="1">
      <c r="A1178" s="27" t="s">
        <v>3420</v>
      </c>
      <c r="B1178" s="29" t="s">
        <v>1430</v>
      </c>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hidden="1">
      <c r="A1179" s="27" t="s">
        <v>3421</v>
      </c>
      <c r="B1179" s="29" t="s">
        <v>1431</v>
      </c>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hidden="1">
      <c r="A1180" s="27" t="s">
        <v>3422</v>
      </c>
      <c r="B1180" s="29" t="s">
        <v>1432</v>
      </c>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hidden="1">
      <c r="A1181" s="27" t="s">
        <v>3423</v>
      </c>
      <c r="B1181" s="29" t="s">
        <v>1433</v>
      </c>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hidden="1">
      <c r="A1182" s="27" t="s">
        <v>3424</v>
      </c>
      <c r="B1182" s="29" t="s">
        <v>1434</v>
      </c>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hidden="1">
      <c r="A1183" s="27" t="s">
        <v>3425</v>
      </c>
      <c r="B1183" s="29" t="s">
        <v>1436</v>
      </c>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hidden="1">
      <c r="A1184" s="27" t="s">
        <v>3426</v>
      </c>
      <c r="B1184" s="29" t="s">
        <v>1437</v>
      </c>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hidden="1">
      <c r="A1185" s="27" t="s">
        <v>3427</v>
      </c>
      <c r="B1185" s="29" t="s">
        <v>1438</v>
      </c>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hidden="1">
      <c r="A1186" s="27" t="s">
        <v>3428</v>
      </c>
      <c r="B1186" s="29" t="s">
        <v>1439</v>
      </c>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hidden="1">
      <c r="A1187" s="27" t="s">
        <v>3429</v>
      </c>
      <c r="B1187" s="29" t="s">
        <v>1440</v>
      </c>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hidden="1">
      <c r="A1188" s="27" t="s">
        <v>3430</v>
      </c>
      <c r="B1188" s="29" t="s">
        <v>1441</v>
      </c>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hidden="1">
      <c r="A1189" s="27" t="s">
        <v>3431</v>
      </c>
      <c r="B1189" s="29" t="s">
        <v>1442</v>
      </c>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hidden="1">
      <c r="A1190" s="27" t="s">
        <v>3432</v>
      </c>
      <c r="B1190" s="29" t="s">
        <v>1443</v>
      </c>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hidden="1">
      <c r="A1191" s="27" t="s">
        <v>3433</v>
      </c>
      <c r="B1191" s="29" t="s">
        <v>1445</v>
      </c>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hidden="1">
      <c r="A1192" s="27" t="s">
        <v>3434</v>
      </c>
      <c r="B1192" s="29" t="s">
        <v>1446</v>
      </c>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hidden="1">
      <c r="A1193" s="27" t="s">
        <v>3435</v>
      </c>
      <c r="B1193" s="29" t="s">
        <v>1447</v>
      </c>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hidden="1">
      <c r="A1194" s="27" t="s">
        <v>3436</v>
      </c>
      <c r="B1194" s="29" t="s">
        <v>1448</v>
      </c>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hidden="1">
      <c r="A1195" s="27" t="s">
        <v>3437</v>
      </c>
      <c r="B1195" s="29" t="s">
        <v>1449</v>
      </c>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hidden="1">
      <c r="A1196" s="27" t="s">
        <v>3438</v>
      </c>
      <c r="B1196" s="29" t="s">
        <v>1450</v>
      </c>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hidden="1">
      <c r="A1197" s="27" t="s">
        <v>3439</v>
      </c>
      <c r="B1197" s="29" t="s">
        <v>1451</v>
      </c>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hidden="1">
      <c r="A1198" s="27" t="s">
        <v>3440</v>
      </c>
      <c r="B1198" s="29" t="s">
        <v>1453</v>
      </c>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hidden="1">
      <c r="A1199" s="27" t="s">
        <v>3441</v>
      </c>
      <c r="B1199" s="29" t="s">
        <v>1454</v>
      </c>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hidden="1">
      <c r="A1200" s="27" t="s">
        <v>3442</v>
      </c>
      <c r="B1200" s="29" t="s">
        <v>1455</v>
      </c>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hidden="1">
      <c r="A1201" s="27" t="s">
        <v>3443</v>
      </c>
      <c r="B1201" s="29" t="s">
        <v>1456</v>
      </c>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hidden="1">
      <c r="A1202" s="27" t="s">
        <v>3444</v>
      </c>
      <c r="B1202" s="29" t="s">
        <v>1457</v>
      </c>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hidden="1">
      <c r="A1203" s="27" t="s">
        <v>3445</v>
      </c>
      <c r="B1203" s="29" t="s">
        <v>1458</v>
      </c>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hidden="1">
      <c r="A1204" s="27" t="s">
        <v>3446</v>
      </c>
      <c r="B1204" s="29" t="s">
        <v>1460</v>
      </c>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hidden="1">
      <c r="A1205" s="27" t="s">
        <v>3447</v>
      </c>
      <c r="B1205" s="29" t="s">
        <v>1461</v>
      </c>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hidden="1">
      <c r="A1206" s="27" t="s">
        <v>3448</v>
      </c>
      <c r="B1206" s="29" t="s">
        <v>1462</v>
      </c>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hidden="1">
      <c r="A1207" s="27" t="s">
        <v>3449</v>
      </c>
      <c r="B1207" s="29" t="s">
        <v>1463</v>
      </c>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hidden="1">
      <c r="A1208" s="27" t="s">
        <v>3450</v>
      </c>
      <c r="B1208" s="29" t="s">
        <v>1465</v>
      </c>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hidden="1">
      <c r="A1209" s="27" t="s">
        <v>3451</v>
      </c>
      <c r="B1209" s="29" t="s">
        <v>1466</v>
      </c>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hidden="1">
      <c r="A1210" s="27" t="s">
        <v>3452</v>
      </c>
      <c r="B1210" s="29" t="s">
        <v>1468</v>
      </c>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hidden="1">
      <c r="A1211" s="27" t="s">
        <v>3453</v>
      </c>
      <c r="B1211" s="29" t="s">
        <v>1469</v>
      </c>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hidden="1">
      <c r="A1212" s="27" t="s">
        <v>3454</v>
      </c>
      <c r="B1212" s="29" t="s">
        <v>1470</v>
      </c>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hidden="1">
      <c r="A1213" s="27" t="s">
        <v>3455</v>
      </c>
      <c r="B1213" s="29" t="s">
        <v>1472</v>
      </c>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hidden="1">
      <c r="A1214" s="27" t="s">
        <v>3456</v>
      </c>
      <c r="B1214" s="29" t="s">
        <v>1473</v>
      </c>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hidden="1">
      <c r="A1215" s="27" t="s">
        <v>3457</v>
      </c>
      <c r="B1215" s="29" t="s">
        <v>1474</v>
      </c>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hidden="1">
      <c r="A1216" s="27" t="s">
        <v>3458</v>
      </c>
      <c r="B1216" s="29" t="s">
        <v>1475</v>
      </c>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hidden="1">
      <c r="A1217" s="27" t="s">
        <v>3459</v>
      </c>
      <c r="B1217" s="29" t="s">
        <v>1476</v>
      </c>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hidden="1">
      <c r="A1218" s="27" t="s">
        <v>3460</v>
      </c>
      <c r="B1218" s="29" t="s">
        <v>1478</v>
      </c>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hidden="1">
      <c r="A1219" s="27" t="s">
        <v>3461</v>
      </c>
      <c r="B1219" s="29" t="s">
        <v>1479</v>
      </c>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hidden="1">
      <c r="A1220" s="27" t="s">
        <v>3462</v>
      </c>
      <c r="B1220" s="29" t="s">
        <v>1480</v>
      </c>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hidden="1">
      <c r="A1221" s="27" t="s">
        <v>3463</v>
      </c>
      <c r="B1221" s="29" t="s">
        <v>1481</v>
      </c>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hidden="1">
      <c r="A1222" s="27" t="s">
        <v>3464</v>
      </c>
      <c r="B1222" s="29" t="s">
        <v>1483</v>
      </c>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hidden="1">
      <c r="A1223" s="27" t="s">
        <v>3465</v>
      </c>
      <c r="B1223" s="29" t="s">
        <v>1484</v>
      </c>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hidden="1">
      <c r="A1224" s="27" t="s">
        <v>3466</v>
      </c>
      <c r="B1224" s="29" t="s">
        <v>1485</v>
      </c>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hidden="1">
      <c r="A1225" s="27" t="s">
        <v>3467</v>
      </c>
      <c r="B1225" s="29" t="s">
        <v>1486</v>
      </c>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hidden="1">
      <c r="A1226" s="27" t="s">
        <v>3468</v>
      </c>
      <c r="B1226" s="29" t="s">
        <v>1488</v>
      </c>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hidden="1">
      <c r="A1227" s="27" t="s">
        <v>3469</v>
      </c>
      <c r="B1227" s="29" t="s">
        <v>1490</v>
      </c>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hidden="1">
      <c r="A1228" s="27" t="s">
        <v>3470</v>
      </c>
      <c r="B1228" s="29" t="s">
        <v>1491</v>
      </c>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hidden="1">
      <c r="A1229" s="27" t="s">
        <v>3471</v>
      </c>
      <c r="B1229" s="29" t="s">
        <v>1492</v>
      </c>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hidden="1">
      <c r="A1230" s="27" t="s">
        <v>3472</v>
      </c>
      <c r="B1230" s="29" t="s">
        <v>1493</v>
      </c>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hidden="1">
      <c r="A1231" s="27" t="s">
        <v>3473</v>
      </c>
      <c r="B1231" s="29" t="s">
        <v>1495</v>
      </c>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hidden="1">
      <c r="A1232" s="27" t="s">
        <v>3474</v>
      </c>
      <c r="B1232" s="29" t="s">
        <v>1496</v>
      </c>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hidden="1">
      <c r="A1233" s="27" t="s">
        <v>3475</v>
      </c>
      <c r="B1233" s="29" t="s">
        <v>1497</v>
      </c>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hidden="1">
      <c r="A1234" s="27" t="s">
        <v>3476</v>
      </c>
      <c r="B1234" s="29" t="s">
        <v>1498</v>
      </c>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hidden="1">
      <c r="A1235" s="27" t="s">
        <v>3477</v>
      </c>
      <c r="B1235" s="29" t="s">
        <v>1499</v>
      </c>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hidden="1">
      <c r="A1236" s="27" t="s">
        <v>3478</v>
      </c>
      <c r="B1236" s="29" t="s">
        <v>1501</v>
      </c>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hidden="1">
      <c r="A1237" s="27" t="s">
        <v>3479</v>
      </c>
      <c r="B1237" s="29" t="s">
        <v>1502</v>
      </c>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hidden="1">
      <c r="A1238" s="27" t="s">
        <v>3480</v>
      </c>
      <c r="B1238" s="29" t="s">
        <v>1503</v>
      </c>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hidden="1">
      <c r="A1239" s="27" t="s">
        <v>3481</v>
      </c>
      <c r="B1239" s="29" t="s">
        <v>1504</v>
      </c>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hidden="1">
      <c r="A1240" s="27" t="s">
        <v>3482</v>
      </c>
      <c r="B1240" s="29" t="s">
        <v>1505</v>
      </c>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hidden="1">
      <c r="A1241" s="27" t="s">
        <v>3483</v>
      </c>
      <c r="B1241" s="29" t="s">
        <v>1507</v>
      </c>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hidden="1">
      <c r="A1242" s="27" t="s">
        <v>3484</v>
      </c>
      <c r="B1242" s="29" t="s">
        <v>1508</v>
      </c>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hidden="1">
      <c r="A1243" s="27" t="s">
        <v>3485</v>
      </c>
      <c r="B1243" s="29" t="s">
        <v>1509</v>
      </c>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hidden="1">
      <c r="A1244" s="27" t="s">
        <v>3486</v>
      </c>
      <c r="B1244" s="29" t="s">
        <v>1510</v>
      </c>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hidden="1">
      <c r="A1245" s="27" t="s">
        <v>3487</v>
      </c>
      <c r="B1245" s="29" t="s">
        <v>1513</v>
      </c>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hidden="1">
      <c r="A1246" s="27" t="s">
        <v>3488</v>
      </c>
      <c r="B1246" s="29" t="s">
        <v>1514</v>
      </c>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hidden="1">
      <c r="A1247" s="27" t="s">
        <v>3489</v>
      </c>
      <c r="B1247" s="29" t="s">
        <v>1515</v>
      </c>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hidden="1">
      <c r="A1248" s="27" t="s">
        <v>3490</v>
      </c>
      <c r="B1248" s="29" t="s">
        <v>1516</v>
      </c>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hidden="1">
      <c r="A1249" s="27" t="s">
        <v>3491</v>
      </c>
      <c r="B1249" s="29" t="s">
        <v>1517</v>
      </c>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hidden="1">
      <c r="A1250" s="27" t="s">
        <v>3492</v>
      </c>
      <c r="B1250" s="29" t="s">
        <v>1518</v>
      </c>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hidden="1">
      <c r="A1251" s="27" t="s">
        <v>3493</v>
      </c>
      <c r="B1251" s="29" t="s">
        <v>1520</v>
      </c>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hidden="1">
      <c r="A1252" s="27" t="s">
        <v>3494</v>
      </c>
      <c r="B1252" s="29" t="s">
        <v>1521</v>
      </c>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hidden="1">
      <c r="A1253" s="27" t="s">
        <v>3495</v>
      </c>
      <c r="B1253" s="29" t="s">
        <v>1522</v>
      </c>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hidden="1">
      <c r="A1254" s="27" t="s">
        <v>3496</v>
      </c>
      <c r="B1254" s="29" t="s">
        <v>1523</v>
      </c>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hidden="1">
      <c r="A1255" s="27" t="s">
        <v>3497</v>
      </c>
      <c r="B1255" s="29" t="s">
        <v>1524</v>
      </c>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hidden="1">
      <c r="A1256" s="27" t="s">
        <v>3498</v>
      </c>
      <c r="B1256" s="29" t="s">
        <v>1526</v>
      </c>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hidden="1">
      <c r="A1257" s="27" t="s">
        <v>3499</v>
      </c>
      <c r="B1257" s="29" t="s">
        <v>1527</v>
      </c>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hidden="1">
      <c r="A1258" s="27" t="s">
        <v>3500</v>
      </c>
      <c r="B1258" s="29" t="s">
        <v>1528</v>
      </c>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hidden="1">
      <c r="A1259" s="27" t="s">
        <v>3501</v>
      </c>
      <c r="B1259" s="29" t="s">
        <v>1529</v>
      </c>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row r="1260" hidden="1">
      <c r="A1260" s="27" t="s">
        <v>3502</v>
      </c>
      <c r="B1260" s="29" t="s">
        <v>1531</v>
      </c>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row>
    <row r="1261" hidden="1">
      <c r="A1261" s="27" t="s">
        <v>3503</v>
      </c>
      <c r="B1261" s="29" t="s">
        <v>1532</v>
      </c>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row>
    <row r="1262" hidden="1">
      <c r="A1262" s="27" t="s">
        <v>3504</v>
      </c>
      <c r="B1262" s="29" t="s">
        <v>1533</v>
      </c>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row>
    <row r="1263" hidden="1">
      <c r="A1263" s="27" t="s">
        <v>3505</v>
      </c>
      <c r="B1263" s="29" t="s">
        <v>1534</v>
      </c>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hidden="1">
      <c r="A1264" s="27" t="s">
        <v>3506</v>
      </c>
      <c r="B1264" s="29" t="s">
        <v>1535</v>
      </c>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row>
    <row r="1265" hidden="1">
      <c r="A1265" s="27" t="s">
        <v>3507</v>
      </c>
      <c r="B1265" s="29" t="s">
        <v>1538</v>
      </c>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row>
    <row r="1266" hidden="1">
      <c r="A1266" s="27" t="s">
        <v>3508</v>
      </c>
      <c r="B1266" s="29" t="s">
        <v>1540</v>
      </c>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row>
    <row r="1267" hidden="1">
      <c r="A1267" s="27" t="s">
        <v>3509</v>
      </c>
      <c r="B1267" s="29" t="s">
        <v>1541</v>
      </c>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row>
    <row r="1268" hidden="1">
      <c r="A1268" s="27" t="s">
        <v>3510</v>
      </c>
      <c r="B1268" s="29" t="s">
        <v>1542</v>
      </c>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row>
    <row r="1269" hidden="1">
      <c r="A1269" s="27" t="s">
        <v>3511</v>
      </c>
      <c r="B1269" s="29" t="s">
        <v>1544</v>
      </c>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row>
    <row r="1270" hidden="1">
      <c r="A1270" s="27" t="s">
        <v>3512</v>
      </c>
      <c r="B1270" s="29" t="s">
        <v>1545</v>
      </c>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row>
    <row r="1271" hidden="1">
      <c r="A1271" s="27" t="s">
        <v>3513</v>
      </c>
      <c r="B1271" s="29" t="s">
        <v>1546</v>
      </c>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row>
    <row r="1272" hidden="1">
      <c r="A1272" s="27" t="s">
        <v>3514</v>
      </c>
      <c r="B1272" s="29" t="s">
        <v>1547</v>
      </c>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hidden="1">
      <c r="A1273" s="27" t="s">
        <v>3515</v>
      </c>
      <c r="B1273" s="29" t="s">
        <v>1549</v>
      </c>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row>
    <row r="1274" hidden="1">
      <c r="A1274" s="27" t="s">
        <v>3516</v>
      </c>
      <c r="B1274" s="29" t="s">
        <v>1550</v>
      </c>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row>
    <row r="1275" hidden="1">
      <c r="A1275" s="27" t="s">
        <v>3517</v>
      </c>
      <c r="B1275" s="29" t="s">
        <v>1551</v>
      </c>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row>
    <row r="1276" hidden="1">
      <c r="A1276" s="27" t="s">
        <v>3518</v>
      </c>
      <c r="B1276" s="29" t="s">
        <v>1552</v>
      </c>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row>
    <row r="1277" hidden="1">
      <c r="A1277" s="27" t="s">
        <v>3519</v>
      </c>
      <c r="B1277" s="29" t="s">
        <v>1553</v>
      </c>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row>
    <row r="1278" hidden="1">
      <c r="A1278" s="27" t="s">
        <v>3520</v>
      </c>
      <c r="B1278" s="29" t="s">
        <v>1555</v>
      </c>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row>
    <row r="1279" hidden="1">
      <c r="A1279" s="27" t="s">
        <v>3521</v>
      </c>
      <c r="B1279" s="29" t="s">
        <v>1556</v>
      </c>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row>
    <row r="1280" hidden="1">
      <c r="A1280" s="27" t="s">
        <v>3522</v>
      </c>
      <c r="B1280" s="29" t="s">
        <v>1557</v>
      </c>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row>
    <row r="1281" hidden="1">
      <c r="A1281" s="27" t="s">
        <v>3523</v>
      </c>
      <c r="B1281" s="29" t="s">
        <v>1559</v>
      </c>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row>
    <row r="1282" hidden="1">
      <c r="A1282" s="27" t="s">
        <v>3524</v>
      </c>
      <c r="B1282" s="29" t="s">
        <v>1560</v>
      </c>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row>
    <row r="1283" hidden="1">
      <c r="A1283" s="27" t="s">
        <v>3525</v>
      </c>
      <c r="B1283" s="29" t="s">
        <v>1561</v>
      </c>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row>
    <row r="1284" hidden="1">
      <c r="A1284" s="27" t="s">
        <v>3526</v>
      </c>
      <c r="B1284" s="29" t="s">
        <v>1563</v>
      </c>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row>
    <row r="1285" hidden="1">
      <c r="A1285" s="27" t="s">
        <v>3527</v>
      </c>
      <c r="B1285" s="29" t="s">
        <v>1564</v>
      </c>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row>
    <row r="1286" hidden="1">
      <c r="A1286" s="27" t="s">
        <v>3528</v>
      </c>
      <c r="B1286" s="29" t="s">
        <v>1566</v>
      </c>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row>
    <row r="1287" hidden="1">
      <c r="A1287" s="27" t="s">
        <v>3529</v>
      </c>
      <c r="B1287" s="29" t="s">
        <v>1567</v>
      </c>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row>
    <row r="1288" hidden="1">
      <c r="A1288" s="27" t="s">
        <v>3530</v>
      </c>
      <c r="B1288" s="29" t="s">
        <v>1568</v>
      </c>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row>
    <row r="1289" hidden="1">
      <c r="A1289" s="27" t="s">
        <v>3531</v>
      </c>
      <c r="B1289" s="29" t="s">
        <v>1569</v>
      </c>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row>
    <row r="1290" hidden="1">
      <c r="A1290" s="27" t="s">
        <v>3532</v>
      </c>
      <c r="B1290" s="29" t="s">
        <v>1570</v>
      </c>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row>
    <row r="1291" hidden="1">
      <c r="A1291" s="27" t="s">
        <v>3533</v>
      </c>
      <c r="B1291" s="29" t="s">
        <v>1572</v>
      </c>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row>
    <row r="1292" hidden="1">
      <c r="A1292" s="27" t="s">
        <v>3534</v>
      </c>
      <c r="B1292" s="29" t="s">
        <v>1574</v>
      </c>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row>
    <row r="1293" hidden="1">
      <c r="A1293" s="27" t="s">
        <v>3535</v>
      </c>
      <c r="B1293" s="29" t="s">
        <v>1575</v>
      </c>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row>
    <row r="1294" hidden="1">
      <c r="A1294" s="27" t="s">
        <v>3536</v>
      </c>
      <c r="B1294" s="29" t="s">
        <v>1576</v>
      </c>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row>
    <row r="1295" hidden="1">
      <c r="A1295" s="27" t="s">
        <v>3537</v>
      </c>
      <c r="B1295" s="29" t="s">
        <v>1577</v>
      </c>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row>
    <row r="1296" hidden="1">
      <c r="A1296" s="27" t="s">
        <v>3538</v>
      </c>
      <c r="B1296" s="29" t="s">
        <v>1578</v>
      </c>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row>
    <row r="1297" hidden="1">
      <c r="A1297" s="27" t="s">
        <v>3539</v>
      </c>
      <c r="B1297" s="29" t="s">
        <v>1580</v>
      </c>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row>
    <row r="1298" hidden="1">
      <c r="A1298" s="27" t="s">
        <v>3540</v>
      </c>
      <c r="B1298" s="29" t="s">
        <v>1581</v>
      </c>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row>
    <row r="1299" hidden="1">
      <c r="A1299" s="27" t="s">
        <v>3541</v>
      </c>
      <c r="B1299" s="29" t="s">
        <v>1582</v>
      </c>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row>
    <row r="1300" hidden="1">
      <c r="A1300" s="27" t="s">
        <v>3542</v>
      </c>
      <c r="B1300" s="29" t="s">
        <v>1583</v>
      </c>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row>
    <row r="1301" hidden="1">
      <c r="A1301" s="27" t="s">
        <v>3543</v>
      </c>
      <c r="B1301" s="29" t="s">
        <v>1585</v>
      </c>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row>
    <row r="1302" hidden="1">
      <c r="A1302" s="27" t="s">
        <v>3544</v>
      </c>
      <c r="B1302" s="29" t="s">
        <v>1586</v>
      </c>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row>
    <row r="1303" hidden="1">
      <c r="A1303" s="27" t="s">
        <v>3545</v>
      </c>
      <c r="B1303" s="29" t="s">
        <v>1587</v>
      </c>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row>
    <row r="1304" hidden="1">
      <c r="A1304" s="27" t="s">
        <v>3546</v>
      </c>
      <c r="B1304" s="29" t="s">
        <v>1588</v>
      </c>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row>
    <row r="1305" hidden="1">
      <c r="A1305" s="27" t="s">
        <v>3547</v>
      </c>
      <c r="B1305" s="29" t="s">
        <v>1590</v>
      </c>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row>
    <row r="1306" hidden="1">
      <c r="A1306" s="27" t="s">
        <v>3548</v>
      </c>
      <c r="B1306" s="29" t="s">
        <v>1591</v>
      </c>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row>
    <row r="1307" hidden="1">
      <c r="A1307" s="27" t="s">
        <v>3549</v>
      </c>
      <c r="B1307" s="29" t="s">
        <v>1592</v>
      </c>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row>
    <row r="1308" hidden="1">
      <c r="A1308" s="27" t="s">
        <v>3550</v>
      </c>
      <c r="B1308" s="29" t="s">
        <v>1594</v>
      </c>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hidden="1">
      <c r="A1309" s="27" t="s">
        <v>3551</v>
      </c>
      <c r="B1309" s="29" t="s">
        <v>1595</v>
      </c>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row>
    <row r="1310" hidden="1">
      <c r="A1310" s="27" t="s">
        <v>3552</v>
      </c>
      <c r="B1310" s="29" t="s">
        <v>1596</v>
      </c>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row>
    <row r="1311" hidden="1">
      <c r="A1311" s="27" t="s">
        <v>3553</v>
      </c>
      <c r="B1311" s="29" t="s">
        <v>1598</v>
      </c>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row>
    <row r="1312" hidden="1">
      <c r="A1312" s="27" t="s">
        <v>3554</v>
      </c>
      <c r="B1312" s="29" t="s">
        <v>1599</v>
      </c>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row>
    <row r="1313" hidden="1">
      <c r="A1313" s="27" t="s">
        <v>3555</v>
      </c>
      <c r="B1313" s="29" t="s">
        <v>1600</v>
      </c>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row>
    <row r="1314" hidden="1">
      <c r="A1314" s="27" t="s">
        <v>3556</v>
      </c>
      <c r="B1314" s="29" t="s">
        <v>1602</v>
      </c>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row>
    <row r="1315" hidden="1">
      <c r="A1315" s="27" t="s">
        <v>3557</v>
      </c>
      <c r="B1315" s="29" t="s">
        <v>1603</v>
      </c>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row>
    <row r="1316" hidden="1">
      <c r="A1316" s="27" t="s">
        <v>3558</v>
      </c>
      <c r="B1316" s="29" t="s">
        <v>1604</v>
      </c>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row>
    <row r="1317" hidden="1">
      <c r="A1317" s="27" t="s">
        <v>3559</v>
      </c>
      <c r="B1317" s="29" t="s">
        <v>1606</v>
      </c>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row>
    <row r="1318" hidden="1">
      <c r="A1318" s="27" t="s">
        <v>3560</v>
      </c>
      <c r="B1318" s="29" t="s">
        <v>1607</v>
      </c>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row>
    <row r="1319" hidden="1">
      <c r="A1319" s="27" t="s">
        <v>3561</v>
      </c>
      <c r="B1319" s="29" t="s">
        <v>1608</v>
      </c>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row>
    <row r="1320" hidden="1">
      <c r="A1320" s="27" t="s">
        <v>3562</v>
      </c>
      <c r="B1320" s="29" t="s">
        <v>1610</v>
      </c>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row>
    <row r="1321" hidden="1">
      <c r="A1321" s="27" t="s">
        <v>3563</v>
      </c>
      <c r="B1321" s="29" t="s">
        <v>1611</v>
      </c>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row>
    <row r="1322" hidden="1">
      <c r="A1322" s="27" t="s">
        <v>3564</v>
      </c>
      <c r="B1322" s="29" t="s">
        <v>1612</v>
      </c>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row>
    <row r="1323" hidden="1">
      <c r="A1323" s="27" t="s">
        <v>3565</v>
      </c>
      <c r="B1323" s="29" t="s">
        <v>1614</v>
      </c>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row>
    <row r="1324" hidden="1">
      <c r="A1324" s="27" t="s">
        <v>3566</v>
      </c>
      <c r="B1324" s="29" t="s">
        <v>1615</v>
      </c>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row>
    <row r="1325" hidden="1">
      <c r="A1325" s="27" t="s">
        <v>3567</v>
      </c>
      <c r="B1325" s="29" t="s">
        <v>1616</v>
      </c>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row>
    <row r="1326" hidden="1">
      <c r="A1326" s="27" t="s">
        <v>3568</v>
      </c>
      <c r="B1326" s="29" t="s">
        <v>1618</v>
      </c>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row>
    <row r="1327" hidden="1">
      <c r="A1327" s="27" t="s">
        <v>3569</v>
      </c>
      <c r="B1327" s="29" t="s">
        <v>1619</v>
      </c>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row>
    <row r="1328" hidden="1">
      <c r="A1328" s="27" t="s">
        <v>3570</v>
      </c>
      <c r="B1328" s="29" t="s">
        <v>1620</v>
      </c>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row>
    <row r="1329" hidden="1">
      <c r="A1329" s="27" t="s">
        <v>3571</v>
      </c>
      <c r="B1329" s="29" t="s">
        <v>1622</v>
      </c>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row>
    <row r="1330" hidden="1">
      <c r="A1330" s="27" t="s">
        <v>3572</v>
      </c>
      <c r="B1330" s="29" t="s">
        <v>1623</v>
      </c>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row>
    <row r="1331" hidden="1">
      <c r="A1331" s="27" t="s">
        <v>3573</v>
      </c>
      <c r="B1331" s="29" t="s">
        <v>1625</v>
      </c>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row>
    <row r="1332" hidden="1">
      <c r="A1332" s="27" t="s">
        <v>3574</v>
      </c>
      <c r="B1332" s="29" t="s">
        <v>1627</v>
      </c>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row>
    <row r="1333" hidden="1">
      <c r="A1333" s="27" t="s">
        <v>3575</v>
      </c>
      <c r="B1333" s="29" t="s">
        <v>1628</v>
      </c>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row>
    <row r="1334" hidden="1">
      <c r="A1334" s="27" t="s">
        <v>3576</v>
      </c>
      <c r="B1334" s="29" t="s">
        <v>1629</v>
      </c>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row>
    <row r="1335" hidden="1">
      <c r="A1335" s="27" t="s">
        <v>3577</v>
      </c>
      <c r="B1335" s="29" t="s">
        <v>1630</v>
      </c>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row>
    <row r="1336" hidden="1">
      <c r="A1336" s="27" t="s">
        <v>3578</v>
      </c>
      <c r="B1336" s="29" t="s">
        <v>1632</v>
      </c>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row>
    <row r="1337" hidden="1">
      <c r="A1337" s="27" t="s">
        <v>3579</v>
      </c>
      <c r="B1337" s="29" t="s">
        <v>1633</v>
      </c>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row>
    <row r="1338" hidden="1">
      <c r="A1338" s="27" t="s">
        <v>3580</v>
      </c>
      <c r="B1338" s="29" t="s">
        <v>1634</v>
      </c>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row>
    <row r="1339" hidden="1">
      <c r="A1339" s="27" t="s">
        <v>3581</v>
      </c>
      <c r="B1339" s="29" t="s">
        <v>1635</v>
      </c>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row>
    <row r="1340" hidden="1">
      <c r="A1340" s="27" t="s">
        <v>3582</v>
      </c>
      <c r="B1340" s="29" t="s">
        <v>1636</v>
      </c>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row>
    <row r="1341" hidden="1">
      <c r="A1341" s="27" t="s">
        <v>3583</v>
      </c>
      <c r="B1341" s="29" t="s">
        <v>1638</v>
      </c>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row>
    <row r="1342" hidden="1">
      <c r="A1342" s="27" t="s">
        <v>3584</v>
      </c>
      <c r="B1342" s="29" t="s">
        <v>1639</v>
      </c>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row>
    <row r="1343" hidden="1">
      <c r="A1343" s="27" t="s">
        <v>3585</v>
      </c>
      <c r="B1343" s="29" t="s">
        <v>1640</v>
      </c>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row>
    <row r="1344" hidden="1">
      <c r="A1344" s="27" t="s">
        <v>3586</v>
      </c>
      <c r="B1344" s="29" t="s">
        <v>1641</v>
      </c>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row>
    <row r="1345" hidden="1">
      <c r="A1345" s="27" t="s">
        <v>3587</v>
      </c>
      <c r="B1345" s="29" t="s">
        <v>1643</v>
      </c>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row>
    <row r="1346" hidden="1">
      <c r="A1346" s="27" t="s">
        <v>3588</v>
      </c>
      <c r="B1346" s="29" t="s">
        <v>1644</v>
      </c>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hidden="1">
      <c r="A1347" s="27" t="s">
        <v>3589</v>
      </c>
      <c r="B1347" s="29" t="s">
        <v>1645</v>
      </c>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row>
    <row r="1348" hidden="1">
      <c r="A1348" s="27" t="s">
        <v>3590</v>
      </c>
      <c r="B1348" s="29" t="s">
        <v>1646</v>
      </c>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row>
    <row r="1349" hidden="1">
      <c r="A1349" s="27" t="s">
        <v>3591</v>
      </c>
      <c r="B1349" s="29" t="s">
        <v>1647</v>
      </c>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row>
    <row r="1350" hidden="1">
      <c r="A1350" s="27" t="s">
        <v>3592</v>
      </c>
      <c r="B1350" s="29" t="s">
        <v>1649</v>
      </c>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row>
    <row r="1351" hidden="1">
      <c r="A1351" s="27" t="s">
        <v>3593</v>
      </c>
      <c r="B1351" s="29" t="s">
        <v>1650</v>
      </c>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row>
    <row r="1352" hidden="1">
      <c r="A1352" s="27" t="s">
        <v>3594</v>
      </c>
      <c r="B1352" s="29" t="s">
        <v>1651</v>
      </c>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row>
    <row r="1353" hidden="1">
      <c r="A1353" s="27" t="s">
        <v>3595</v>
      </c>
      <c r="B1353" s="29" t="s">
        <v>1652</v>
      </c>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row>
    <row r="1354" hidden="1">
      <c r="A1354" s="27" t="s">
        <v>3596</v>
      </c>
      <c r="B1354" s="29" t="s">
        <v>1653</v>
      </c>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row>
    <row r="1355" hidden="1">
      <c r="A1355" s="27" t="s">
        <v>3597</v>
      </c>
      <c r="B1355" s="29" t="s">
        <v>1655</v>
      </c>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row>
    <row r="1356" hidden="1">
      <c r="A1356" s="27" t="s">
        <v>3598</v>
      </c>
      <c r="B1356" s="29" t="s">
        <v>1656</v>
      </c>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row>
    <row r="1357" hidden="1">
      <c r="A1357" s="27" t="s">
        <v>3599</v>
      </c>
      <c r="B1357" s="29" t="s">
        <v>1657</v>
      </c>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row>
    <row r="1358" hidden="1">
      <c r="A1358" s="27" t="s">
        <v>3600</v>
      </c>
      <c r="B1358" s="29" t="s">
        <v>1658</v>
      </c>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row>
    <row r="1359" hidden="1">
      <c r="A1359" s="27" t="s">
        <v>3601</v>
      </c>
      <c r="B1359" s="29" t="s">
        <v>1659</v>
      </c>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row>
    <row r="1360" hidden="1">
      <c r="A1360" s="27" t="s">
        <v>3602</v>
      </c>
      <c r="B1360" s="29" t="s">
        <v>1661</v>
      </c>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row>
    <row r="1361" hidden="1">
      <c r="A1361" s="27" t="s">
        <v>3603</v>
      </c>
      <c r="B1361" s="29" t="s">
        <v>1662</v>
      </c>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row>
    <row r="1362" hidden="1">
      <c r="A1362" s="27" t="s">
        <v>3604</v>
      </c>
      <c r="B1362" s="29" t="s">
        <v>1663</v>
      </c>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row>
    <row r="1363" hidden="1">
      <c r="A1363" s="27" t="s">
        <v>3605</v>
      </c>
      <c r="B1363" s="29" t="s">
        <v>1664</v>
      </c>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row>
    <row r="1364" hidden="1">
      <c r="A1364" s="27" t="s">
        <v>3606</v>
      </c>
      <c r="B1364" s="29" t="s">
        <v>1665</v>
      </c>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row>
    <row r="1365" hidden="1">
      <c r="A1365" s="27" t="s">
        <v>3607</v>
      </c>
      <c r="B1365" s="29" t="s">
        <v>1667</v>
      </c>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hidden="1">
      <c r="A1366" s="27" t="s">
        <v>3608</v>
      </c>
      <c r="B1366" s="29" t="s">
        <v>1668</v>
      </c>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hidden="1">
      <c r="A1367" s="27" t="s">
        <v>3609</v>
      </c>
      <c r="B1367" s="29" t="s">
        <v>1669</v>
      </c>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row>
    <row r="1368" hidden="1">
      <c r="A1368" s="27" t="s">
        <v>3610</v>
      </c>
      <c r="B1368" s="29" t="s">
        <v>1670</v>
      </c>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row>
    <row r="1369" hidden="1">
      <c r="A1369" s="27" t="s">
        <v>3611</v>
      </c>
      <c r="B1369" s="29" t="s">
        <v>1672</v>
      </c>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row>
    <row r="1370" hidden="1">
      <c r="A1370" s="27" t="s">
        <v>3612</v>
      </c>
      <c r="B1370" s="29" t="s">
        <v>1673</v>
      </c>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row>
    <row r="1371" hidden="1">
      <c r="A1371" s="27" t="s">
        <v>3613</v>
      </c>
      <c r="B1371" s="29" t="s">
        <v>1674</v>
      </c>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row>
    <row r="1372" hidden="1">
      <c r="A1372" s="27" t="s">
        <v>3614</v>
      </c>
      <c r="B1372" s="29" t="s">
        <v>1676</v>
      </c>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hidden="1">
      <c r="A1373" s="27" t="s">
        <v>3615</v>
      </c>
      <c r="B1373" s="29" t="s">
        <v>1677</v>
      </c>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row>
    <row r="1374" hidden="1">
      <c r="A1374" s="27" t="s">
        <v>3616</v>
      </c>
      <c r="B1374" s="29" t="s">
        <v>1678</v>
      </c>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row>
    <row r="1375" hidden="1">
      <c r="A1375" s="27" t="s">
        <v>3617</v>
      </c>
      <c r="B1375" s="29" t="s">
        <v>1679</v>
      </c>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hidden="1">
      <c r="A1376" s="27" t="s">
        <v>3618</v>
      </c>
      <c r="B1376" s="29" t="s">
        <v>1681</v>
      </c>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hidden="1">
      <c r="A1377" s="27" t="s">
        <v>3619</v>
      </c>
      <c r="B1377" s="29" t="s">
        <v>1682</v>
      </c>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row>
    <row r="1378" hidden="1">
      <c r="A1378" s="27" t="s">
        <v>3620</v>
      </c>
      <c r="B1378" s="29" t="s">
        <v>1683</v>
      </c>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row>
    <row r="1379" hidden="1">
      <c r="A1379" s="27" t="s">
        <v>3621</v>
      </c>
      <c r="B1379" s="29" t="s">
        <v>1684</v>
      </c>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row>
    <row r="1380" hidden="1">
      <c r="A1380" s="27" t="s">
        <v>3622</v>
      </c>
      <c r="B1380" s="29" t="s">
        <v>1686</v>
      </c>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hidden="1">
      <c r="A1381" s="27" t="s">
        <v>3623</v>
      </c>
      <c r="B1381" s="29" t="s">
        <v>1687</v>
      </c>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row>
    <row r="1382" hidden="1">
      <c r="A1382" s="27" t="s">
        <v>3624</v>
      </c>
      <c r="B1382" s="29" t="s">
        <v>1688</v>
      </c>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hidden="1">
      <c r="A1383" s="27" t="s">
        <v>3625</v>
      </c>
      <c r="B1383" s="29" t="s">
        <v>1689</v>
      </c>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row>
    <row r="1384" hidden="1">
      <c r="A1384" s="27" t="s">
        <v>3626</v>
      </c>
      <c r="B1384" s="29" t="s">
        <v>1690</v>
      </c>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row>
    <row r="1385" hidden="1">
      <c r="A1385" s="27" t="s">
        <v>3627</v>
      </c>
      <c r="B1385" s="29" t="s">
        <v>1691</v>
      </c>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hidden="1">
      <c r="A1386" s="27" t="s">
        <v>3628</v>
      </c>
      <c r="B1386" s="29" t="s">
        <v>1693</v>
      </c>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row>
    <row r="1387" hidden="1">
      <c r="A1387" s="27" t="s">
        <v>3629</v>
      </c>
      <c r="B1387" s="29" t="s">
        <v>1694</v>
      </c>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row>
    <row r="1388" hidden="1">
      <c r="A1388" s="27" t="s">
        <v>3630</v>
      </c>
      <c r="B1388" s="29" t="s">
        <v>1695</v>
      </c>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row>
    <row r="1389" hidden="1">
      <c r="A1389" s="27" t="s">
        <v>3631</v>
      </c>
      <c r="B1389" s="29" t="s">
        <v>1697</v>
      </c>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row>
    <row r="1390" hidden="1">
      <c r="A1390" s="27" t="s">
        <v>3632</v>
      </c>
      <c r="B1390" s="29" t="s">
        <v>1698</v>
      </c>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row>
    <row r="1391" hidden="1">
      <c r="A1391" s="27" t="s">
        <v>3633</v>
      </c>
      <c r="B1391" s="29" t="s">
        <v>1700</v>
      </c>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row>
    <row r="1392" hidden="1">
      <c r="A1392" s="27" t="s">
        <v>3634</v>
      </c>
      <c r="B1392" s="29" t="s">
        <v>1701</v>
      </c>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row>
    <row r="1393" hidden="1">
      <c r="A1393" s="27" t="s">
        <v>3635</v>
      </c>
      <c r="B1393" s="29" t="s">
        <v>1703</v>
      </c>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hidden="1">
      <c r="A1394" s="27" t="s">
        <v>3636</v>
      </c>
      <c r="B1394" s="29" t="s">
        <v>1704</v>
      </c>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row>
    <row r="1395" hidden="1">
      <c r="A1395" s="27" t="s">
        <v>3637</v>
      </c>
      <c r="B1395" s="29" t="s">
        <v>1705</v>
      </c>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hidden="1">
      <c r="A1396" s="27" t="s">
        <v>3638</v>
      </c>
      <c r="B1396" s="29" t="s">
        <v>1706</v>
      </c>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hidden="1">
      <c r="A1397" s="27" t="s">
        <v>3639</v>
      </c>
      <c r="B1397" s="29" t="s">
        <v>1707</v>
      </c>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row>
    <row r="1398" hidden="1">
      <c r="A1398" s="27" t="s">
        <v>3640</v>
      </c>
      <c r="B1398" s="29" t="s">
        <v>1709</v>
      </c>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row>
    <row r="1399" hidden="1">
      <c r="A1399" s="27" t="s">
        <v>3641</v>
      </c>
      <c r="B1399" s="29" t="s">
        <v>1710</v>
      </c>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row>
    <row r="1400" hidden="1">
      <c r="A1400" s="27" t="s">
        <v>3642</v>
      </c>
      <c r="B1400" s="29" t="s">
        <v>1711</v>
      </c>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row>
    <row r="1401" hidden="1">
      <c r="A1401" s="27" t="s">
        <v>3643</v>
      </c>
      <c r="B1401" s="29" t="s">
        <v>1712</v>
      </c>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row>
    <row r="1402" hidden="1">
      <c r="A1402" s="27" t="s">
        <v>3644</v>
      </c>
      <c r="B1402" s="29" t="s">
        <v>1713</v>
      </c>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row>
    <row r="1403" hidden="1">
      <c r="A1403" s="27" t="s">
        <v>3645</v>
      </c>
      <c r="B1403" s="29" t="s">
        <v>1715</v>
      </c>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row>
    <row r="1404" hidden="1">
      <c r="A1404" s="27" t="s">
        <v>3646</v>
      </c>
      <c r="B1404" s="29" t="s">
        <v>1716</v>
      </c>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row>
    <row r="1405" hidden="1">
      <c r="A1405" s="27" t="s">
        <v>3647</v>
      </c>
      <c r="B1405" s="29" t="s">
        <v>1717</v>
      </c>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row>
    <row r="1406" hidden="1">
      <c r="A1406" s="27" t="s">
        <v>3648</v>
      </c>
      <c r="B1406" s="29" t="s">
        <v>1719</v>
      </c>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row>
    <row r="1407" hidden="1">
      <c r="A1407" s="27" t="s">
        <v>3649</v>
      </c>
      <c r="B1407" s="29" t="s">
        <v>1720</v>
      </c>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row>
    <row r="1408" hidden="1">
      <c r="A1408" s="27" t="s">
        <v>3650</v>
      </c>
      <c r="B1408" s="29" t="s">
        <v>1721</v>
      </c>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hidden="1">
      <c r="A1409" s="27" t="s">
        <v>3651</v>
      </c>
      <c r="B1409" s="29" t="s">
        <v>1722</v>
      </c>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row>
    <row r="1410" hidden="1">
      <c r="A1410" s="27" t="s">
        <v>3652</v>
      </c>
      <c r="B1410" s="29" t="s">
        <v>1724</v>
      </c>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hidden="1">
      <c r="A1411" s="27" t="s">
        <v>3653</v>
      </c>
      <c r="B1411" s="29" t="s">
        <v>1726</v>
      </c>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row>
    <row r="1412" hidden="1">
      <c r="A1412" s="27" t="s">
        <v>3654</v>
      </c>
      <c r="B1412" s="29" t="s">
        <v>1727</v>
      </c>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row>
    <row r="1413" hidden="1">
      <c r="A1413" s="27" t="s">
        <v>3655</v>
      </c>
      <c r="B1413" s="29" t="s">
        <v>1728</v>
      </c>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row>
    <row r="1414" hidden="1">
      <c r="A1414" s="27" t="s">
        <v>3656</v>
      </c>
      <c r="B1414" s="29" t="s">
        <v>1730</v>
      </c>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row>
    <row r="1415" hidden="1">
      <c r="A1415" s="27" t="s">
        <v>3657</v>
      </c>
      <c r="B1415" s="29" t="s">
        <v>1731</v>
      </c>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row>
    <row r="1416" hidden="1">
      <c r="A1416" s="27" t="s">
        <v>3658</v>
      </c>
      <c r="B1416" s="29" t="s">
        <v>1733</v>
      </c>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row>
    <row r="1417" hidden="1">
      <c r="A1417" s="27" t="s">
        <v>3659</v>
      </c>
      <c r="B1417" s="29" t="s">
        <v>1734</v>
      </c>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row>
    <row r="1418" hidden="1">
      <c r="A1418" s="27" t="s">
        <v>3660</v>
      </c>
      <c r="B1418" s="29" t="s">
        <v>1735</v>
      </c>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row>
    <row r="1419" hidden="1">
      <c r="A1419" s="27" t="s">
        <v>3661</v>
      </c>
      <c r="B1419" s="29" t="s">
        <v>1737</v>
      </c>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hidden="1">
      <c r="A1420" s="27" t="s">
        <v>3662</v>
      </c>
      <c r="B1420" s="29" t="s">
        <v>1738</v>
      </c>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row>
    <row r="1421" hidden="1">
      <c r="A1421" s="27" t="s">
        <v>3663</v>
      </c>
      <c r="B1421" s="29" t="s">
        <v>1739</v>
      </c>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row>
    <row r="1422" hidden="1">
      <c r="A1422" s="27" t="s">
        <v>3664</v>
      </c>
      <c r="B1422" s="29" t="s">
        <v>1740</v>
      </c>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hidden="1">
      <c r="A1423" s="27" t="s">
        <v>3665</v>
      </c>
      <c r="B1423" s="29" t="s">
        <v>1742</v>
      </c>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row>
    <row r="1424" hidden="1">
      <c r="A1424" s="27" t="s">
        <v>3666</v>
      </c>
      <c r="B1424" s="29" t="s">
        <v>1743</v>
      </c>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row>
    <row r="1425" hidden="1">
      <c r="A1425" s="27" t="s">
        <v>3667</v>
      </c>
      <c r="B1425" s="29" t="s">
        <v>1744</v>
      </c>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row>
    <row r="1426" hidden="1">
      <c r="A1426" s="27" t="s">
        <v>3668</v>
      </c>
      <c r="B1426" s="29" t="s">
        <v>1745</v>
      </c>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row>
    <row r="1427" hidden="1">
      <c r="A1427" s="27" t="s">
        <v>3669</v>
      </c>
      <c r="B1427" s="29" t="s">
        <v>1746</v>
      </c>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hidden="1">
      <c r="A1428" s="27" t="s">
        <v>3670</v>
      </c>
      <c r="B1428" s="29" t="s">
        <v>1748</v>
      </c>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row>
    <row r="1429" hidden="1">
      <c r="A1429" s="27" t="s">
        <v>3671</v>
      </c>
      <c r="B1429" s="29" t="s">
        <v>1749</v>
      </c>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hidden="1">
      <c r="A1430" s="27" t="s">
        <v>3672</v>
      </c>
      <c r="B1430" s="29" t="s">
        <v>1751</v>
      </c>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row>
    <row r="1431" hidden="1">
      <c r="A1431" s="27" t="s">
        <v>3673</v>
      </c>
      <c r="B1431" s="29" t="s">
        <v>1752</v>
      </c>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row>
    <row r="1432" hidden="1">
      <c r="A1432" s="27" t="s">
        <v>3674</v>
      </c>
      <c r="B1432" s="29" t="s">
        <v>1754</v>
      </c>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row>
    <row r="1433" hidden="1">
      <c r="A1433" s="27" t="s">
        <v>3675</v>
      </c>
      <c r="B1433" s="29" t="s">
        <v>1755</v>
      </c>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row>
    <row r="1434" hidden="1">
      <c r="A1434" s="27" t="s">
        <v>3676</v>
      </c>
      <c r="B1434" s="29" t="s">
        <v>1756</v>
      </c>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row>
    <row r="1435" hidden="1">
      <c r="A1435" s="27" t="s">
        <v>3677</v>
      </c>
      <c r="B1435" s="29" t="s">
        <v>1757</v>
      </c>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row>
    <row r="1436" hidden="1">
      <c r="A1436" s="27" t="s">
        <v>3678</v>
      </c>
      <c r="B1436" s="29" t="s">
        <v>1758</v>
      </c>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row>
    <row r="1437" hidden="1">
      <c r="A1437" s="27" t="s">
        <v>3679</v>
      </c>
      <c r="B1437" s="29" t="s">
        <v>1760</v>
      </c>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row>
    <row r="1438" hidden="1">
      <c r="A1438" s="27" t="s">
        <v>3680</v>
      </c>
      <c r="B1438" s="29" t="s">
        <v>1761</v>
      </c>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row>
    <row r="1439" hidden="1">
      <c r="A1439" s="27" t="s">
        <v>3681</v>
      </c>
      <c r="B1439" s="29" t="s">
        <v>1763</v>
      </c>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row>
    <row r="1440" hidden="1">
      <c r="A1440" s="27" t="s">
        <v>3682</v>
      </c>
      <c r="B1440" s="29" t="s">
        <v>1764</v>
      </c>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row>
    <row r="1441" hidden="1">
      <c r="A1441" s="27" t="s">
        <v>3683</v>
      </c>
      <c r="B1441" s="29" t="s">
        <v>1766</v>
      </c>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row>
    <row r="1442" hidden="1">
      <c r="A1442" s="27" t="s">
        <v>3684</v>
      </c>
      <c r="B1442" s="29" t="s">
        <v>1767</v>
      </c>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row>
    <row r="1443" hidden="1">
      <c r="A1443" s="27" t="s">
        <v>3685</v>
      </c>
      <c r="B1443" s="29" t="s">
        <v>1768</v>
      </c>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row>
    <row r="1444" hidden="1">
      <c r="A1444" s="27" t="s">
        <v>3686</v>
      </c>
      <c r="B1444" s="29" t="s">
        <v>1769</v>
      </c>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hidden="1">
      <c r="A1445" s="27" t="s">
        <v>3687</v>
      </c>
      <c r="B1445" s="29" t="s">
        <v>1771</v>
      </c>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hidden="1">
      <c r="A1446" s="27" t="s">
        <v>3688</v>
      </c>
      <c r="B1446" s="29" t="s">
        <v>1772</v>
      </c>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row>
    <row r="1447" hidden="1">
      <c r="A1447" s="27" t="s">
        <v>3689</v>
      </c>
      <c r="B1447" s="29" t="s">
        <v>1773</v>
      </c>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row>
    <row r="1448" hidden="1">
      <c r="A1448" s="27" t="s">
        <v>3690</v>
      </c>
      <c r="B1448" s="29" t="s">
        <v>1775</v>
      </c>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hidden="1">
      <c r="A1449" s="27" t="s">
        <v>3691</v>
      </c>
      <c r="B1449" s="29" t="s">
        <v>1776</v>
      </c>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row>
    <row r="1450" hidden="1">
      <c r="A1450" s="27" t="s">
        <v>3692</v>
      </c>
      <c r="B1450" s="29" t="s">
        <v>1777</v>
      </c>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row>
    <row r="1451" hidden="1">
      <c r="A1451" s="27" t="s">
        <v>3693</v>
      </c>
      <c r="B1451" s="29" t="s">
        <v>1778</v>
      </c>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row>
    <row r="1452" hidden="1">
      <c r="A1452" s="27" t="s">
        <v>3694</v>
      </c>
      <c r="B1452" s="29" t="s">
        <v>1780</v>
      </c>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row>
    <row r="1453" hidden="1">
      <c r="A1453" s="27" t="s">
        <v>3695</v>
      </c>
      <c r="B1453" s="29" t="s">
        <v>1783</v>
      </c>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row>
    <row r="1454" hidden="1">
      <c r="A1454" s="27" t="s">
        <v>3696</v>
      </c>
      <c r="B1454" s="29" t="s">
        <v>1785</v>
      </c>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hidden="1">
      <c r="A1455" s="27" t="s">
        <v>3697</v>
      </c>
      <c r="B1455" s="29" t="s">
        <v>1786</v>
      </c>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row>
    <row r="1456" hidden="1">
      <c r="A1456" s="27" t="s">
        <v>3698</v>
      </c>
      <c r="B1456" s="29" t="s">
        <v>1787</v>
      </c>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row>
    <row r="1457" hidden="1">
      <c r="A1457" s="27" t="s">
        <v>3699</v>
      </c>
      <c r="B1457" s="29" t="s">
        <v>1789</v>
      </c>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hidden="1">
      <c r="A1458" s="27" t="s">
        <v>3700</v>
      </c>
      <c r="B1458" s="29" t="s">
        <v>1790</v>
      </c>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row>
    <row r="1459" hidden="1">
      <c r="A1459" s="27" t="s">
        <v>3701</v>
      </c>
      <c r="B1459" s="29" t="s">
        <v>1791</v>
      </c>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hidden="1">
      <c r="A1460" s="27" t="s">
        <v>3702</v>
      </c>
      <c r="B1460" s="29" t="s">
        <v>1793</v>
      </c>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row>
    <row r="1461" hidden="1">
      <c r="A1461" s="27" t="s">
        <v>3703</v>
      </c>
      <c r="B1461" s="29" t="s">
        <v>1796</v>
      </c>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row r="1462" hidden="1">
      <c r="A1462" s="27" t="s">
        <v>3704</v>
      </c>
      <c r="B1462" s="29" t="s">
        <v>1798</v>
      </c>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row>
    <row r="1463" hidden="1">
      <c r="A1463" s="27" t="s">
        <v>3705</v>
      </c>
      <c r="B1463" s="29" t="s">
        <v>1799</v>
      </c>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row>
    <row r="1464" hidden="1">
      <c r="A1464" s="27" t="s">
        <v>3706</v>
      </c>
      <c r="B1464" s="29" t="s">
        <v>1800</v>
      </c>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row>
    <row r="1465" hidden="1">
      <c r="A1465" s="27" t="s">
        <v>3707</v>
      </c>
      <c r="B1465" s="29" t="s">
        <v>1801</v>
      </c>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row>
    <row r="1466" hidden="1">
      <c r="A1466" s="27" t="s">
        <v>3708</v>
      </c>
      <c r="B1466" s="29" t="s">
        <v>1803</v>
      </c>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row>
    <row r="1467" hidden="1">
      <c r="A1467" s="27" t="s">
        <v>3709</v>
      </c>
      <c r="B1467" s="29" t="s">
        <v>1805</v>
      </c>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row>
    <row r="1468" hidden="1">
      <c r="A1468" s="27" t="s">
        <v>3710</v>
      </c>
      <c r="B1468" s="29" t="s">
        <v>1808</v>
      </c>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row>
    <row r="1469" hidden="1">
      <c r="A1469" s="27" t="s">
        <v>3711</v>
      </c>
      <c r="B1469" s="29" t="s">
        <v>1809</v>
      </c>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row>
    <row r="1470" hidden="1">
      <c r="A1470" s="27" t="s">
        <v>3712</v>
      </c>
      <c r="B1470" s="29" t="s">
        <v>1810</v>
      </c>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row>
    <row r="1471" hidden="1">
      <c r="A1471" s="27" t="s">
        <v>3713</v>
      </c>
      <c r="B1471" s="29" t="s">
        <v>1811</v>
      </c>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row>
    <row r="1472" hidden="1">
      <c r="A1472" s="27" t="s">
        <v>3714</v>
      </c>
      <c r="B1472" s="29" t="s">
        <v>1813</v>
      </c>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row>
    <row r="1473" hidden="1">
      <c r="A1473" s="27" t="s">
        <v>3715</v>
      </c>
      <c r="B1473" s="29" t="s">
        <v>1814</v>
      </c>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row>
    <row r="1474" hidden="1">
      <c r="A1474" s="27" t="s">
        <v>3716</v>
      </c>
      <c r="B1474" s="29" t="s">
        <v>1815</v>
      </c>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row>
    <row r="1475" hidden="1">
      <c r="A1475" s="27" t="s">
        <v>3717</v>
      </c>
      <c r="B1475" s="29" t="s">
        <v>1817</v>
      </c>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row>
    <row r="1476" hidden="1">
      <c r="A1476" s="27" t="s">
        <v>3718</v>
      </c>
      <c r="B1476" s="29" t="s">
        <v>1818</v>
      </c>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row>
    <row r="1477" hidden="1">
      <c r="A1477" s="27" t="s">
        <v>3719</v>
      </c>
      <c r="B1477" s="29" t="s">
        <v>1819</v>
      </c>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row>
    <row r="1478" hidden="1">
      <c r="A1478" s="27" t="s">
        <v>3720</v>
      </c>
      <c r="B1478" s="29" t="s">
        <v>1822</v>
      </c>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row>
    <row r="1479" hidden="1">
      <c r="A1479" s="27" t="s">
        <v>3721</v>
      </c>
      <c r="B1479" s="29" t="s">
        <v>1823</v>
      </c>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row>
    <row r="1480" hidden="1">
      <c r="A1480" s="27" t="s">
        <v>3722</v>
      </c>
      <c r="B1480" s="29" t="s">
        <v>1824</v>
      </c>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row>
    <row r="1481" hidden="1">
      <c r="A1481" s="27" t="s">
        <v>3723</v>
      </c>
      <c r="B1481" s="29" t="s">
        <v>1825</v>
      </c>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row>
    <row r="1482" hidden="1">
      <c r="A1482" s="27" t="s">
        <v>3724</v>
      </c>
      <c r="B1482" s="29" t="s">
        <v>1826</v>
      </c>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row>
    <row r="1483" hidden="1">
      <c r="A1483" s="27" t="s">
        <v>3725</v>
      </c>
      <c r="B1483" s="29" t="s">
        <v>1828</v>
      </c>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row>
    <row r="1484" hidden="1">
      <c r="A1484" s="27" t="s">
        <v>3726</v>
      </c>
      <c r="B1484" s="29" t="s">
        <v>1830</v>
      </c>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row>
    <row r="1485" hidden="1">
      <c r="A1485" s="27" t="s">
        <v>3727</v>
      </c>
      <c r="B1485" s="29" t="s">
        <v>1831</v>
      </c>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row>
    <row r="1486" hidden="1">
      <c r="A1486" s="27" t="s">
        <v>3728</v>
      </c>
      <c r="B1486" s="29" t="s">
        <v>1833</v>
      </c>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row>
    <row r="1487" hidden="1">
      <c r="A1487" s="27" t="s">
        <v>3729</v>
      </c>
      <c r="B1487" s="29" t="s">
        <v>1834</v>
      </c>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row>
    <row r="1488" hidden="1">
      <c r="A1488" s="27" t="s">
        <v>3730</v>
      </c>
      <c r="B1488" s="29" t="s">
        <v>1835</v>
      </c>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row>
    <row r="1489" hidden="1">
      <c r="A1489" s="27" t="s">
        <v>3731</v>
      </c>
      <c r="B1489" s="29" t="s">
        <v>1837</v>
      </c>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row>
    <row r="1490" hidden="1">
      <c r="A1490" s="27" t="s">
        <v>3732</v>
      </c>
      <c r="B1490" s="29" t="s">
        <v>1840</v>
      </c>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row>
    <row r="1491" hidden="1">
      <c r="A1491" s="27" t="s">
        <v>3733</v>
      </c>
      <c r="B1491" s="29" t="s">
        <v>1841</v>
      </c>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row>
    <row r="1492" hidden="1">
      <c r="A1492" s="27" t="s">
        <v>3734</v>
      </c>
      <c r="B1492" s="29" t="s">
        <v>1842</v>
      </c>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row>
    <row r="1493" hidden="1">
      <c r="A1493" s="27" t="s">
        <v>3735</v>
      </c>
      <c r="B1493" s="29" t="s">
        <v>1843</v>
      </c>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row>
    <row r="1494" hidden="1">
      <c r="A1494" s="27" t="s">
        <v>3736</v>
      </c>
      <c r="B1494" s="29" t="s">
        <v>1845</v>
      </c>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row>
    <row r="1495" hidden="1">
      <c r="A1495" s="27" t="s">
        <v>3737</v>
      </c>
      <c r="B1495" s="29" t="s">
        <v>1846</v>
      </c>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row>
    <row r="1496" hidden="1">
      <c r="A1496" s="27" t="s">
        <v>3738</v>
      </c>
      <c r="B1496" s="29" t="s">
        <v>1847</v>
      </c>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row>
    <row r="1497" hidden="1">
      <c r="A1497" s="27" t="s">
        <v>3739</v>
      </c>
      <c r="B1497" s="29" t="s">
        <v>1849</v>
      </c>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row>
    <row r="1498" hidden="1">
      <c r="A1498" s="27" t="s">
        <v>3740</v>
      </c>
      <c r="B1498" s="29" t="s">
        <v>1850</v>
      </c>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row>
    <row r="1499" hidden="1">
      <c r="A1499" s="27" t="s">
        <v>3741</v>
      </c>
      <c r="B1499" s="29" t="s">
        <v>1851</v>
      </c>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row>
    <row r="1500" hidden="1">
      <c r="A1500" s="27" t="s">
        <v>3742</v>
      </c>
      <c r="B1500" s="29" t="s">
        <v>1852</v>
      </c>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row>
    <row r="1501" hidden="1">
      <c r="A1501" s="27" t="s">
        <v>3743</v>
      </c>
      <c r="B1501" s="29" t="s">
        <v>1854</v>
      </c>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row>
    <row r="1502" hidden="1">
      <c r="A1502" s="27" t="s">
        <v>3744</v>
      </c>
      <c r="B1502" s="29" t="s">
        <v>1855</v>
      </c>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row>
    <row r="1503" hidden="1">
      <c r="A1503" s="27" t="s">
        <v>3745</v>
      </c>
      <c r="B1503" s="29" t="s">
        <v>1856</v>
      </c>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row>
    <row r="1504" hidden="1">
      <c r="A1504" s="27" t="s">
        <v>3746</v>
      </c>
      <c r="B1504" s="29" t="s">
        <v>1858</v>
      </c>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row>
    <row r="1505" hidden="1">
      <c r="A1505" s="27" t="s">
        <v>3747</v>
      </c>
      <c r="B1505" s="29" t="s">
        <v>1860</v>
      </c>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row>
    <row r="1506" hidden="1">
      <c r="A1506" s="27" t="s">
        <v>3748</v>
      </c>
      <c r="B1506" s="29" t="s">
        <v>1862</v>
      </c>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row>
    <row r="1507" hidden="1">
      <c r="A1507" s="27" t="s">
        <v>3749</v>
      </c>
      <c r="B1507" s="29" t="s">
        <v>1863</v>
      </c>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row>
    <row r="1508" hidden="1">
      <c r="A1508" s="27" t="s">
        <v>3750</v>
      </c>
      <c r="B1508" s="29" t="s">
        <v>1865</v>
      </c>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row>
    <row r="1509" hidden="1">
      <c r="A1509" s="27" t="s">
        <v>3751</v>
      </c>
      <c r="B1509" s="29" t="s">
        <v>1866</v>
      </c>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row>
    <row r="1510" hidden="1">
      <c r="A1510" s="27" t="s">
        <v>3752</v>
      </c>
      <c r="B1510" s="29" t="s">
        <v>1867</v>
      </c>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row>
    <row r="1511" hidden="1">
      <c r="A1511" s="27" t="s">
        <v>3753</v>
      </c>
      <c r="B1511" s="29" t="s">
        <v>1869</v>
      </c>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row>
    <row r="1512" hidden="1">
      <c r="A1512" s="27" t="s">
        <v>3754</v>
      </c>
      <c r="B1512" s="29" t="s">
        <v>1870</v>
      </c>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row>
    <row r="1513" hidden="1">
      <c r="A1513" s="27" t="s">
        <v>3755</v>
      </c>
      <c r="B1513" s="29" t="s">
        <v>1872</v>
      </c>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row>
    <row r="1514" hidden="1">
      <c r="A1514" s="27" t="s">
        <v>3756</v>
      </c>
      <c r="B1514" s="29" t="s">
        <v>1873</v>
      </c>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row>
    <row r="1515" hidden="1">
      <c r="A1515" s="27" t="s">
        <v>3757</v>
      </c>
      <c r="B1515" s="29" t="s">
        <v>1875</v>
      </c>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row>
    <row r="1516" hidden="1">
      <c r="A1516" s="27" t="s">
        <v>3758</v>
      </c>
      <c r="B1516" s="29" t="s">
        <v>1877</v>
      </c>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row>
    <row r="1517" hidden="1">
      <c r="A1517" s="27" t="s">
        <v>3759</v>
      </c>
      <c r="B1517" s="29" t="s">
        <v>1879</v>
      </c>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row>
    <row r="1518" hidden="1">
      <c r="A1518" s="27" t="s">
        <v>3760</v>
      </c>
      <c r="B1518" s="29" t="s">
        <v>1880</v>
      </c>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row>
    <row r="1519" hidden="1">
      <c r="A1519" s="27" t="s">
        <v>3761</v>
      </c>
      <c r="B1519" s="29" t="s">
        <v>1881</v>
      </c>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row>
    <row r="1520" hidden="1">
      <c r="A1520" s="27" t="s">
        <v>3762</v>
      </c>
      <c r="B1520" s="29" t="s">
        <v>1884</v>
      </c>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row>
    <row r="1521" hidden="1">
      <c r="A1521" s="27" t="s">
        <v>3763</v>
      </c>
      <c r="B1521" s="29" t="s">
        <v>1886</v>
      </c>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row>
    <row r="1522" hidden="1">
      <c r="A1522" s="27" t="s">
        <v>3764</v>
      </c>
      <c r="B1522" s="29" t="s">
        <v>1887</v>
      </c>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row>
    <row r="1523" hidden="1">
      <c r="A1523" s="27" t="s">
        <v>3765</v>
      </c>
      <c r="B1523" s="29" t="s">
        <v>1888</v>
      </c>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row>
    <row r="1524" hidden="1">
      <c r="A1524" s="27" t="s">
        <v>3766</v>
      </c>
      <c r="B1524" s="29" t="s">
        <v>1890</v>
      </c>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row>
    <row r="1525" hidden="1">
      <c r="A1525" s="27" t="s">
        <v>3767</v>
      </c>
      <c r="B1525" s="29" t="s">
        <v>1891</v>
      </c>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row>
    <row r="1526" hidden="1">
      <c r="A1526" s="27" t="s">
        <v>3768</v>
      </c>
      <c r="B1526" s="29" t="s">
        <v>1892</v>
      </c>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row>
    <row r="1527" hidden="1">
      <c r="A1527" s="27" t="s">
        <v>3769</v>
      </c>
      <c r="B1527" s="29" t="s">
        <v>1894</v>
      </c>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row>
    <row r="1528" hidden="1">
      <c r="A1528" s="27" t="s">
        <v>3770</v>
      </c>
      <c r="B1528" s="29" t="s">
        <v>1895</v>
      </c>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row>
    <row r="1529" hidden="1">
      <c r="A1529" s="27" t="s">
        <v>3771</v>
      </c>
      <c r="B1529" s="29" t="s">
        <v>1896</v>
      </c>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row>
    <row r="1530" hidden="1">
      <c r="A1530" s="27" t="s">
        <v>3772</v>
      </c>
      <c r="B1530" s="29" t="s">
        <v>1897</v>
      </c>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row>
    <row r="1531" hidden="1">
      <c r="A1531" s="27" t="s">
        <v>3773</v>
      </c>
      <c r="B1531" s="29" t="s">
        <v>1899</v>
      </c>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row>
    <row r="1532" hidden="1">
      <c r="A1532" s="27" t="s">
        <v>3774</v>
      </c>
      <c r="B1532" s="29" t="s">
        <v>1902</v>
      </c>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row>
    <row r="1533" hidden="1">
      <c r="A1533" s="27" t="s">
        <v>3775</v>
      </c>
      <c r="B1533" s="29" t="s">
        <v>1903</v>
      </c>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row>
    <row r="1534" hidden="1">
      <c r="A1534" s="27" t="s">
        <v>3776</v>
      </c>
      <c r="B1534" s="29" t="s">
        <v>1904</v>
      </c>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row>
    <row r="1535" hidden="1">
      <c r="A1535" s="27" t="s">
        <v>3777</v>
      </c>
      <c r="B1535" s="29" t="s">
        <v>1905</v>
      </c>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row>
    <row r="1536" hidden="1">
      <c r="A1536" s="27" t="s">
        <v>3778</v>
      </c>
      <c r="B1536" s="29" t="s">
        <v>1907</v>
      </c>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row>
    <row r="1537" hidden="1">
      <c r="A1537" s="27" t="s">
        <v>3779</v>
      </c>
      <c r="B1537" s="29" t="s">
        <v>1908</v>
      </c>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row>
    <row r="1538" hidden="1">
      <c r="A1538" s="27" t="s">
        <v>3780</v>
      </c>
      <c r="B1538" s="29" t="s">
        <v>1909</v>
      </c>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row>
    <row r="1539" hidden="1">
      <c r="A1539" s="27" t="s">
        <v>3781</v>
      </c>
      <c r="B1539" s="29" t="s">
        <v>1910</v>
      </c>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row>
    <row r="1540" hidden="1">
      <c r="A1540" s="27" t="s">
        <v>3782</v>
      </c>
      <c r="B1540" s="29" t="s">
        <v>1912</v>
      </c>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row>
    <row r="1541" hidden="1">
      <c r="A1541" s="27" t="s">
        <v>3783</v>
      </c>
      <c r="B1541" s="29" t="s">
        <v>1913</v>
      </c>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row>
    <row r="1542" hidden="1">
      <c r="A1542" s="27" t="s">
        <v>3784</v>
      </c>
      <c r="B1542" s="29" t="s">
        <v>1914</v>
      </c>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row>
    <row r="1543" hidden="1">
      <c r="A1543" s="27" t="s">
        <v>3785</v>
      </c>
      <c r="B1543" s="29" t="s">
        <v>1915</v>
      </c>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row>
    <row r="1544" hidden="1">
      <c r="A1544" s="27" t="s">
        <v>3786</v>
      </c>
      <c r="B1544" s="29" t="s">
        <v>1916</v>
      </c>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row>
    <row r="1545" hidden="1">
      <c r="A1545" s="27" t="s">
        <v>3787</v>
      </c>
      <c r="B1545" s="29" t="s">
        <v>1919</v>
      </c>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row>
    <row r="1546" hidden="1">
      <c r="A1546" s="27" t="s">
        <v>3788</v>
      </c>
      <c r="B1546" s="29" t="s">
        <v>1920</v>
      </c>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hidden="1">
      <c r="A1547" s="27" t="s">
        <v>3789</v>
      </c>
      <c r="B1547" s="29" t="s">
        <v>1921</v>
      </c>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hidden="1">
      <c r="A1548" s="27" t="s">
        <v>3790</v>
      </c>
      <c r="B1548" s="29" t="s">
        <v>1922</v>
      </c>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row>
    <row r="1549" hidden="1">
      <c r="A1549" s="27" t="s">
        <v>3791</v>
      </c>
      <c r="B1549" s="29" t="s">
        <v>1925</v>
      </c>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row>
    <row r="1550" hidden="1">
      <c r="A1550" s="27" t="s">
        <v>3792</v>
      </c>
      <c r="B1550" s="29" t="s">
        <v>1926</v>
      </c>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row>
    <row r="1551" hidden="1">
      <c r="A1551" s="27" t="s">
        <v>3793</v>
      </c>
      <c r="B1551" s="29" t="s">
        <v>1927</v>
      </c>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hidden="1">
      <c r="A1552" s="27" t="s">
        <v>3794</v>
      </c>
      <c r="B1552" s="29" t="s">
        <v>1928</v>
      </c>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row>
    <row r="1553" hidden="1">
      <c r="A1553" s="27" t="s">
        <v>3795</v>
      </c>
      <c r="B1553" s="29" t="s">
        <v>1929</v>
      </c>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row>
    <row r="1554" hidden="1">
      <c r="A1554" s="27" t="s">
        <v>3796</v>
      </c>
      <c r="B1554" s="29" t="s">
        <v>1932</v>
      </c>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row>
    <row r="1555" hidden="1">
      <c r="A1555" s="27" t="s">
        <v>3797</v>
      </c>
      <c r="B1555" s="29" t="s">
        <v>1933</v>
      </c>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hidden="1">
      <c r="A1556" s="27" t="s">
        <v>3798</v>
      </c>
      <c r="B1556" s="29" t="s">
        <v>1934</v>
      </c>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row>
    <row r="1557" hidden="1">
      <c r="A1557" s="27" t="s">
        <v>3799</v>
      </c>
      <c r="B1557" s="29" t="s">
        <v>1935</v>
      </c>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hidden="1">
      <c r="A1558" s="27" t="s">
        <v>3800</v>
      </c>
      <c r="B1558" s="29" t="s">
        <v>1937</v>
      </c>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row>
    <row r="1559" hidden="1">
      <c r="A1559" s="27" t="s">
        <v>3801</v>
      </c>
      <c r="B1559" s="29" t="s">
        <v>1938</v>
      </c>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row>
    <row r="1560" hidden="1">
      <c r="A1560" s="27" t="s">
        <v>3802</v>
      </c>
      <c r="B1560" s="29" t="s">
        <v>1940</v>
      </c>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row>
    <row r="1561" hidden="1">
      <c r="A1561" s="27" t="s">
        <v>3803</v>
      </c>
      <c r="B1561" s="29" t="s">
        <v>1941</v>
      </c>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row>
    <row r="1562" hidden="1">
      <c r="A1562" s="27" t="s">
        <v>3804</v>
      </c>
      <c r="B1562" s="29" t="s">
        <v>1942</v>
      </c>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row>
    <row r="1563" hidden="1">
      <c r="A1563" s="27" t="s">
        <v>3805</v>
      </c>
      <c r="B1563" s="29" t="s">
        <v>1944</v>
      </c>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hidden="1">
      <c r="A1564" s="27" t="s">
        <v>3806</v>
      </c>
      <c r="B1564" s="29" t="s">
        <v>1945</v>
      </c>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row>
    <row r="1565" hidden="1">
      <c r="A1565" s="27" t="s">
        <v>3807</v>
      </c>
      <c r="B1565" s="29" t="s">
        <v>1947</v>
      </c>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row>
    <row r="1566" hidden="1">
      <c r="A1566" s="27" t="s">
        <v>3808</v>
      </c>
      <c r="B1566" s="29" t="s">
        <v>1948</v>
      </c>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row>
    <row r="1567" hidden="1">
      <c r="A1567" s="27" t="s">
        <v>3809</v>
      </c>
      <c r="B1567" s="29" t="s">
        <v>1949</v>
      </c>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row>
    <row r="1568" hidden="1">
      <c r="A1568" s="27" t="s">
        <v>3810</v>
      </c>
      <c r="B1568" s="29" t="s">
        <v>1950</v>
      </c>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row>
    <row r="1569" hidden="1">
      <c r="A1569" s="27" t="s">
        <v>3811</v>
      </c>
      <c r="B1569" s="29" t="s">
        <v>1951</v>
      </c>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row>
    <row r="1570" hidden="1">
      <c r="A1570" s="27" t="s">
        <v>3812</v>
      </c>
      <c r="B1570" s="29" t="s">
        <v>1953</v>
      </c>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row>
    <row r="1571" hidden="1">
      <c r="A1571" s="27" t="s">
        <v>3813</v>
      </c>
      <c r="B1571" s="29" t="s">
        <v>1954</v>
      </c>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row>
    <row r="1572" hidden="1">
      <c r="A1572" s="27" t="s">
        <v>3814</v>
      </c>
      <c r="B1572" s="29" t="s">
        <v>1955</v>
      </c>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row>
    <row r="1573" hidden="1">
      <c r="A1573" s="27" t="s">
        <v>3815</v>
      </c>
      <c r="B1573" s="29" t="s">
        <v>1957</v>
      </c>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row>
    <row r="1574" hidden="1">
      <c r="A1574" s="27" t="s">
        <v>3816</v>
      </c>
      <c r="B1574" s="29" t="s">
        <v>1959</v>
      </c>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row>
    <row r="1575" hidden="1">
      <c r="A1575" s="27" t="s">
        <v>3817</v>
      </c>
      <c r="B1575" s="29" t="s">
        <v>1960</v>
      </c>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row>
    <row r="1576" hidden="1">
      <c r="A1576" s="27" t="s">
        <v>3818</v>
      </c>
      <c r="B1576" s="29" t="s">
        <v>1961</v>
      </c>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row>
    <row r="1577" hidden="1">
      <c r="A1577" s="27" t="s">
        <v>3819</v>
      </c>
      <c r="B1577" s="29" t="s">
        <v>1963</v>
      </c>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row>
    <row r="1578" hidden="1">
      <c r="A1578" s="27" t="s">
        <v>3820</v>
      </c>
      <c r="B1578" s="29" t="s">
        <v>1964</v>
      </c>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row>
    <row r="1579" hidden="1">
      <c r="A1579" s="27" t="s">
        <v>3821</v>
      </c>
      <c r="B1579" s="29" t="s">
        <v>1966</v>
      </c>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row>
    <row r="1580" hidden="1">
      <c r="A1580" s="27" t="s">
        <v>3822</v>
      </c>
      <c r="B1580" s="29" t="s">
        <v>1968</v>
      </c>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row>
    <row r="1581" hidden="1">
      <c r="A1581" s="27" t="s">
        <v>3823</v>
      </c>
      <c r="B1581" s="29" t="s">
        <v>1969</v>
      </c>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row>
    <row r="1582" hidden="1">
      <c r="A1582" s="27" t="s">
        <v>3824</v>
      </c>
      <c r="B1582" s="29" t="s">
        <v>1970</v>
      </c>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row>
    <row r="1583" hidden="1">
      <c r="A1583" s="27" t="s">
        <v>3825</v>
      </c>
      <c r="B1583" s="29" t="s">
        <v>1973</v>
      </c>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row>
    <row r="1584" hidden="1">
      <c r="A1584" s="27" t="s">
        <v>3826</v>
      </c>
      <c r="B1584" s="29" t="s">
        <v>1974</v>
      </c>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row>
    <row r="1585" hidden="1">
      <c r="A1585" s="27" t="s">
        <v>3827</v>
      </c>
      <c r="B1585" s="29" t="s">
        <v>1975</v>
      </c>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row>
    <row r="1586" hidden="1">
      <c r="A1586" s="27" t="s">
        <v>3828</v>
      </c>
      <c r="B1586" s="29" t="s">
        <v>1977</v>
      </c>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row>
    <row r="1587" hidden="1">
      <c r="A1587" s="27" t="s">
        <v>3829</v>
      </c>
      <c r="B1587" s="29" t="s">
        <v>1978</v>
      </c>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row>
    <row r="1588" hidden="1">
      <c r="A1588" s="27" t="s">
        <v>3830</v>
      </c>
      <c r="B1588" s="29" t="s">
        <v>1980</v>
      </c>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row>
    <row r="1589" hidden="1">
      <c r="A1589" s="27" t="s">
        <v>3831</v>
      </c>
      <c r="B1589" s="29" t="s">
        <v>1982</v>
      </c>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row>
    <row r="1590" hidden="1">
      <c r="A1590" s="27" t="s">
        <v>3832</v>
      </c>
      <c r="B1590" s="29" t="s">
        <v>1983</v>
      </c>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row>
    <row r="1591" hidden="1">
      <c r="A1591" s="27" t="s">
        <v>3833</v>
      </c>
      <c r="B1591" s="29" t="s">
        <v>1984</v>
      </c>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row>
    <row r="1592" hidden="1">
      <c r="A1592" s="27" t="s">
        <v>3834</v>
      </c>
      <c r="B1592" s="29" t="s">
        <v>1987</v>
      </c>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row>
    <row r="1593" hidden="1">
      <c r="A1593" s="27" t="s">
        <v>3835</v>
      </c>
      <c r="B1593" s="29" t="s">
        <v>1988</v>
      </c>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row>
    <row r="1594" hidden="1">
      <c r="A1594" s="27" t="s">
        <v>3836</v>
      </c>
      <c r="B1594" s="29" t="s">
        <v>1989</v>
      </c>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row>
    <row r="1595" hidden="1">
      <c r="A1595" s="27" t="s">
        <v>3837</v>
      </c>
      <c r="B1595" s="29" t="s">
        <v>1991</v>
      </c>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row>
    <row r="1596" hidden="1">
      <c r="A1596" s="27" t="s">
        <v>3838</v>
      </c>
      <c r="B1596" s="29" t="s">
        <v>1993</v>
      </c>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row>
    <row r="1597" hidden="1">
      <c r="A1597" s="27" t="s">
        <v>3839</v>
      </c>
      <c r="B1597" s="29" t="s">
        <v>1994</v>
      </c>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row>
    <row r="1598" hidden="1">
      <c r="A1598" s="27" t="s">
        <v>3840</v>
      </c>
      <c r="B1598" s="29" t="s">
        <v>1996</v>
      </c>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row>
    <row r="1599" hidden="1">
      <c r="A1599" s="27" t="s">
        <v>3841</v>
      </c>
      <c r="B1599" s="29" t="s">
        <v>1997</v>
      </c>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row>
    <row r="1600" hidden="1">
      <c r="A1600" s="27" t="s">
        <v>3842</v>
      </c>
      <c r="B1600" s="29" t="s">
        <v>1998</v>
      </c>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row>
    <row r="1601" hidden="1">
      <c r="A1601" s="27" t="s">
        <v>3843</v>
      </c>
      <c r="B1601" s="29" t="s">
        <v>2001</v>
      </c>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row>
    <row r="1602" hidden="1">
      <c r="A1602" s="27" t="s">
        <v>3844</v>
      </c>
      <c r="B1602" s="29" t="s">
        <v>2002</v>
      </c>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row>
    <row r="1603" hidden="1">
      <c r="A1603" s="27" t="s">
        <v>3845</v>
      </c>
      <c r="B1603" s="29" t="s">
        <v>2003</v>
      </c>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row>
    <row r="1604" hidden="1">
      <c r="A1604" s="27" t="s">
        <v>3846</v>
      </c>
      <c r="B1604" s="29" t="s">
        <v>2004</v>
      </c>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row>
    <row r="1605" hidden="1">
      <c r="A1605" s="27" t="s">
        <v>3847</v>
      </c>
      <c r="B1605" s="29" t="s">
        <v>2006</v>
      </c>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row>
    <row r="1606" hidden="1">
      <c r="A1606" s="27" t="s">
        <v>3848</v>
      </c>
      <c r="B1606" s="29" t="s">
        <v>2007</v>
      </c>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row>
    <row r="1607" hidden="1">
      <c r="A1607" s="27" t="s">
        <v>3849</v>
      </c>
      <c r="B1607" s="29" t="s">
        <v>2008</v>
      </c>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row>
    <row r="1608" hidden="1">
      <c r="A1608" s="27" t="s">
        <v>3850</v>
      </c>
      <c r="B1608" s="29" t="s">
        <v>2009</v>
      </c>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row>
    <row r="1609" hidden="1">
      <c r="A1609" s="27" t="s">
        <v>3851</v>
      </c>
      <c r="B1609" s="29" t="s">
        <v>2011</v>
      </c>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row>
    <row r="1610" hidden="1">
      <c r="A1610" s="27" t="s">
        <v>3852</v>
      </c>
      <c r="B1610" s="29" t="s">
        <v>2013</v>
      </c>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hidden="1">
      <c r="A1611" s="27" t="s">
        <v>3853</v>
      </c>
      <c r="B1611" s="29" t="s">
        <v>2014</v>
      </c>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row>
    <row r="1612" hidden="1">
      <c r="A1612" s="27" t="s">
        <v>3854</v>
      </c>
      <c r="B1612" s="29" t="s">
        <v>2015</v>
      </c>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row>
    <row r="1613" hidden="1">
      <c r="A1613" s="27" t="s">
        <v>3855</v>
      </c>
      <c r="B1613" s="29" t="s">
        <v>2016</v>
      </c>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hidden="1">
      <c r="A1614" s="27" t="s">
        <v>3856</v>
      </c>
      <c r="B1614" s="29" t="s">
        <v>2017</v>
      </c>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row>
    <row r="1615" hidden="1">
      <c r="A1615" s="27" t="s">
        <v>3857</v>
      </c>
      <c r="B1615" s="29" t="s">
        <v>2019</v>
      </c>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row>
    <row r="1616" hidden="1">
      <c r="A1616" s="27" t="s">
        <v>3858</v>
      </c>
      <c r="B1616" s="29" t="s">
        <v>2020</v>
      </c>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row>
    <row r="1617" hidden="1">
      <c r="A1617" s="27" t="s">
        <v>3859</v>
      </c>
      <c r="B1617" s="29" t="s">
        <v>2022</v>
      </c>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row>
    <row r="1618" hidden="1">
      <c r="A1618" s="27" t="s">
        <v>3860</v>
      </c>
      <c r="B1618" s="29" t="s">
        <v>2023</v>
      </c>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row>
    <row r="1619" hidden="1">
      <c r="A1619" s="27" t="s">
        <v>3861</v>
      </c>
      <c r="B1619" s="29" t="s">
        <v>2025</v>
      </c>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row>
    <row r="1620" hidden="1">
      <c r="A1620" s="27" t="s">
        <v>3862</v>
      </c>
      <c r="B1620" s="29" t="s">
        <v>2026</v>
      </c>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row>
    <row r="1621" hidden="1">
      <c r="A1621" s="27" t="s">
        <v>3863</v>
      </c>
      <c r="B1621" s="29" t="s">
        <v>2027</v>
      </c>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row>
    <row r="1622" hidden="1">
      <c r="A1622" s="27" t="s">
        <v>3864</v>
      </c>
      <c r="B1622" s="29" t="s">
        <v>2028</v>
      </c>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row>
    <row r="1623" hidden="1">
      <c r="A1623" s="27" t="s">
        <v>3865</v>
      </c>
      <c r="B1623" s="29" t="s">
        <v>2029</v>
      </c>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row>
    <row r="1624" hidden="1">
      <c r="A1624" s="27" t="s">
        <v>3866</v>
      </c>
      <c r="B1624" s="29" t="s">
        <v>2031</v>
      </c>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row>
    <row r="1625" hidden="1">
      <c r="A1625" s="27" t="s">
        <v>3867</v>
      </c>
      <c r="B1625" s="29" t="s">
        <v>2033</v>
      </c>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row>
    <row r="1626" hidden="1">
      <c r="A1626" s="27" t="s">
        <v>3868</v>
      </c>
      <c r="B1626" s="29" t="s">
        <v>2034</v>
      </c>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row>
    <row r="1627" hidden="1">
      <c r="A1627" s="27" t="s">
        <v>3869</v>
      </c>
      <c r="B1627" s="29" t="s">
        <v>2035</v>
      </c>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row>
    <row r="1628" hidden="1">
      <c r="A1628" s="27" t="s">
        <v>3870</v>
      </c>
      <c r="B1628" s="29" t="s">
        <v>2036</v>
      </c>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row>
    <row r="1629" hidden="1">
      <c r="A1629" s="27" t="s">
        <v>3871</v>
      </c>
      <c r="B1629" s="29" t="s">
        <v>2038</v>
      </c>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row>
    <row r="1630" hidden="1">
      <c r="A1630" s="27" t="s">
        <v>3872</v>
      </c>
      <c r="B1630" s="29" t="s">
        <v>2039</v>
      </c>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row>
    <row r="1631" hidden="1">
      <c r="A1631" s="27" t="s">
        <v>3873</v>
      </c>
      <c r="B1631" s="29" t="s">
        <v>2040</v>
      </c>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hidden="1">
      <c r="A1632" s="27" t="s">
        <v>3874</v>
      </c>
      <c r="B1632" s="29" t="s">
        <v>2041</v>
      </c>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row>
    <row r="1633" hidden="1">
      <c r="A1633" s="27" t="s">
        <v>3875</v>
      </c>
      <c r="B1633" s="29" t="s">
        <v>2043</v>
      </c>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row>
    <row r="1634" hidden="1">
      <c r="A1634" s="27" t="s">
        <v>3876</v>
      </c>
      <c r="B1634" s="29" t="s">
        <v>2045</v>
      </c>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row>
    <row r="1635" hidden="1">
      <c r="A1635" s="27" t="s">
        <v>3877</v>
      </c>
      <c r="B1635" s="29" t="s">
        <v>2046</v>
      </c>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row>
    <row r="1636" hidden="1">
      <c r="A1636" s="27" t="s">
        <v>3878</v>
      </c>
      <c r="B1636" s="29" t="s">
        <v>2047</v>
      </c>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row>
    <row r="1637" hidden="1">
      <c r="A1637" s="27" t="s">
        <v>3879</v>
      </c>
      <c r="B1637" s="29" t="s">
        <v>2048</v>
      </c>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row>
    <row r="1638" hidden="1">
      <c r="A1638" s="27" t="s">
        <v>3880</v>
      </c>
      <c r="B1638" s="29" t="s">
        <v>2050</v>
      </c>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row>
    <row r="1639" hidden="1">
      <c r="A1639" s="27" t="s">
        <v>3881</v>
      </c>
      <c r="B1639" s="29" t="s">
        <v>2051</v>
      </c>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row>
    <row r="1640" hidden="1">
      <c r="A1640" s="27" t="s">
        <v>3882</v>
      </c>
      <c r="B1640" s="29" t="s">
        <v>2053</v>
      </c>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row>
    <row r="1641" hidden="1">
      <c r="A1641" s="27" t="s">
        <v>3883</v>
      </c>
      <c r="B1641" s="29" t="s">
        <v>2054</v>
      </c>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row>
    <row r="1642" hidden="1">
      <c r="A1642" s="27" t="s">
        <v>3884</v>
      </c>
      <c r="B1642" s="29" t="s">
        <v>2056</v>
      </c>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row>
    <row r="1643" hidden="1">
      <c r="A1643" s="27" t="s">
        <v>3885</v>
      </c>
      <c r="B1643" s="29" t="s">
        <v>2059</v>
      </c>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row>
    <row r="1644" hidden="1">
      <c r="A1644" s="27" t="s">
        <v>3886</v>
      </c>
      <c r="B1644" s="29" t="s">
        <v>2060</v>
      </c>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row>
    <row r="1645" hidden="1">
      <c r="A1645" s="27" t="s">
        <v>3887</v>
      </c>
      <c r="B1645" s="29" t="s">
        <v>2061</v>
      </c>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hidden="1">
      <c r="A1646" s="27" t="s">
        <v>3888</v>
      </c>
      <c r="B1646" s="29" t="s">
        <v>2063</v>
      </c>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hidden="1">
      <c r="A1647" s="27" t="s">
        <v>3889</v>
      </c>
      <c r="B1647" s="29" t="s">
        <v>2065</v>
      </c>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hidden="1">
      <c r="A1648" s="27" t="s">
        <v>3890</v>
      </c>
      <c r="B1648" s="29" t="s">
        <v>2066</v>
      </c>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hidden="1">
      <c r="A1649" s="27" t="s">
        <v>3891</v>
      </c>
      <c r="B1649" s="29" t="s">
        <v>2068</v>
      </c>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row>
    <row r="1650" hidden="1">
      <c r="A1650" s="27" t="s">
        <v>3892</v>
      </c>
      <c r="B1650" s="29" t="s">
        <v>2069</v>
      </c>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hidden="1">
      <c r="A1651" s="27" t="s">
        <v>3893</v>
      </c>
      <c r="B1651" s="29" t="s">
        <v>2071</v>
      </c>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row>
    <row r="1652" hidden="1">
      <c r="A1652" s="27" t="s">
        <v>3894</v>
      </c>
      <c r="B1652" s="29" t="s">
        <v>2073</v>
      </c>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hidden="1">
      <c r="A1653" s="27" t="s">
        <v>3895</v>
      </c>
      <c r="B1653" s="29" t="s">
        <v>2074</v>
      </c>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row>
    <row r="1654" hidden="1">
      <c r="A1654" s="27" t="s">
        <v>3896</v>
      </c>
      <c r="B1654" s="29" t="s">
        <v>2075</v>
      </c>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row>
    <row r="1655" hidden="1">
      <c r="A1655" s="27" t="s">
        <v>3897</v>
      </c>
      <c r="B1655" s="29" t="s">
        <v>2077</v>
      </c>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row>
    <row r="1656" hidden="1">
      <c r="A1656" s="27" t="s">
        <v>3898</v>
      </c>
      <c r="B1656" s="29" t="s">
        <v>2078</v>
      </c>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row>
    <row r="1657" hidden="1">
      <c r="A1657" s="27" t="s">
        <v>3899</v>
      </c>
      <c r="B1657" s="29" t="s">
        <v>2079</v>
      </c>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row>
    <row r="1658" hidden="1">
      <c r="A1658" s="27" t="s">
        <v>3900</v>
      </c>
      <c r="B1658" s="29" t="s">
        <v>2080</v>
      </c>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row>
    <row r="1659" hidden="1">
      <c r="A1659" s="27" t="s">
        <v>3901</v>
      </c>
      <c r="B1659" s="29" t="s">
        <v>2082</v>
      </c>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row>
    <row r="1660" hidden="1">
      <c r="A1660" s="27" t="s">
        <v>3902</v>
      </c>
      <c r="B1660" s="29" t="s">
        <v>2083</v>
      </c>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row>
    <row r="1661" hidden="1">
      <c r="A1661" s="27" t="s">
        <v>3903</v>
      </c>
      <c r="B1661" s="29" t="s">
        <v>2084</v>
      </c>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row>
    <row r="1662" hidden="1">
      <c r="A1662" s="27" t="s">
        <v>3904</v>
      </c>
      <c r="B1662" s="29" t="s">
        <v>2086</v>
      </c>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row>
    <row r="1663" hidden="1">
      <c r="A1663" s="27" t="s">
        <v>3905</v>
      </c>
      <c r="B1663" s="29" t="s">
        <v>2087</v>
      </c>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hidden="1">
      <c r="A1664" s="27" t="s">
        <v>3906</v>
      </c>
      <c r="B1664" s="29" t="s">
        <v>2088</v>
      </c>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row>
    <row r="1665" hidden="1">
      <c r="A1665" s="27" t="s">
        <v>3907</v>
      </c>
      <c r="B1665" s="29" t="s">
        <v>2090</v>
      </c>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hidden="1">
      <c r="A1666" s="27" t="s">
        <v>3908</v>
      </c>
      <c r="B1666" s="29" t="s">
        <v>2091</v>
      </c>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row>
    <row r="1667" hidden="1">
      <c r="A1667" s="27" t="s">
        <v>3909</v>
      </c>
      <c r="B1667" s="29" t="s">
        <v>2092</v>
      </c>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row>
    <row r="1668" hidden="1">
      <c r="A1668" s="27" t="s">
        <v>3910</v>
      </c>
      <c r="B1668" s="29" t="s">
        <v>2093</v>
      </c>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hidden="1">
      <c r="A1669" s="27" t="s">
        <v>3911</v>
      </c>
      <c r="B1669" s="29" t="s">
        <v>2095</v>
      </c>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row>
    <row r="1670" hidden="1">
      <c r="A1670" s="27" t="s">
        <v>3912</v>
      </c>
      <c r="B1670" s="29" t="s">
        <v>2096</v>
      </c>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hidden="1">
      <c r="A1671" s="27" t="s">
        <v>3913</v>
      </c>
      <c r="B1671" s="29" t="s">
        <v>2097</v>
      </c>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row>
    <row r="1672" hidden="1">
      <c r="A1672" s="27" t="s">
        <v>3914</v>
      </c>
      <c r="B1672" s="29" t="s">
        <v>2098</v>
      </c>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row>
    <row r="1673" hidden="1">
      <c r="A1673" s="27" t="s">
        <v>3915</v>
      </c>
      <c r="B1673" s="29" t="s">
        <v>2100</v>
      </c>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row>
    <row r="1674" hidden="1">
      <c r="A1674" s="27" t="s">
        <v>3916</v>
      </c>
      <c r="B1674" s="29" t="s">
        <v>2101</v>
      </c>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row>
    <row r="1675" hidden="1">
      <c r="A1675" s="27" t="s">
        <v>3917</v>
      </c>
      <c r="B1675" s="29" t="s">
        <v>2102</v>
      </c>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row>
    <row r="1676" hidden="1">
      <c r="A1676" s="27" t="s">
        <v>3918</v>
      </c>
      <c r="B1676" s="29" t="s">
        <v>2103</v>
      </c>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row>
    <row r="1677" hidden="1">
      <c r="A1677" s="27" t="s">
        <v>3919</v>
      </c>
      <c r="B1677" s="29" t="s">
        <v>2105</v>
      </c>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row>
    <row r="1678" hidden="1">
      <c r="A1678" s="27" t="s">
        <v>3920</v>
      </c>
      <c r="B1678" s="29" t="s">
        <v>2106</v>
      </c>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row>
    <row r="1679" hidden="1">
      <c r="A1679" s="27" t="s">
        <v>3921</v>
      </c>
      <c r="B1679" s="29" t="s">
        <v>2107</v>
      </c>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row>
    <row r="1680" hidden="1">
      <c r="A1680" s="27" t="s">
        <v>3922</v>
      </c>
      <c r="B1680" s="29" t="s">
        <v>2108</v>
      </c>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hidden="1">
      <c r="A1681" s="27" t="s">
        <v>3923</v>
      </c>
      <c r="B1681" s="29" t="s">
        <v>2110</v>
      </c>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hidden="1">
      <c r="A1682" s="27" t="s">
        <v>3924</v>
      </c>
      <c r="B1682" s="29" t="s">
        <v>2111</v>
      </c>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hidden="1">
      <c r="A1683" s="27" t="s">
        <v>3925</v>
      </c>
      <c r="B1683" s="29" t="s">
        <v>2112</v>
      </c>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row>
    <row r="1684" hidden="1">
      <c r="A1684" s="27" t="s">
        <v>3926</v>
      </c>
      <c r="B1684" s="29" t="s">
        <v>2113</v>
      </c>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row>
    <row r="1685" hidden="1">
      <c r="A1685" s="27" t="s">
        <v>3927</v>
      </c>
      <c r="B1685" s="29" t="s">
        <v>2115</v>
      </c>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row>
    <row r="1686" hidden="1">
      <c r="A1686" s="27" t="s">
        <v>3928</v>
      </c>
      <c r="B1686" s="29" t="s">
        <v>2116</v>
      </c>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row>
    <row r="1687" hidden="1">
      <c r="A1687" s="27" t="s">
        <v>3929</v>
      </c>
      <c r="B1687" s="29" t="s">
        <v>2117</v>
      </c>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hidden="1">
      <c r="A1688" s="27" t="s">
        <v>3930</v>
      </c>
      <c r="B1688" s="29" t="s">
        <v>2118</v>
      </c>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row>
    <row r="1689" hidden="1">
      <c r="A1689" s="27" t="s">
        <v>3931</v>
      </c>
      <c r="B1689" s="29" t="s">
        <v>2120</v>
      </c>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row>
    <row r="1690" hidden="1">
      <c r="A1690" s="27" t="s">
        <v>3932</v>
      </c>
      <c r="B1690" s="29" t="s">
        <v>2121</v>
      </c>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row>
    <row r="1691" hidden="1">
      <c r="A1691" s="27" t="s">
        <v>3933</v>
      </c>
      <c r="B1691" s="29" t="s">
        <v>2122</v>
      </c>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row>
    <row r="1692" hidden="1">
      <c r="A1692" s="27" t="s">
        <v>3934</v>
      </c>
      <c r="B1692" s="29" t="s">
        <v>2123</v>
      </c>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hidden="1">
      <c r="A1693" s="27" t="s">
        <v>3935</v>
      </c>
      <c r="B1693" s="29" t="s">
        <v>2125</v>
      </c>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row>
    <row r="1694" hidden="1">
      <c r="A1694" s="27" t="s">
        <v>3936</v>
      </c>
      <c r="B1694" s="29" t="s">
        <v>2126</v>
      </c>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row>
    <row r="1695" hidden="1">
      <c r="A1695" s="27" t="s">
        <v>3937</v>
      </c>
      <c r="B1695" s="29" t="s">
        <v>2127</v>
      </c>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row>
    <row r="1696" hidden="1">
      <c r="A1696" s="27" t="s">
        <v>3938</v>
      </c>
      <c r="B1696" s="29" t="s">
        <v>2128</v>
      </c>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row>
    <row r="1697" hidden="1">
      <c r="A1697" s="27" t="s">
        <v>3939</v>
      </c>
      <c r="B1697" s="29" t="s">
        <v>2130</v>
      </c>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row>
    <row r="1698" hidden="1">
      <c r="A1698" s="27" t="s">
        <v>3940</v>
      </c>
      <c r="B1698" s="29" t="s">
        <v>2131</v>
      </c>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hidden="1">
      <c r="A1699" s="27" t="s">
        <v>3941</v>
      </c>
      <c r="B1699" s="29" t="s">
        <v>2132</v>
      </c>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hidden="1">
      <c r="A1700" s="27" t="s">
        <v>3942</v>
      </c>
      <c r="B1700" s="29" t="s">
        <v>2133</v>
      </c>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hidden="1">
      <c r="A1701" s="27" t="s">
        <v>3943</v>
      </c>
      <c r="B1701" s="29" t="s">
        <v>2134</v>
      </c>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row>
    <row r="1702" hidden="1">
      <c r="A1702" s="27" t="s">
        <v>3944</v>
      </c>
      <c r="B1702" s="29" t="s">
        <v>2136</v>
      </c>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row>
    <row r="1703" hidden="1">
      <c r="A1703" s="27" t="s">
        <v>3945</v>
      </c>
      <c r="B1703" s="29" t="s">
        <v>2137</v>
      </c>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hidden="1">
      <c r="A1704" s="27" t="s">
        <v>3946</v>
      </c>
      <c r="B1704" s="29" t="s">
        <v>2138</v>
      </c>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row>
    <row r="1705" hidden="1">
      <c r="A1705" s="27" t="s">
        <v>3947</v>
      </c>
      <c r="B1705" s="29" t="s">
        <v>2139</v>
      </c>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row>
    <row r="1706" hidden="1">
      <c r="A1706" s="27" t="s">
        <v>3948</v>
      </c>
      <c r="B1706" s="29" t="s">
        <v>2141</v>
      </c>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row>
    <row r="1707" hidden="1">
      <c r="A1707" s="27" t="s">
        <v>3949</v>
      </c>
      <c r="B1707" s="29" t="s">
        <v>2142</v>
      </c>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row>
    <row r="1708" hidden="1">
      <c r="A1708" s="27" t="s">
        <v>3950</v>
      </c>
      <c r="B1708" s="29" t="s">
        <v>2143</v>
      </c>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row>
    <row r="1709" hidden="1">
      <c r="A1709" s="27" t="s">
        <v>3951</v>
      </c>
      <c r="B1709" s="29" t="s">
        <v>2144</v>
      </c>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hidden="1">
      <c r="A1710" s="27" t="s">
        <v>3952</v>
      </c>
      <c r="B1710" s="29" t="s">
        <v>2145</v>
      </c>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row>
    <row r="1711" hidden="1">
      <c r="A1711" s="27" t="s">
        <v>3953</v>
      </c>
      <c r="B1711" s="29" t="s">
        <v>2147</v>
      </c>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row>
    <row r="1712" hidden="1">
      <c r="A1712" s="27" t="s">
        <v>3954</v>
      </c>
      <c r="B1712" s="29" t="s">
        <v>2148</v>
      </c>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row>
    <row r="1713" hidden="1">
      <c r="A1713" s="27" t="s">
        <v>3955</v>
      </c>
      <c r="B1713" s="29" t="s">
        <v>2149</v>
      </c>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row>
    <row r="1714" hidden="1">
      <c r="A1714" s="27" t="s">
        <v>3956</v>
      </c>
      <c r="B1714" s="29" t="s">
        <v>2150</v>
      </c>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row>
    <row r="1715" hidden="1">
      <c r="A1715" s="27" t="s">
        <v>3957</v>
      </c>
      <c r="B1715" s="29" t="s">
        <v>2151</v>
      </c>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row>
    <row r="1716" hidden="1">
      <c r="A1716" s="27" t="s">
        <v>3958</v>
      </c>
      <c r="B1716" s="29" t="s">
        <v>2153</v>
      </c>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hidden="1">
      <c r="A1717" s="27" t="s">
        <v>3959</v>
      </c>
      <c r="B1717" s="29" t="s">
        <v>2154</v>
      </c>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row>
    <row r="1718" hidden="1">
      <c r="A1718" s="27" t="s">
        <v>3960</v>
      </c>
      <c r="B1718" s="29" t="s">
        <v>2155</v>
      </c>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row>
    <row r="1719" hidden="1">
      <c r="A1719" s="27" t="s">
        <v>3961</v>
      </c>
      <c r="B1719" s="29" t="s">
        <v>2156</v>
      </c>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row>
    <row r="1720" hidden="1">
      <c r="A1720" s="27" t="s">
        <v>3962</v>
      </c>
      <c r="B1720" s="29" t="s">
        <v>2157</v>
      </c>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hidden="1">
      <c r="A1721" s="27" t="s">
        <v>3963</v>
      </c>
      <c r="B1721" s="29" t="s">
        <v>2159</v>
      </c>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row>
    <row r="1722" hidden="1">
      <c r="A1722" s="27" t="s">
        <v>3964</v>
      </c>
      <c r="B1722" s="29" t="s">
        <v>2160</v>
      </c>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row>
    <row r="1723" hidden="1">
      <c r="A1723" s="27" t="s">
        <v>3965</v>
      </c>
      <c r="B1723" s="29" t="s">
        <v>2161</v>
      </c>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row>
    <row r="1724" hidden="1">
      <c r="A1724" s="27" t="s">
        <v>3966</v>
      </c>
      <c r="B1724" s="29" t="s">
        <v>2162</v>
      </c>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row>
    <row r="1725" hidden="1">
      <c r="A1725" s="27" t="s">
        <v>3967</v>
      </c>
      <c r="B1725" s="29" t="s">
        <v>2164</v>
      </c>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hidden="1">
      <c r="A1726" s="27" t="s">
        <v>3968</v>
      </c>
      <c r="B1726" s="29" t="s">
        <v>2165</v>
      </c>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row>
    <row r="1727" hidden="1">
      <c r="A1727" s="27" t="s">
        <v>3969</v>
      </c>
      <c r="B1727" s="29" t="s">
        <v>2166</v>
      </c>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hidden="1">
      <c r="A1728" s="27" t="s">
        <v>3970</v>
      </c>
      <c r="B1728" s="29" t="s">
        <v>2167</v>
      </c>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hidden="1">
      <c r="A1729" s="27" t="s">
        <v>3971</v>
      </c>
      <c r="B1729" s="29" t="s">
        <v>2168</v>
      </c>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row>
    <row r="1730" hidden="1">
      <c r="A1730" s="27" t="s">
        <v>3972</v>
      </c>
      <c r="B1730" s="29" t="s">
        <v>2170</v>
      </c>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row>
    <row r="1731" hidden="1">
      <c r="A1731" s="27" t="s">
        <v>3973</v>
      </c>
      <c r="B1731" s="29" t="s">
        <v>2171</v>
      </c>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row>
    <row r="1732" hidden="1">
      <c r="A1732" s="27" t="s">
        <v>3974</v>
      </c>
      <c r="B1732" s="29" t="s">
        <v>2172</v>
      </c>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row>
    <row r="1733" hidden="1">
      <c r="A1733" s="27" t="s">
        <v>3975</v>
      </c>
      <c r="B1733" s="29" t="s">
        <v>2173</v>
      </c>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hidden="1">
      <c r="A1734" s="27" t="s">
        <v>3976</v>
      </c>
      <c r="B1734" s="29" t="s">
        <v>2174</v>
      </c>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row>
    <row r="1735" hidden="1">
      <c r="A1735" s="27" t="s">
        <v>3977</v>
      </c>
      <c r="B1735" s="29" t="s">
        <v>2176</v>
      </c>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hidden="1">
      <c r="A1736" s="27" t="s">
        <v>3978</v>
      </c>
      <c r="B1736" s="29" t="s">
        <v>2177</v>
      </c>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row>
    <row r="1737" hidden="1">
      <c r="A1737" s="27" t="s">
        <v>3979</v>
      </c>
      <c r="B1737" s="29" t="s">
        <v>2178</v>
      </c>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row>
    <row r="1738" hidden="1">
      <c r="A1738" s="27" t="s">
        <v>3980</v>
      </c>
      <c r="B1738" s="29" t="s">
        <v>2179</v>
      </c>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row>
    <row r="1739" hidden="1">
      <c r="A1739" s="27" t="s">
        <v>3981</v>
      </c>
      <c r="B1739" s="29" t="s">
        <v>2181</v>
      </c>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row>
    <row r="1740" hidden="1">
      <c r="A1740" s="27" t="s">
        <v>3982</v>
      </c>
      <c r="B1740" s="29" t="s">
        <v>2182</v>
      </c>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row>
    <row r="1741" hidden="1">
      <c r="A1741" s="27" t="s">
        <v>3983</v>
      </c>
      <c r="B1741" s="29" t="s">
        <v>2183</v>
      </c>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hidden="1">
      <c r="A1742" s="27" t="s">
        <v>3984</v>
      </c>
      <c r="B1742" s="29" t="s">
        <v>2184</v>
      </c>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row>
    <row r="1743" hidden="1">
      <c r="A1743" s="27" t="s">
        <v>3985</v>
      </c>
      <c r="B1743" s="29" t="s">
        <v>2186</v>
      </c>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hidden="1">
      <c r="A1744" s="27" t="s">
        <v>3986</v>
      </c>
      <c r="B1744" s="29" t="s">
        <v>2187</v>
      </c>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row>
    <row r="1745" hidden="1">
      <c r="A1745" s="27" t="s">
        <v>3987</v>
      </c>
      <c r="B1745" s="29" t="s">
        <v>2188</v>
      </c>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row>
    <row r="1746" hidden="1">
      <c r="A1746" s="27" t="s">
        <v>3988</v>
      </c>
      <c r="B1746" s="29" t="s">
        <v>2189</v>
      </c>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hidden="1">
      <c r="A1747" s="27" t="s">
        <v>3989</v>
      </c>
      <c r="B1747" s="29" t="s">
        <v>2191</v>
      </c>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row>
    <row r="1748" hidden="1">
      <c r="A1748" s="27" t="s">
        <v>3990</v>
      </c>
      <c r="B1748" s="29" t="s">
        <v>2192</v>
      </c>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row>
    <row r="1749" hidden="1">
      <c r="A1749" s="27" t="s">
        <v>3991</v>
      </c>
      <c r="B1749" s="29" t="s">
        <v>2193</v>
      </c>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row>
    <row r="1750" hidden="1">
      <c r="A1750" s="27" t="s">
        <v>3992</v>
      </c>
      <c r="B1750" s="29" t="s">
        <v>2195</v>
      </c>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hidden="1">
      <c r="A1751" s="27" t="s">
        <v>3993</v>
      </c>
      <c r="B1751" s="29" t="s">
        <v>2196</v>
      </c>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row>
    <row r="1752" hidden="1">
      <c r="A1752" s="27" t="s">
        <v>3994</v>
      </c>
      <c r="B1752" s="29" t="s">
        <v>2197</v>
      </c>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row>
    <row r="1753" hidden="1">
      <c r="A1753" s="27" t="s">
        <v>3995</v>
      </c>
      <c r="B1753" s="29" t="s">
        <v>2198</v>
      </c>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row>
    <row r="1754" hidden="1">
      <c r="A1754" s="27" t="s">
        <v>3996</v>
      </c>
      <c r="B1754" s="29" t="s">
        <v>2199</v>
      </c>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row>
    <row r="1755" hidden="1">
      <c r="A1755" s="27" t="s">
        <v>3997</v>
      </c>
      <c r="B1755" s="29" t="s">
        <v>2201</v>
      </c>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row>
    <row r="1756" hidden="1">
      <c r="A1756" s="27" t="s">
        <v>3998</v>
      </c>
      <c r="B1756" s="29" t="s">
        <v>2202</v>
      </c>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row>
    <row r="1757" hidden="1">
      <c r="A1757" s="27" t="s">
        <v>3999</v>
      </c>
      <c r="B1757" s="29" t="s">
        <v>2203</v>
      </c>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row>
    <row r="1758" hidden="1">
      <c r="A1758" s="27" t="s">
        <v>4000</v>
      </c>
      <c r="B1758" s="29" t="s">
        <v>2204</v>
      </c>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row>
    <row r="1759" hidden="1">
      <c r="A1759" s="27" t="s">
        <v>4001</v>
      </c>
      <c r="B1759" s="29" t="s">
        <v>2206</v>
      </c>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row>
    <row r="1760" hidden="1">
      <c r="A1760" s="27" t="s">
        <v>4002</v>
      </c>
      <c r="B1760" s="29" t="s">
        <v>2207</v>
      </c>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row>
    <row r="1761" hidden="1">
      <c r="A1761" s="27" t="s">
        <v>4003</v>
      </c>
      <c r="B1761" s="29" t="s">
        <v>2208</v>
      </c>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hidden="1">
      <c r="A1762" s="27" t="s">
        <v>4004</v>
      </c>
      <c r="B1762" s="29" t="s">
        <v>2209</v>
      </c>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row>
    <row r="1763" hidden="1">
      <c r="A1763" s="27" t="s">
        <v>4005</v>
      </c>
      <c r="B1763" s="29" t="s">
        <v>2211</v>
      </c>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hidden="1">
      <c r="A1764" s="27" t="s">
        <v>4006</v>
      </c>
      <c r="B1764" s="29" t="s">
        <v>2212</v>
      </c>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row>
    <row r="1765" hidden="1">
      <c r="A1765" s="27" t="s">
        <v>4007</v>
      </c>
      <c r="B1765" s="29" t="s">
        <v>2213</v>
      </c>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hidden="1">
      <c r="A1766" s="27" t="s">
        <v>4008</v>
      </c>
      <c r="B1766" s="29" t="s">
        <v>2214</v>
      </c>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row>
    <row r="1767" hidden="1">
      <c r="A1767" s="27" t="s">
        <v>4009</v>
      </c>
      <c r="B1767" s="29" t="s">
        <v>2215</v>
      </c>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hidden="1">
      <c r="A1768" s="27" t="s">
        <v>4010</v>
      </c>
      <c r="B1768" s="29" t="s">
        <v>2216</v>
      </c>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row>
    <row r="1769" hidden="1">
      <c r="A1769" s="27" t="s">
        <v>4011</v>
      </c>
      <c r="B1769" s="29" t="s">
        <v>2217</v>
      </c>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row>
    <row r="1770" hidden="1">
      <c r="A1770" s="27" t="s">
        <v>4012</v>
      </c>
      <c r="B1770" s="29" t="s">
        <v>2219</v>
      </c>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row>
    <row r="1771" hidden="1">
      <c r="A1771" s="27" t="s">
        <v>4013</v>
      </c>
      <c r="B1771" s="29" t="s">
        <v>2220</v>
      </c>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row>
    <row r="1772" hidden="1">
      <c r="A1772" s="27" t="s">
        <v>4014</v>
      </c>
      <c r="B1772" s="29" t="s">
        <v>2221</v>
      </c>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row>
    <row r="1773" hidden="1">
      <c r="A1773" s="27" t="s">
        <v>4015</v>
      </c>
      <c r="B1773" s="29" t="s">
        <v>2222</v>
      </c>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hidden="1">
      <c r="A1774" s="27" t="s">
        <v>4016</v>
      </c>
      <c r="B1774" s="29" t="s">
        <v>2223</v>
      </c>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row>
    <row r="1775" hidden="1">
      <c r="A1775" s="27" t="s">
        <v>4017</v>
      </c>
      <c r="B1775" s="29" t="s">
        <v>2224</v>
      </c>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row>
    <row r="1776" hidden="1">
      <c r="A1776" s="27" t="s">
        <v>4018</v>
      </c>
      <c r="B1776" s="29" t="s">
        <v>2226</v>
      </c>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row>
    <row r="1777" hidden="1">
      <c r="A1777" s="27" t="s">
        <v>4019</v>
      </c>
      <c r="B1777" s="29" t="s">
        <v>2227</v>
      </c>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row>
    <row r="1778" hidden="1">
      <c r="A1778" s="27" t="s">
        <v>4020</v>
      </c>
      <c r="B1778" s="29" t="s">
        <v>2228</v>
      </c>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row>
    <row r="1779" hidden="1">
      <c r="A1779" s="27" t="s">
        <v>4021</v>
      </c>
      <c r="B1779" s="29" t="s">
        <v>2229</v>
      </c>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hidden="1">
      <c r="A1780" s="27" t="s">
        <v>4022</v>
      </c>
      <c r="B1780" s="29" t="s">
        <v>2230</v>
      </c>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row>
    <row r="1781" hidden="1">
      <c r="A1781" s="27" t="s">
        <v>4023</v>
      </c>
      <c r="B1781" s="29" t="s">
        <v>2231</v>
      </c>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row>
    <row r="1782" hidden="1">
      <c r="A1782" s="27" t="s">
        <v>4024</v>
      </c>
      <c r="B1782" s="29" t="s">
        <v>2233</v>
      </c>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row>
    <row r="1783" hidden="1">
      <c r="A1783" s="27" t="s">
        <v>4025</v>
      </c>
      <c r="B1783" s="29" t="s">
        <v>2234</v>
      </c>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hidden="1">
      <c r="A1784" s="27" t="s">
        <v>4026</v>
      </c>
      <c r="B1784" s="29" t="s">
        <v>2235</v>
      </c>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hidden="1">
      <c r="A1785" s="27" t="s">
        <v>4027</v>
      </c>
      <c r="B1785" s="29" t="s">
        <v>2236</v>
      </c>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row>
    <row r="1786" hidden="1">
      <c r="A1786" s="27" t="s">
        <v>4028</v>
      </c>
      <c r="B1786" s="29" t="s">
        <v>2237</v>
      </c>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row>
    <row r="1787" hidden="1">
      <c r="A1787" s="27" t="s">
        <v>4029</v>
      </c>
      <c r="B1787" s="29" t="s">
        <v>2238</v>
      </c>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row>
    <row r="1788" hidden="1">
      <c r="A1788" s="27" t="s">
        <v>4030</v>
      </c>
      <c r="B1788" s="29" t="s">
        <v>2240</v>
      </c>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row>
    <row r="1789" hidden="1">
      <c r="A1789" s="27" t="s">
        <v>4031</v>
      </c>
      <c r="B1789" s="29" t="s">
        <v>2241</v>
      </c>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row>
    <row r="1790" hidden="1">
      <c r="A1790" s="27" t="s">
        <v>4032</v>
      </c>
      <c r="B1790" s="29" t="s">
        <v>2242</v>
      </c>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row>
    <row r="1791" hidden="1">
      <c r="A1791" s="27" t="s">
        <v>4033</v>
      </c>
      <c r="B1791" s="29" t="s">
        <v>2243</v>
      </c>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row>
    <row r="1792" hidden="1">
      <c r="A1792" s="27" t="s">
        <v>4034</v>
      </c>
      <c r="B1792" s="29" t="s">
        <v>2245</v>
      </c>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row>
    <row r="1793" hidden="1">
      <c r="A1793" s="27" t="s">
        <v>4035</v>
      </c>
      <c r="B1793" s="29" t="s">
        <v>2246</v>
      </c>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row>
    <row r="1794" hidden="1">
      <c r="A1794" s="27" t="s">
        <v>4036</v>
      </c>
      <c r="B1794" s="29" t="s">
        <v>2247</v>
      </c>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row>
    <row r="1795" hidden="1">
      <c r="A1795" s="27" t="s">
        <v>4037</v>
      </c>
      <c r="B1795" s="29" t="s">
        <v>2248</v>
      </c>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row>
    <row r="1796" hidden="1">
      <c r="A1796" s="27" t="s">
        <v>4038</v>
      </c>
      <c r="B1796" s="29" t="s">
        <v>2249</v>
      </c>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row>
    <row r="1797" hidden="1">
      <c r="A1797" s="27" t="s">
        <v>4039</v>
      </c>
      <c r="B1797" s="29" t="s">
        <v>2251</v>
      </c>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hidden="1">
      <c r="A1798" s="27" t="s">
        <v>4040</v>
      </c>
      <c r="B1798" s="29" t="s">
        <v>2252</v>
      </c>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hidden="1">
      <c r="A1799" s="27" t="s">
        <v>4041</v>
      </c>
      <c r="B1799" s="29" t="s">
        <v>2253</v>
      </c>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hidden="1">
      <c r="A1800" s="27" t="s">
        <v>4042</v>
      </c>
      <c r="B1800" s="29" t="s">
        <v>2254</v>
      </c>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row>
    <row r="1801" hidden="1">
      <c r="A1801" s="27" t="s">
        <v>4043</v>
      </c>
      <c r="B1801" s="29" t="s">
        <v>2256</v>
      </c>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hidden="1">
      <c r="A1802" s="27" t="s">
        <v>4044</v>
      </c>
      <c r="B1802" s="29" t="s">
        <v>2257</v>
      </c>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row>
    <row r="1803" hidden="1">
      <c r="A1803" s="27" t="s">
        <v>4045</v>
      </c>
      <c r="B1803" s="29" t="s">
        <v>2258</v>
      </c>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hidden="1">
      <c r="A1804" s="27" t="s">
        <v>4046</v>
      </c>
      <c r="B1804" s="29" t="s">
        <v>2259</v>
      </c>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row>
    <row r="1805" hidden="1">
      <c r="A1805" s="27" t="s">
        <v>4047</v>
      </c>
      <c r="B1805" s="29" t="s">
        <v>2260</v>
      </c>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row>
    <row r="1806" hidden="1">
      <c r="A1806" s="27" t="s">
        <v>4048</v>
      </c>
      <c r="B1806" s="29" t="s">
        <v>2262</v>
      </c>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row>
    <row r="1807" hidden="1">
      <c r="A1807" s="27" t="s">
        <v>4049</v>
      </c>
      <c r="B1807" s="29" t="s">
        <v>2263</v>
      </c>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hidden="1">
      <c r="A1808" s="27" t="s">
        <v>4050</v>
      </c>
      <c r="B1808" s="29" t="s">
        <v>2264</v>
      </c>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row>
    <row r="1809" hidden="1">
      <c r="A1809" s="27" t="s">
        <v>4051</v>
      </c>
      <c r="B1809" s="29" t="s">
        <v>2265</v>
      </c>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row>
    <row r="1810" hidden="1">
      <c r="A1810" s="27" t="s">
        <v>4052</v>
      </c>
      <c r="B1810" s="29" t="s">
        <v>2266</v>
      </c>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row>
    <row r="1811" hidden="1">
      <c r="A1811" s="27" t="s">
        <v>4053</v>
      </c>
      <c r="B1811" s="29" t="s">
        <v>2268</v>
      </c>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hidden="1">
      <c r="A1812" s="27" t="s">
        <v>4054</v>
      </c>
      <c r="B1812" s="29" t="s">
        <v>2269</v>
      </c>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row>
    <row r="1813" hidden="1">
      <c r="A1813" s="27" t="s">
        <v>4055</v>
      </c>
      <c r="B1813" s="29" t="s">
        <v>2270</v>
      </c>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row>
    <row r="1814" hidden="1">
      <c r="A1814" s="27" t="s">
        <v>4056</v>
      </c>
      <c r="B1814" s="29" t="s">
        <v>2271</v>
      </c>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row>
    <row r="1815" hidden="1">
      <c r="A1815" s="27" t="s">
        <v>4057</v>
      </c>
      <c r="B1815" s="29" t="s">
        <v>2272</v>
      </c>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hidden="1">
      <c r="A1816" s="27" t="s">
        <v>4058</v>
      </c>
      <c r="B1816" s="29" t="s">
        <v>2274</v>
      </c>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hidden="1">
      <c r="A1817" s="27" t="s">
        <v>4059</v>
      </c>
      <c r="B1817" s="29" t="s">
        <v>2275</v>
      </c>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hidden="1">
      <c r="A1818" s="27" t="s">
        <v>4060</v>
      </c>
      <c r="B1818" s="29" t="s">
        <v>2276</v>
      </c>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hidden="1">
      <c r="A1819" s="27" t="s">
        <v>4061</v>
      </c>
      <c r="B1819" s="29" t="s">
        <v>2277</v>
      </c>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hidden="1">
      <c r="A1820" s="27" t="s">
        <v>4062</v>
      </c>
      <c r="B1820" s="29" t="s">
        <v>2278</v>
      </c>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hidden="1">
      <c r="A1821" s="27" t="s">
        <v>4063</v>
      </c>
      <c r="B1821" s="29" t="s">
        <v>2280</v>
      </c>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hidden="1">
      <c r="A1822" s="27" t="s">
        <v>4064</v>
      </c>
      <c r="B1822" s="29" t="s">
        <v>2281</v>
      </c>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hidden="1">
      <c r="A1823" s="27" t="s">
        <v>4065</v>
      </c>
      <c r="B1823" s="29" t="s">
        <v>2282</v>
      </c>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hidden="1">
      <c r="A1824" s="27" t="s">
        <v>4066</v>
      </c>
      <c r="B1824" s="29" t="s">
        <v>2283</v>
      </c>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hidden="1">
      <c r="A1825" s="27" t="s">
        <v>4067</v>
      </c>
      <c r="B1825" s="29" t="s">
        <v>2284</v>
      </c>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hidden="1">
      <c r="A1826" s="27" t="s">
        <v>4068</v>
      </c>
      <c r="B1826" s="29" t="s">
        <v>2286</v>
      </c>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hidden="1">
      <c r="A1827" s="27" t="s">
        <v>4069</v>
      </c>
      <c r="B1827" s="29" t="s">
        <v>2287</v>
      </c>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hidden="1">
      <c r="A1828" s="27" t="s">
        <v>4070</v>
      </c>
      <c r="B1828" s="29" t="s">
        <v>2288</v>
      </c>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hidden="1">
      <c r="A1829" s="27" t="s">
        <v>4071</v>
      </c>
      <c r="B1829" s="29" t="s">
        <v>2289</v>
      </c>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hidden="1">
      <c r="A1830" s="27" t="s">
        <v>4072</v>
      </c>
      <c r="B1830" s="29" t="s">
        <v>2291</v>
      </c>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hidden="1">
      <c r="A1831" s="27" t="s">
        <v>4073</v>
      </c>
      <c r="B1831" s="29" t="s">
        <v>2292</v>
      </c>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hidden="1">
      <c r="A1832" s="27" t="s">
        <v>4074</v>
      </c>
      <c r="B1832" s="29" t="s">
        <v>2293</v>
      </c>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hidden="1">
      <c r="A1833" s="27" t="s">
        <v>4075</v>
      </c>
      <c r="B1833" s="29" t="s">
        <v>2294</v>
      </c>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hidden="1">
      <c r="A1834" s="27" t="s">
        <v>4076</v>
      </c>
      <c r="B1834" s="29" t="s">
        <v>2295</v>
      </c>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hidden="1">
      <c r="A1835" s="27" t="s">
        <v>4077</v>
      </c>
      <c r="B1835" s="29" t="s">
        <v>2297</v>
      </c>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hidden="1">
      <c r="A1836" s="27" t="s">
        <v>4078</v>
      </c>
      <c r="B1836" s="29" t="s">
        <v>2298</v>
      </c>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hidden="1">
      <c r="A1837" s="27" t="s">
        <v>4079</v>
      </c>
      <c r="B1837" s="29" t="s">
        <v>2299</v>
      </c>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hidden="1">
      <c r="A1838" s="27" t="s">
        <v>4080</v>
      </c>
      <c r="B1838" s="29" t="s">
        <v>2300</v>
      </c>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hidden="1">
      <c r="A1839" s="27" t="s">
        <v>4081</v>
      </c>
      <c r="B1839" s="29" t="s">
        <v>2302</v>
      </c>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hidden="1">
      <c r="A1840" s="27" t="s">
        <v>4082</v>
      </c>
      <c r="B1840" s="29" t="s">
        <v>2303</v>
      </c>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hidden="1">
      <c r="A1841" s="27" t="s">
        <v>4083</v>
      </c>
      <c r="B1841" s="29" t="s">
        <v>2304</v>
      </c>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hidden="1">
      <c r="A1842" s="27" t="s">
        <v>4084</v>
      </c>
      <c r="B1842" s="29" t="s">
        <v>2305</v>
      </c>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hidden="1">
      <c r="A1843" s="27" t="s">
        <v>4085</v>
      </c>
      <c r="B1843" s="29" t="s">
        <v>2306</v>
      </c>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hidden="1">
      <c r="A1844" s="27" t="s">
        <v>4086</v>
      </c>
      <c r="B1844" s="29" t="s">
        <v>2308</v>
      </c>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hidden="1">
      <c r="A1845" s="27" t="s">
        <v>4087</v>
      </c>
      <c r="B1845" s="29" t="s">
        <v>2309</v>
      </c>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hidden="1">
      <c r="A1846" s="27" t="s">
        <v>4088</v>
      </c>
      <c r="B1846" s="29" t="s">
        <v>2310</v>
      </c>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row r="1847" hidden="1">
      <c r="A1847" s="27" t="s">
        <v>4089</v>
      </c>
      <c r="B1847" s="29" t="s">
        <v>2311</v>
      </c>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row>
    <row r="1848" hidden="1">
      <c r="A1848" s="27" t="s">
        <v>4090</v>
      </c>
      <c r="B1848" s="29" t="s">
        <v>2313</v>
      </c>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row>
    <row r="1849" hidden="1">
      <c r="A1849" s="27" t="s">
        <v>4091</v>
      </c>
      <c r="B1849" s="29" t="s">
        <v>2314</v>
      </c>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row>
    <row r="1850" hidden="1">
      <c r="A1850" s="27" t="s">
        <v>4092</v>
      </c>
      <c r="B1850" s="29" t="s">
        <v>2315</v>
      </c>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row>
    <row r="1851" hidden="1">
      <c r="A1851" s="27" t="s">
        <v>4093</v>
      </c>
      <c r="B1851" s="29" t="s">
        <v>2316</v>
      </c>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row>
    <row r="1852" hidden="1">
      <c r="A1852" s="27" t="s">
        <v>4094</v>
      </c>
      <c r="B1852" s="29" t="s">
        <v>2317</v>
      </c>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hidden="1">
      <c r="A1853" s="27" t="s">
        <v>4095</v>
      </c>
      <c r="B1853" s="29" t="s">
        <v>2319</v>
      </c>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hidden="1">
      <c r="A1854" s="27" t="s">
        <v>4096</v>
      </c>
      <c r="B1854" s="29" t="s">
        <v>2320</v>
      </c>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row>
    <row r="1855" hidden="1">
      <c r="A1855" s="27" t="s">
        <v>4097</v>
      </c>
      <c r="B1855" s="29" t="s">
        <v>2321</v>
      </c>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row>
    <row r="1856" hidden="1">
      <c r="A1856" s="27" t="s">
        <v>4098</v>
      </c>
      <c r="B1856" s="29" t="s">
        <v>2322</v>
      </c>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row>
    <row r="1857" hidden="1">
      <c r="A1857" s="27" t="s">
        <v>4099</v>
      </c>
      <c r="B1857" s="29" t="s">
        <v>2323</v>
      </c>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row>
    <row r="1858" hidden="1">
      <c r="A1858" s="27" t="s">
        <v>4100</v>
      </c>
      <c r="B1858" s="29" t="s">
        <v>2325</v>
      </c>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row>
    <row r="1859" hidden="1">
      <c r="A1859" s="27" t="s">
        <v>4101</v>
      </c>
      <c r="B1859" s="29" t="s">
        <v>2326</v>
      </c>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row>
    <row r="1860" hidden="1">
      <c r="A1860" s="27" t="s">
        <v>4102</v>
      </c>
      <c r="B1860" s="29" t="s">
        <v>2327</v>
      </c>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row>
    <row r="1861" hidden="1">
      <c r="A1861" s="27" t="s">
        <v>4103</v>
      </c>
      <c r="B1861" s="29" t="s">
        <v>2328</v>
      </c>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row>
    <row r="1862" hidden="1">
      <c r="A1862" s="27" t="s">
        <v>4104</v>
      </c>
      <c r="B1862" s="29" t="s">
        <v>2329</v>
      </c>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row>
    <row r="1863" hidden="1">
      <c r="A1863" s="27" t="s">
        <v>4105</v>
      </c>
      <c r="B1863" s="29" t="s">
        <v>2331</v>
      </c>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row>
    <row r="1864" hidden="1">
      <c r="A1864" s="27" t="s">
        <v>4106</v>
      </c>
      <c r="B1864" s="29" t="s">
        <v>2332</v>
      </c>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row>
    <row r="1865" hidden="1">
      <c r="A1865" s="27" t="s">
        <v>4107</v>
      </c>
      <c r="B1865" s="29" t="s">
        <v>2333</v>
      </c>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row>
    <row r="1866" hidden="1">
      <c r="A1866" s="27" t="s">
        <v>4108</v>
      </c>
      <c r="B1866" s="29" t="s">
        <v>2334</v>
      </c>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row>
    <row r="1867" hidden="1">
      <c r="A1867" s="27" t="s">
        <v>4109</v>
      </c>
      <c r="B1867" s="29" t="s">
        <v>2335</v>
      </c>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row>
    <row r="1868" hidden="1">
      <c r="A1868" s="27" t="s">
        <v>4110</v>
      </c>
      <c r="B1868" s="29" t="s">
        <v>2337</v>
      </c>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hidden="1">
      <c r="A1869" s="27" t="s">
        <v>4111</v>
      </c>
      <c r="B1869" s="29" t="s">
        <v>2338</v>
      </c>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row>
    <row r="1870" hidden="1">
      <c r="A1870" s="27" t="s">
        <v>4112</v>
      </c>
      <c r="B1870" s="29" t="s">
        <v>2339</v>
      </c>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row>
    <row r="1871" hidden="1">
      <c r="A1871" s="27" t="s">
        <v>4113</v>
      </c>
      <c r="B1871" s="29" t="s">
        <v>2340</v>
      </c>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hidden="1">
      <c r="A1872" s="27" t="s">
        <v>4114</v>
      </c>
      <c r="B1872" s="29" t="s">
        <v>2341</v>
      </c>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hidden="1">
      <c r="A1873" s="27" t="s">
        <v>4115</v>
      </c>
      <c r="B1873" s="29" t="s">
        <v>2343</v>
      </c>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hidden="1">
      <c r="A1874" s="27" t="s">
        <v>4116</v>
      </c>
      <c r="B1874" s="29" t="s">
        <v>2344</v>
      </c>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row>
    <row r="1875" hidden="1">
      <c r="A1875" s="27" t="s">
        <v>4117</v>
      </c>
      <c r="B1875" s="29" t="s">
        <v>2345</v>
      </c>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hidden="1">
      <c r="A1876" s="27" t="s">
        <v>4118</v>
      </c>
      <c r="B1876" s="29" t="s">
        <v>2346</v>
      </c>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row>
    <row r="1877" hidden="1">
      <c r="A1877" s="27" t="s">
        <v>4119</v>
      </c>
      <c r="B1877" s="29" t="s">
        <v>2347</v>
      </c>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row>
    <row r="1878" hidden="1">
      <c r="A1878" s="27" t="s">
        <v>4120</v>
      </c>
      <c r="B1878" s="29" t="s">
        <v>2349</v>
      </c>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row>
    <row r="1879" hidden="1">
      <c r="A1879" s="27" t="s">
        <v>4121</v>
      </c>
      <c r="B1879" s="29" t="s">
        <v>2350</v>
      </c>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row>
    <row r="1880" hidden="1">
      <c r="A1880" s="27" t="s">
        <v>4122</v>
      </c>
      <c r="B1880" s="29" t="s">
        <v>2351</v>
      </c>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row>
    <row r="1881" hidden="1">
      <c r="A1881" s="27" t="s">
        <v>4123</v>
      </c>
      <c r="B1881" s="29" t="s">
        <v>2352</v>
      </c>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row>
    <row r="1882" hidden="1">
      <c r="A1882" s="27" t="s">
        <v>4124</v>
      </c>
      <c r="B1882" s="29" t="s">
        <v>2353</v>
      </c>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row>
    <row r="1883" hidden="1">
      <c r="A1883" s="27" t="s">
        <v>4125</v>
      </c>
      <c r="B1883" s="29" t="s">
        <v>2354</v>
      </c>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row>
    <row r="1884" hidden="1">
      <c r="A1884" s="27" t="s">
        <v>4126</v>
      </c>
      <c r="B1884" s="29" t="s">
        <v>2356</v>
      </c>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row>
    <row r="1885" hidden="1">
      <c r="A1885" s="27" t="s">
        <v>4127</v>
      </c>
      <c r="B1885" s="29" t="s">
        <v>2357</v>
      </c>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row>
    <row r="1886" hidden="1">
      <c r="A1886" s="27" t="s">
        <v>4128</v>
      </c>
      <c r="B1886" s="29" t="s">
        <v>2358</v>
      </c>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hidden="1">
      <c r="A1887" s="27" t="s">
        <v>4129</v>
      </c>
      <c r="B1887" s="29" t="s">
        <v>2359</v>
      </c>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row>
    <row r="1888" hidden="1">
      <c r="A1888" s="27" t="s">
        <v>4130</v>
      </c>
      <c r="B1888" s="29" t="s">
        <v>2360</v>
      </c>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row>
    <row r="1889" hidden="1">
      <c r="A1889" s="27" t="s">
        <v>4131</v>
      </c>
      <c r="B1889" s="29" t="s">
        <v>2362</v>
      </c>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row>
    <row r="1890" hidden="1">
      <c r="A1890" s="27" t="s">
        <v>4132</v>
      </c>
      <c r="B1890" s="29" t="s">
        <v>2363</v>
      </c>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row>
    <row r="1891" hidden="1">
      <c r="A1891" s="27" t="s">
        <v>4133</v>
      </c>
      <c r="B1891" s="29" t="s">
        <v>2364</v>
      </c>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hidden="1">
      <c r="A1892" s="27" t="s">
        <v>4134</v>
      </c>
      <c r="B1892" s="29" t="s">
        <v>2365</v>
      </c>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row>
    <row r="1893" hidden="1">
      <c r="A1893" s="27" t="s">
        <v>4135</v>
      </c>
      <c r="B1893" s="29" t="s">
        <v>2366</v>
      </c>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row>
    <row r="1894" hidden="1">
      <c r="A1894" s="27" t="s">
        <v>4136</v>
      </c>
      <c r="B1894" s="29" t="s">
        <v>2368</v>
      </c>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row>
    <row r="1895" hidden="1">
      <c r="A1895" s="27" t="s">
        <v>4137</v>
      </c>
      <c r="B1895" s="29" t="s">
        <v>2369</v>
      </c>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row>
    <row r="1896" hidden="1">
      <c r="A1896" s="27" t="s">
        <v>4138</v>
      </c>
      <c r="B1896" s="29" t="s">
        <v>2370</v>
      </c>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row>
    <row r="1897" hidden="1">
      <c r="A1897" s="27" t="s">
        <v>4139</v>
      </c>
      <c r="B1897" s="29" t="s">
        <v>2371</v>
      </c>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row>
    <row r="1898" hidden="1">
      <c r="A1898" s="27" t="s">
        <v>4140</v>
      </c>
      <c r="B1898" s="29" t="s">
        <v>2373</v>
      </c>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row>
    <row r="1899" hidden="1">
      <c r="A1899" s="27" t="s">
        <v>4141</v>
      </c>
      <c r="B1899" s="29" t="s">
        <v>2374</v>
      </c>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row>
    <row r="1900" hidden="1">
      <c r="A1900" s="27" t="s">
        <v>4142</v>
      </c>
      <c r="B1900" s="29" t="s">
        <v>2375</v>
      </c>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row>
    <row r="1901" hidden="1">
      <c r="A1901" s="27" t="s">
        <v>4143</v>
      </c>
      <c r="B1901" s="29" t="s">
        <v>2376</v>
      </c>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row>
    <row r="1902" hidden="1">
      <c r="A1902" s="27" t="s">
        <v>4144</v>
      </c>
      <c r="B1902" s="29" t="s">
        <v>2377</v>
      </c>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hidden="1">
      <c r="A1903" s="27" t="s">
        <v>4145</v>
      </c>
      <c r="B1903" s="29" t="s">
        <v>2379</v>
      </c>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hidden="1">
      <c r="A1904" s="27" t="s">
        <v>4146</v>
      </c>
      <c r="B1904" s="29" t="s">
        <v>2380</v>
      </c>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row>
    <row r="1905" hidden="1">
      <c r="A1905" s="27" t="s">
        <v>4147</v>
      </c>
      <c r="B1905" s="29" t="s">
        <v>2381</v>
      </c>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hidden="1">
      <c r="A1906" s="27" t="s">
        <v>4148</v>
      </c>
      <c r="B1906" s="29" t="s">
        <v>2383</v>
      </c>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row>
    <row r="1907" hidden="1">
      <c r="A1907" s="27" t="s">
        <v>4149</v>
      </c>
      <c r="B1907" s="29" t="s">
        <v>2384</v>
      </c>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row>
    <row r="1908" hidden="1">
      <c r="A1908" s="27" t="s">
        <v>4150</v>
      </c>
      <c r="B1908" s="29" t="s">
        <v>2385</v>
      </c>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row>
    <row r="1909" hidden="1">
      <c r="A1909" s="27" t="s">
        <v>4151</v>
      </c>
      <c r="B1909" s="29" t="s">
        <v>2386</v>
      </c>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hidden="1">
      <c r="A1910" s="27" t="s">
        <v>4152</v>
      </c>
      <c r="B1910" s="29" t="s">
        <v>2387</v>
      </c>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row>
    <row r="1911" hidden="1">
      <c r="A1911" s="27" t="s">
        <v>4153</v>
      </c>
      <c r="B1911" s="29" t="s">
        <v>2389</v>
      </c>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hidden="1">
      <c r="A1912" s="27" t="s">
        <v>4154</v>
      </c>
      <c r="B1912" s="29" t="s">
        <v>2390</v>
      </c>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hidden="1">
      <c r="A1913" s="27" t="s">
        <v>4155</v>
      </c>
      <c r="B1913" s="29" t="s">
        <v>2391</v>
      </c>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row>
    <row r="1914" hidden="1">
      <c r="A1914" s="27" t="s">
        <v>4156</v>
      </c>
      <c r="B1914" s="29" t="s">
        <v>2392</v>
      </c>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row>
    <row r="1915" hidden="1">
      <c r="A1915" s="27" t="s">
        <v>4157</v>
      </c>
      <c r="B1915" s="29" t="s">
        <v>2394</v>
      </c>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row>
    <row r="1916" hidden="1">
      <c r="A1916" s="27" t="s">
        <v>4158</v>
      </c>
      <c r="B1916" s="29" t="s">
        <v>2395</v>
      </c>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row>
    <row r="1917" hidden="1">
      <c r="A1917" s="27" t="s">
        <v>4159</v>
      </c>
      <c r="B1917" s="29" t="s">
        <v>2396</v>
      </c>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row>
    <row r="1918" hidden="1">
      <c r="A1918" s="27" t="s">
        <v>4160</v>
      </c>
      <c r="B1918" s="29" t="s">
        <v>2397</v>
      </c>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hidden="1">
      <c r="A1919" s="27" t="s">
        <v>4161</v>
      </c>
      <c r="B1919" s="29" t="s">
        <v>2399</v>
      </c>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row>
    <row r="1920" hidden="1">
      <c r="A1920" s="27" t="s">
        <v>4162</v>
      </c>
      <c r="B1920" s="29" t="s">
        <v>2400</v>
      </c>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row>
    <row r="1921" hidden="1">
      <c r="A1921" s="27" t="s">
        <v>4163</v>
      </c>
      <c r="B1921" s="29" t="s">
        <v>2401</v>
      </c>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row>
    <row r="1922" hidden="1">
      <c r="A1922" s="27" t="s">
        <v>4164</v>
      </c>
      <c r="B1922" s="29" t="s">
        <v>2402</v>
      </c>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row>
    <row r="1923" hidden="1">
      <c r="A1923" s="27" t="s">
        <v>4165</v>
      </c>
      <c r="B1923" s="29" t="s">
        <v>2404</v>
      </c>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row>
    <row r="1924" hidden="1">
      <c r="A1924" s="27" t="s">
        <v>4166</v>
      </c>
      <c r="B1924" s="29" t="s">
        <v>2405</v>
      </c>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row>
    <row r="1925" hidden="1">
      <c r="A1925" s="27" t="s">
        <v>4167</v>
      </c>
      <c r="B1925" s="29" t="s">
        <v>2406</v>
      </c>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row>
    <row r="1926" hidden="1">
      <c r="A1926" s="27" t="s">
        <v>4168</v>
      </c>
      <c r="B1926" s="29" t="s">
        <v>2408</v>
      </c>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row>
    <row r="1927" hidden="1">
      <c r="A1927" s="27" t="s">
        <v>4169</v>
      </c>
      <c r="B1927" s="29" t="s">
        <v>2409</v>
      </c>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hidden="1">
      <c r="A1928" s="27" t="s">
        <v>4170</v>
      </c>
      <c r="B1928" s="29" t="s">
        <v>2410</v>
      </c>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row>
    <row r="1929" hidden="1">
      <c r="A1929" s="27" t="s">
        <v>4171</v>
      </c>
      <c r="B1929" s="29" t="s">
        <v>2411</v>
      </c>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row>
    <row r="1930" hidden="1">
      <c r="A1930" s="27" t="s">
        <v>4172</v>
      </c>
      <c r="B1930" s="29" t="s">
        <v>2413</v>
      </c>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row>
    <row r="1931" hidden="1">
      <c r="A1931" s="27" t="s">
        <v>4173</v>
      </c>
      <c r="B1931" s="29" t="s">
        <v>2414</v>
      </c>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row>
    <row r="1932" hidden="1">
      <c r="A1932" s="27" t="s">
        <v>4174</v>
      </c>
      <c r="B1932" s="29" t="s">
        <v>2415</v>
      </c>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hidden="1">
      <c r="A1933" s="27" t="s">
        <v>4175</v>
      </c>
      <c r="B1933" s="29" t="s">
        <v>2416</v>
      </c>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row>
    <row r="1934" hidden="1">
      <c r="A1934" s="27" t="s">
        <v>4176</v>
      </c>
      <c r="B1934" s="29" t="s">
        <v>2418</v>
      </c>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row>
    <row r="1935" hidden="1">
      <c r="A1935" s="27" t="s">
        <v>4177</v>
      </c>
      <c r="B1935" s="29" t="s">
        <v>2420</v>
      </c>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row>
    <row r="1936" hidden="1">
      <c r="A1936" s="27" t="s">
        <v>4178</v>
      </c>
      <c r="B1936" s="29" t="s">
        <v>2421</v>
      </c>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hidden="1">
      <c r="A1937" s="27" t="s">
        <v>4179</v>
      </c>
      <c r="B1937" s="29" t="s">
        <v>2422</v>
      </c>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row>
    <row r="1938" hidden="1">
      <c r="A1938" s="27" t="s">
        <v>4180</v>
      </c>
      <c r="B1938" s="29" t="s">
        <v>2424</v>
      </c>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row>
    <row r="1939" hidden="1">
      <c r="A1939" s="27" t="s">
        <v>4181</v>
      </c>
      <c r="B1939" s="29" t="s">
        <v>2425</v>
      </c>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row>
    <row r="1940" hidden="1">
      <c r="A1940" s="27" t="s">
        <v>4182</v>
      </c>
      <c r="B1940" s="29" t="s">
        <v>2426</v>
      </c>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row>
    <row r="1941" hidden="1">
      <c r="A1941" s="27" t="s">
        <v>4183</v>
      </c>
      <c r="B1941" s="29" t="s">
        <v>2427</v>
      </c>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row>
    <row r="1942" hidden="1">
      <c r="A1942" s="27" t="s">
        <v>4184</v>
      </c>
      <c r="B1942" s="29" t="s">
        <v>2428</v>
      </c>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row>
    <row r="1943" hidden="1">
      <c r="A1943" s="27" t="s">
        <v>4185</v>
      </c>
      <c r="B1943" s="29" t="s">
        <v>2430</v>
      </c>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row>
    <row r="1944" hidden="1">
      <c r="A1944" s="27" t="s">
        <v>4186</v>
      </c>
      <c r="B1944" s="29" t="s">
        <v>2431</v>
      </c>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hidden="1">
      <c r="A1945" s="27" t="s">
        <v>4187</v>
      </c>
      <c r="B1945" s="29" t="s">
        <v>2432</v>
      </c>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hidden="1">
      <c r="A1946" s="27" t="s">
        <v>4188</v>
      </c>
      <c r="B1946" s="29" t="s">
        <v>2433</v>
      </c>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row>
    <row r="1947" hidden="1">
      <c r="A1947" s="27" t="s">
        <v>4189</v>
      </c>
      <c r="B1947" s="29" t="s">
        <v>2434</v>
      </c>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hidden="1">
      <c r="A1948" s="27" t="s">
        <v>4190</v>
      </c>
      <c r="B1948" s="29" t="s">
        <v>2436</v>
      </c>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row>
    <row r="1949" hidden="1">
      <c r="A1949" s="27" t="s">
        <v>4191</v>
      </c>
      <c r="B1949" s="29" t="s">
        <v>2437</v>
      </c>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row>
    <row r="1950" hidden="1">
      <c r="A1950" s="27" t="s">
        <v>4192</v>
      </c>
      <c r="B1950" s="29" t="s">
        <v>2438</v>
      </c>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row>
    <row r="1951" hidden="1">
      <c r="A1951" s="27" t="s">
        <v>4193</v>
      </c>
      <c r="B1951" s="29" t="s">
        <v>2439</v>
      </c>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hidden="1">
      <c r="A1952" s="27" t="s">
        <v>4194</v>
      </c>
      <c r="B1952" s="29" t="s">
        <v>2441</v>
      </c>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row>
    <row r="1953" hidden="1">
      <c r="A1953" s="27" t="s">
        <v>4195</v>
      </c>
      <c r="B1953" s="29" t="s">
        <v>2442</v>
      </c>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row>
    <row r="1954" hidden="1">
      <c r="A1954" s="27" t="s">
        <v>4196</v>
      </c>
      <c r="B1954" s="29" t="s">
        <v>2443</v>
      </c>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hidden="1">
      <c r="A1955" s="27" t="s">
        <v>4197</v>
      </c>
      <c r="B1955" s="29" t="s">
        <v>2444</v>
      </c>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row>
    <row r="1956" hidden="1">
      <c r="A1956" s="27" t="s">
        <v>4198</v>
      </c>
      <c r="B1956" s="29" t="s">
        <v>2446</v>
      </c>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row>
    <row r="1957" hidden="1">
      <c r="A1957" s="27" t="s">
        <v>4199</v>
      </c>
      <c r="B1957" s="29" t="s">
        <v>2447</v>
      </c>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row>
    <row r="1958" hidden="1">
      <c r="A1958" s="27" t="s">
        <v>4200</v>
      </c>
      <c r="B1958" s="29" t="s">
        <v>2449</v>
      </c>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row>
    <row r="1959" hidden="1">
      <c r="A1959" s="27" t="s">
        <v>4201</v>
      </c>
      <c r="B1959" s="29" t="s">
        <v>2450</v>
      </c>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row>
    <row r="1960" hidden="1">
      <c r="A1960" s="27" t="s">
        <v>4202</v>
      </c>
      <c r="B1960" s="29" t="s">
        <v>2452</v>
      </c>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hidden="1">
      <c r="A1961" s="27" t="s">
        <v>4203</v>
      </c>
      <c r="B1961" s="29" t="s">
        <v>2453</v>
      </c>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row>
    <row r="1962" hidden="1">
      <c r="A1962" s="27" t="s">
        <v>4204</v>
      </c>
      <c r="B1962" s="29" t="s">
        <v>2454</v>
      </c>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row>
    <row r="1963" hidden="1">
      <c r="A1963" s="27" t="s">
        <v>4205</v>
      </c>
      <c r="B1963" s="29" t="s">
        <v>2456</v>
      </c>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row>
    <row r="1964" hidden="1">
      <c r="A1964" s="27" t="s">
        <v>4206</v>
      </c>
      <c r="B1964" s="29" t="s">
        <v>2457</v>
      </c>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row>
    <row r="1965" hidden="1">
      <c r="A1965" s="27" t="s">
        <v>4207</v>
      </c>
      <c r="B1965" s="29" t="s">
        <v>2458</v>
      </c>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row>
    <row r="1966" hidden="1">
      <c r="A1966" s="27" t="s">
        <v>4208</v>
      </c>
      <c r="B1966" s="29" t="s">
        <v>2459</v>
      </c>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hidden="1">
      <c r="A1967" s="27" t="s">
        <v>4209</v>
      </c>
      <c r="B1967" s="29" t="s">
        <v>2461</v>
      </c>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row>
    <row r="1968" hidden="1">
      <c r="A1968" s="27" t="s">
        <v>4210</v>
      </c>
      <c r="B1968" s="29" t="s">
        <v>2462</v>
      </c>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row>
    <row r="1969" hidden="1">
      <c r="A1969" s="27" t="s">
        <v>4211</v>
      </c>
      <c r="B1969" s="29" t="s">
        <v>2463</v>
      </c>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row>
    <row r="1970" hidden="1">
      <c r="A1970" s="27" t="s">
        <v>4212</v>
      </c>
      <c r="B1970" s="29" t="s">
        <v>2464</v>
      </c>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row>
    <row r="1971" hidden="1">
      <c r="A1971" s="27" t="s">
        <v>4213</v>
      </c>
      <c r="B1971" s="29" t="s">
        <v>2465</v>
      </c>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row>
    <row r="1972" hidden="1">
      <c r="A1972" s="27" t="s">
        <v>4214</v>
      </c>
      <c r="B1972" s="29" t="s">
        <v>2467</v>
      </c>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row>
    <row r="1973" hidden="1">
      <c r="A1973" s="27" t="s">
        <v>4215</v>
      </c>
      <c r="B1973" s="29" t="s">
        <v>2468</v>
      </c>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row>
    <row r="1974" hidden="1">
      <c r="A1974" s="27" t="s">
        <v>4216</v>
      </c>
      <c r="B1974" s="29" t="s">
        <v>2469</v>
      </c>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row>
    <row r="1975" hidden="1">
      <c r="A1975" s="27" t="s">
        <v>4217</v>
      </c>
      <c r="B1975" s="29" t="s">
        <v>2470</v>
      </c>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row>
    <row r="1976" hidden="1">
      <c r="A1976" s="27" t="s">
        <v>4218</v>
      </c>
      <c r="B1976" s="29" t="s">
        <v>2472</v>
      </c>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row>
    <row r="1977" hidden="1">
      <c r="A1977" s="27" t="s">
        <v>4219</v>
      </c>
      <c r="B1977" s="29" t="s">
        <v>2473</v>
      </c>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row>
    <row r="1978" hidden="1">
      <c r="A1978" s="27" t="s">
        <v>4220</v>
      </c>
      <c r="B1978" s="29" t="s">
        <v>2474</v>
      </c>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hidden="1">
      <c r="A1979" s="27" t="s">
        <v>4221</v>
      </c>
      <c r="B1979" s="29" t="s">
        <v>2475</v>
      </c>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hidden="1">
      <c r="A1980" s="27" t="s">
        <v>4222</v>
      </c>
      <c r="B1980" s="29" t="s">
        <v>2476</v>
      </c>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row>
    <row r="1981" hidden="1">
      <c r="A1981" s="27" t="s">
        <v>4223</v>
      </c>
      <c r="B1981" s="29" t="s">
        <v>2477</v>
      </c>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row>
    <row r="1982" hidden="1">
      <c r="A1982" s="27" t="s">
        <v>4224</v>
      </c>
      <c r="B1982" s="29" t="s">
        <v>2478</v>
      </c>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row>
    <row r="1983" hidden="1">
      <c r="A1983" s="27" t="s">
        <v>4225</v>
      </c>
      <c r="B1983" s="29" t="s">
        <v>2480</v>
      </c>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row>
    <row r="1984" hidden="1">
      <c r="A1984" s="27" t="s">
        <v>4226</v>
      </c>
      <c r="B1984" s="29" t="s">
        <v>2481</v>
      </c>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row>
    <row r="1985" hidden="1">
      <c r="A1985" s="27" t="s">
        <v>4227</v>
      </c>
      <c r="B1985" s="29" t="s">
        <v>2482</v>
      </c>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hidden="1">
      <c r="A1986" s="27" t="s">
        <v>4228</v>
      </c>
      <c r="B1986" s="29" t="s">
        <v>2483</v>
      </c>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row>
    <row r="1987" hidden="1">
      <c r="A1987" s="27" t="s">
        <v>4229</v>
      </c>
      <c r="B1987" s="29" t="s">
        <v>2485</v>
      </c>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hidden="1">
      <c r="A1988" s="27" t="s">
        <v>4230</v>
      </c>
      <c r="B1988" s="29" t="s">
        <v>2486</v>
      </c>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row>
    <row r="1989" hidden="1">
      <c r="A1989" s="27" t="s">
        <v>4231</v>
      </c>
      <c r="B1989" s="29" t="s">
        <v>2487</v>
      </c>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row>
    <row r="1990" hidden="1">
      <c r="A1990" s="27" t="s">
        <v>4232</v>
      </c>
      <c r="B1990" s="29" t="s">
        <v>2488</v>
      </c>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row>
    <row r="1991" hidden="1">
      <c r="A1991" s="27" t="s">
        <v>4233</v>
      </c>
      <c r="B1991" s="29" t="s">
        <v>2489</v>
      </c>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row>
    <row r="1992" hidden="1">
      <c r="A1992" s="27" t="s">
        <v>4234</v>
      </c>
      <c r="B1992" s="29" t="s">
        <v>2490</v>
      </c>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hidden="1">
      <c r="A1993" s="27" t="s">
        <v>4235</v>
      </c>
      <c r="B1993" s="29" t="s">
        <v>2491</v>
      </c>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row>
    <row r="1994" hidden="1">
      <c r="A1994" s="27" t="s">
        <v>4236</v>
      </c>
      <c r="B1994" s="29" t="s">
        <v>2493</v>
      </c>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row>
    <row r="1995" hidden="1">
      <c r="A1995" s="27" t="s">
        <v>4237</v>
      </c>
      <c r="B1995" s="29" t="s">
        <v>2494</v>
      </c>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row>
    <row r="1996" hidden="1">
      <c r="A1996" s="27" t="s">
        <v>4238</v>
      </c>
      <c r="B1996" s="29" t="s">
        <v>2495</v>
      </c>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hidden="1">
      <c r="A1997" s="27" t="s">
        <v>4239</v>
      </c>
      <c r="B1997" s="29" t="s">
        <v>2496</v>
      </c>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row>
    <row r="1998" hidden="1">
      <c r="A1998" s="27" t="s">
        <v>4240</v>
      </c>
      <c r="B1998" s="29" t="s">
        <v>2497</v>
      </c>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row>
    <row r="1999" hidden="1">
      <c r="A1999" s="27" t="s">
        <v>4241</v>
      </c>
      <c r="B1999" s="29" t="s">
        <v>2498</v>
      </c>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row>
    <row r="2000" hidden="1">
      <c r="A2000" s="27" t="s">
        <v>4242</v>
      </c>
      <c r="B2000" s="29" t="s">
        <v>2499</v>
      </c>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row>
    <row r="2001" hidden="1">
      <c r="A2001" s="27" t="s">
        <v>4243</v>
      </c>
      <c r="B2001" s="29" t="s">
        <v>2501</v>
      </c>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hidden="1">
      <c r="A2002" s="27" t="s">
        <v>4244</v>
      </c>
      <c r="B2002" s="29" t="s">
        <v>2502</v>
      </c>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row>
    <row r="2003" hidden="1">
      <c r="A2003" s="27" t="s">
        <v>4245</v>
      </c>
      <c r="B2003" s="29" t="s">
        <v>2503</v>
      </c>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row>
    <row r="2004" hidden="1">
      <c r="A2004" s="27" t="s">
        <v>4246</v>
      </c>
      <c r="B2004" s="29" t="s">
        <v>2504</v>
      </c>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row>
    <row r="2005" hidden="1">
      <c r="A2005" s="27" t="s">
        <v>4247</v>
      </c>
      <c r="B2005" s="29" t="s">
        <v>2505</v>
      </c>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row>
    <row r="2006" hidden="1">
      <c r="A2006" s="27" t="s">
        <v>4248</v>
      </c>
      <c r="B2006" s="29" t="s">
        <v>2506</v>
      </c>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row>
    <row r="2007" hidden="1">
      <c r="A2007" s="27" t="s">
        <v>4249</v>
      </c>
      <c r="B2007" s="29" t="s">
        <v>2508</v>
      </c>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row>
    <row r="2008" hidden="1">
      <c r="A2008" s="27" t="s">
        <v>4250</v>
      </c>
      <c r="B2008" s="29" t="s">
        <v>2509</v>
      </c>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row>
    <row r="2009" hidden="1">
      <c r="A2009" s="27" t="s">
        <v>4251</v>
      </c>
      <c r="B2009" s="29" t="s">
        <v>2510</v>
      </c>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row>
    <row r="2010" hidden="1">
      <c r="A2010" s="27" t="s">
        <v>4252</v>
      </c>
      <c r="B2010" s="29" t="s">
        <v>2511</v>
      </c>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row>
    <row r="2011" hidden="1">
      <c r="A2011" s="27" t="s">
        <v>4253</v>
      </c>
      <c r="B2011" s="29" t="s">
        <v>2512</v>
      </c>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row>
    <row r="2012" hidden="1">
      <c r="A2012" s="27" t="s">
        <v>4254</v>
      </c>
      <c r="B2012" s="29" t="s">
        <v>2514</v>
      </c>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row>
    <row r="2013" hidden="1">
      <c r="A2013" s="27" t="s">
        <v>4255</v>
      </c>
      <c r="B2013" s="29" t="s">
        <v>2515</v>
      </c>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row>
    <row r="2014" hidden="1">
      <c r="A2014" s="27" t="s">
        <v>4256</v>
      </c>
      <c r="B2014" s="29" t="s">
        <v>2516</v>
      </c>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row>
    <row r="2015" hidden="1">
      <c r="A2015" s="27" t="s">
        <v>4257</v>
      </c>
      <c r="B2015" s="29" t="s">
        <v>2517</v>
      </c>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row>
    <row r="2016" hidden="1">
      <c r="A2016" s="27" t="s">
        <v>4258</v>
      </c>
      <c r="B2016" s="29" t="s">
        <v>2519</v>
      </c>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row>
    <row r="2017" hidden="1">
      <c r="A2017" s="27" t="s">
        <v>4259</v>
      </c>
      <c r="B2017" s="29" t="s">
        <v>2520</v>
      </c>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hidden="1">
      <c r="A2018" s="27" t="s">
        <v>4260</v>
      </c>
      <c r="B2018" s="29" t="s">
        <v>2521</v>
      </c>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row>
    <row r="2019" hidden="1">
      <c r="A2019" s="27" t="s">
        <v>4261</v>
      </c>
      <c r="B2019" s="29" t="s">
        <v>2522</v>
      </c>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hidden="1">
      <c r="A2020" s="27" t="s">
        <v>4262</v>
      </c>
      <c r="B2020" s="29" t="s">
        <v>2523</v>
      </c>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row>
    <row r="2021" hidden="1">
      <c r="A2021" s="27" t="s">
        <v>4263</v>
      </c>
      <c r="B2021" s="29" t="s">
        <v>2524</v>
      </c>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row>
    <row r="2022" hidden="1">
      <c r="A2022" s="27" t="s">
        <v>4264</v>
      </c>
      <c r="B2022" s="29" t="s">
        <v>2525</v>
      </c>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row>
    <row r="2023" hidden="1">
      <c r="A2023" s="27" t="s">
        <v>4265</v>
      </c>
      <c r="B2023" s="29" t="s">
        <v>2526</v>
      </c>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row>
    <row r="2024" hidden="1">
      <c r="A2024" s="27" t="s">
        <v>4266</v>
      </c>
      <c r="B2024" s="29" t="s">
        <v>2527</v>
      </c>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hidden="1">
      <c r="A2025" s="27" t="s">
        <v>4267</v>
      </c>
      <c r="B2025" s="29" t="s">
        <v>2529</v>
      </c>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row>
    <row r="2026" hidden="1">
      <c r="A2026" s="27" t="s">
        <v>4268</v>
      </c>
      <c r="B2026" s="29" t="s">
        <v>2530</v>
      </c>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hidden="1">
      <c r="A2027" s="27" t="s">
        <v>4269</v>
      </c>
      <c r="B2027" s="29" t="s">
        <v>2531</v>
      </c>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hidden="1">
      <c r="A2028" s="27" t="s">
        <v>4270</v>
      </c>
      <c r="B2028" s="29" t="s">
        <v>2532</v>
      </c>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hidden="1">
      <c r="A2029" s="27" t="s">
        <v>4271</v>
      </c>
      <c r="B2029" s="29" t="s">
        <v>2533</v>
      </c>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row>
    <row r="2030" hidden="1">
      <c r="A2030" s="27" t="s">
        <v>4272</v>
      </c>
      <c r="B2030" s="29" t="s">
        <v>2534</v>
      </c>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row>
    <row r="2031" hidden="1">
      <c r="A2031" s="27" t="s">
        <v>4273</v>
      </c>
      <c r="B2031" s="29" t="s">
        <v>2536</v>
      </c>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row>
    <row r="2032" hidden="1">
      <c r="A2032" s="27" t="s">
        <v>4274</v>
      </c>
      <c r="B2032" s="29" t="s">
        <v>2537</v>
      </c>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hidden="1">
      <c r="A2033" s="27" t="s">
        <v>4275</v>
      </c>
      <c r="B2033" s="29" t="s">
        <v>2538</v>
      </c>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row>
    <row r="2034" hidden="1">
      <c r="A2034" s="27" t="s">
        <v>4276</v>
      </c>
      <c r="B2034" s="29" t="s">
        <v>2539</v>
      </c>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row>
    <row r="2035" hidden="1">
      <c r="A2035" s="27" t="s">
        <v>4277</v>
      </c>
      <c r="B2035" s="29" t="s">
        <v>2540</v>
      </c>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row>
    <row r="2036" hidden="1">
      <c r="A2036" s="27" t="s">
        <v>4278</v>
      </c>
      <c r="B2036" s="29" t="s">
        <v>2541</v>
      </c>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hidden="1">
      <c r="A2037" s="27" t="s">
        <v>4279</v>
      </c>
      <c r="B2037" s="29" t="s">
        <v>2542</v>
      </c>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row>
    <row r="2038" hidden="1">
      <c r="A2038" s="27" t="s">
        <v>4280</v>
      </c>
      <c r="B2038" s="29" t="s">
        <v>2543</v>
      </c>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row>
    <row r="2039" hidden="1">
      <c r="A2039" s="27" t="s">
        <v>4281</v>
      </c>
      <c r="B2039" s="29" t="s">
        <v>2545</v>
      </c>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row>
    <row r="2040" hidden="1">
      <c r="A2040" s="27" t="s">
        <v>4282</v>
      </c>
      <c r="B2040" s="29" t="s">
        <v>2546</v>
      </c>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row>
    <row r="2041" hidden="1">
      <c r="A2041" s="27" t="s">
        <v>4283</v>
      </c>
      <c r="B2041" s="29" t="s">
        <v>2547</v>
      </c>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row>
    <row r="2042" hidden="1">
      <c r="A2042" s="27" t="s">
        <v>4284</v>
      </c>
      <c r="B2042" s="29" t="s">
        <v>2548</v>
      </c>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row>
    <row r="2043" hidden="1">
      <c r="A2043" s="27" t="s">
        <v>4285</v>
      </c>
      <c r="B2043" s="29" t="s">
        <v>2549</v>
      </c>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row>
    <row r="2044" hidden="1">
      <c r="A2044" s="27" t="s">
        <v>4286</v>
      </c>
      <c r="B2044" s="29" t="s">
        <v>2550</v>
      </c>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row>
    <row r="2045" hidden="1">
      <c r="A2045" s="27" t="s">
        <v>4287</v>
      </c>
      <c r="B2045" s="29" t="s">
        <v>2551</v>
      </c>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row>
    <row r="2046" hidden="1">
      <c r="A2046" s="27" t="s">
        <v>4288</v>
      </c>
      <c r="B2046" s="29" t="s">
        <v>2552</v>
      </c>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row>
    <row r="2047" hidden="1">
      <c r="A2047" s="27" t="s">
        <v>4289</v>
      </c>
      <c r="B2047" s="29" t="s">
        <v>2554</v>
      </c>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row>
    <row r="2048" hidden="1">
      <c r="A2048" s="27" t="s">
        <v>4290</v>
      </c>
      <c r="B2048" s="29" t="s">
        <v>2555</v>
      </c>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row>
    <row r="2049" hidden="1">
      <c r="A2049" s="27" t="s">
        <v>4291</v>
      </c>
      <c r="B2049" s="29" t="s">
        <v>2556</v>
      </c>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row>
    <row r="2050" hidden="1">
      <c r="A2050" s="27" t="s">
        <v>4292</v>
      </c>
      <c r="B2050" s="29" t="s">
        <v>2557</v>
      </c>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row>
    <row r="2051" hidden="1">
      <c r="A2051" s="27" t="s">
        <v>4293</v>
      </c>
      <c r="B2051" s="29" t="s">
        <v>2558</v>
      </c>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row>
    <row r="2052" hidden="1">
      <c r="A2052" s="27" t="s">
        <v>4294</v>
      </c>
      <c r="B2052" s="29" t="s">
        <v>2559</v>
      </c>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row>
    <row r="2053" hidden="1">
      <c r="A2053" s="27" t="s">
        <v>4295</v>
      </c>
      <c r="B2053" s="29" t="s">
        <v>2560</v>
      </c>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row>
    <row r="2054" hidden="1">
      <c r="A2054" s="27" t="s">
        <v>4296</v>
      </c>
      <c r="B2054" s="29" t="s">
        <v>2562</v>
      </c>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hidden="1">
      <c r="A2055" s="27" t="s">
        <v>4297</v>
      </c>
      <c r="B2055" s="29" t="s">
        <v>2563</v>
      </c>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row>
    <row r="2056" hidden="1">
      <c r="A2056" s="27" t="s">
        <v>4298</v>
      </c>
      <c r="B2056" s="29" t="s">
        <v>2564</v>
      </c>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hidden="1">
      <c r="A2057" s="27" t="s">
        <v>4299</v>
      </c>
      <c r="B2057" s="29" t="s">
        <v>2565</v>
      </c>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hidden="1">
      <c r="A2058" s="27" t="s">
        <v>4300</v>
      </c>
      <c r="B2058" s="29" t="s">
        <v>2566</v>
      </c>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row>
    <row r="2059" hidden="1">
      <c r="A2059" s="27" t="s">
        <v>4301</v>
      </c>
      <c r="B2059" s="29" t="s">
        <v>2567</v>
      </c>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hidden="1">
      <c r="A2060" s="27" t="s">
        <v>4302</v>
      </c>
      <c r="B2060" s="29" t="s">
        <v>2568</v>
      </c>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hidden="1">
      <c r="A2061" s="27" t="s">
        <v>4303</v>
      </c>
      <c r="B2061" s="29" t="s">
        <v>2569</v>
      </c>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row>
    <row r="2062" hidden="1">
      <c r="A2062" s="27" t="s">
        <v>4304</v>
      </c>
      <c r="B2062" s="29" t="s">
        <v>2571</v>
      </c>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row>
    <row r="2063" hidden="1">
      <c r="A2063" s="27" t="s">
        <v>4305</v>
      </c>
      <c r="B2063" s="29" t="s">
        <v>2572</v>
      </c>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row>
    <row r="2064" hidden="1">
      <c r="A2064" s="27" t="s">
        <v>4306</v>
      </c>
      <c r="B2064" s="29" t="s">
        <v>2573</v>
      </c>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row>
    <row r="2065" hidden="1">
      <c r="A2065" s="27" t="s">
        <v>4307</v>
      </c>
      <c r="B2065" s="29" t="s">
        <v>2574</v>
      </c>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hidden="1">
      <c r="A2066" s="27" t="s">
        <v>4308</v>
      </c>
      <c r="B2066" s="29" t="s">
        <v>2575</v>
      </c>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hidden="1">
      <c r="A2067" s="27" t="s">
        <v>4309</v>
      </c>
      <c r="B2067" s="29" t="s">
        <v>2576</v>
      </c>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row>
    <row r="2068" hidden="1">
      <c r="A2068" s="27" t="s">
        <v>4310</v>
      </c>
      <c r="B2068" s="29" t="s">
        <v>2577</v>
      </c>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hidden="1">
      <c r="A2069" s="27" t="s">
        <v>4311</v>
      </c>
      <c r="B2069" s="29" t="s">
        <v>2579</v>
      </c>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row>
    <row r="2070" hidden="1">
      <c r="A2070" s="27" t="s">
        <v>4312</v>
      </c>
      <c r="B2070" s="29" t="s">
        <v>2580</v>
      </c>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row>
    <row r="2071" hidden="1">
      <c r="A2071" s="27" t="s">
        <v>4313</v>
      </c>
      <c r="B2071" s="29" t="s">
        <v>2581</v>
      </c>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row>
    <row r="2072" hidden="1">
      <c r="A2072" s="27" t="s">
        <v>4314</v>
      </c>
      <c r="B2072" s="29" t="s">
        <v>2582</v>
      </c>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row>
    <row r="2073" hidden="1">
      <c r="A2073" s="27" t="s">
        <v>4315</v>
      </c>
      <c r="B2073" s="29" t="s">
        <v>2583</v>
      </c>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row>
    <row r="2074" hidden="1">
      <c r="A2074" s="27" t="s">
        <v>4316</v>
      </c>
      <c r="B2074" s="29" t="s">
        <v>2584</v>
      </c>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row>
    <row r="2075" hidden="1">
      <c r="A2075" s="27" t="s">
        <v>4317</v>
      </c>
      <c r="B2075" s="29" t="s">
        <v>2585</v>
      </c>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row>
    <row r="2076" hidden="1">
      <c r="A2076" s="27" t="s">
        <v>4318</v>
      </c>
      <c r="B2076" s="29" t="s">
        <v>2586</v>
      </c>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row>
    <row r="2077" hidden="1">
      <c r="A2077" s="27" t="s">
        <v>4319</v>
      </c>
      <c r="B2077" s="29" t="s">
        <v>2588</v>
      </c>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row>
    <row r="2078" hidden="1">
      <c r="A2078" s="27" t="s">
        <v>4320</v>
      </c>
      <c r="B2078" s="29" t="s">
        <v>2589</v>
      </c>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row>
    <row r="2079" hidden="1">
      <c r="A2079" s="27" t="s">
        <v>4321</v>
      </c>
      <c r="B2079" s="29" t="s">
        <v>2590</v>
      </c>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row>
    <row r="2080" hidden="1">
      <c r="A2080" s="27" t="s">
        <v>4322</v>
      </c>
      <c r="B2080" s="29" t="s">
        <v>2591</v>
      </c>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row>
    <row r="2081" hidden="1">
      <c r="A2081" s="27" t="s">
        <v>4323</v>
      </c>
      <c r="B2081" s="29" t="s">
        <v>2592</v>
      </c>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row>
    <row r="2082" hidden="1">
      <c r="A2082" s="27" t="s">
        <v>4324</v>
      </c>
      <c r="B2082" s="29" t="s">
        <v>2593</v>
      </c>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row>
    <row r="2083" hidden="1">
      <c r="A2083" s="27" t="s">
        <v>4325</v>
      </c>
      <c r="B2083" s="29" t="s">
        <v>2594</v>
      </c>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hidden="1">
      <c r="A2084" s="27" t="s">
        <v>4326</v>
      </c>
      <c r="B2084" s="29" t="s">
        <v>2595</v>
      </c>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hidden="1">
      <c r="A2085" s="27" t="s">
        <v>4327</v>
      </c>
      <c r="B2085" s="29" t="s">
        <v>2596</v>
      </c>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row>
    <row r="2086" hidden="1">
      <c r="A2086" s="27" t="s">
        <v>4328</v>
      </c>
      <c r="B2086" s="29" t="s">
        <v>2597</v>
      </c>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row>
    <row r="2087" hidden="1">
      <c r="A2087" s="27" t="s">
        <v>4329</v>
      </c>
      <c r="B2087" s="29" t="s">
        <v>2598</v>
      </c>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row>
    <row r="2088" hidden="1">
      <c r="A2088" s="27" t="s">
        <v>4330</v>
      </c>
      <c r="B2088" s="29" t="s">
        <v>2600</v>
      </c>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row>
    <row r="2089" hidden="1">
      <c r="A2089" s="27" t="s">
        <v>4331</v>
      </c>
      <c r="B2089" s="29" t="s">
        <v>2601</v>
      </c>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row>
    <row r="2090" hidden="1">
      <c r="A2090" s="27" t="s">
        <v>4332</v>
      </c>
      <c r="B2090" s="29" t="s">
        <v>2602</v>
      </c>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row>
    <row r="2091" hidden="1">
      <c r="A2091" s="27" t="s">
        <v>4333</v>
      </c>
      <c r="B2091" s="29" t="s">
        <v>2603</v>
      </c>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hidden="1">
      <c r="A2092" s="27" t="s">
        <v>4334</v>
      </c>
      <c r="B2092" s="29" t="s">
        <v>2604</v>
      </c>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row>
    <row r="2093" hidden="1">
      <c r="A2093" s="27" t="s">
        <v>4335</v>
      </c>
      <c r="B2093" s="29" t="s">
        <v>2605</v>
      </c>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row>
    <row r="2094" hidden="1">
      <c r="A2094" s="27" t="s">
        <v>4336</v>
      </c>
      <c r="B2094" s="29" t="s">
        <v>2606</v>
      </c>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hidden="1">
      <c r="A2095" s="27" t="s">
        <v>4337</v>
      </c>
      <c r="B2095" s="29" t="s">
        <v>2608</v>
      </c>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hidden="1">
      <c r="A2096" s="27" t="s">
        <v>4338</v>
      </c>
      <c r="B2096" s="29" t="s">
        <v>2609</v>
      </c>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row>
    <row r="2097" hidden="1">
      <c r="A2097" s="27" t="s">
        <v>4339</v>
      </c>
      <c r="B2097" s="29" t="s">
        <v>2610</v>
      </c>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row>
    <row r="2098" hidden="1">
      <c r="A2098" s="27" t="s">
        <v>4340</v>
      </c>
      <c r="B2098" s="29" t="s">
        <v>2611</v>
      </c>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hidden="1">
      <c r="A2099" s="27" t="s">
        <v>4341</v>
      </c>
      <c r="B2099" s="29" t="s">
        <v>2612</v>
      </c>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row>
    <row r="2100" hidden="1">
      <c r="A2100" s="27" t="s">
        <v>4342</v>
      </c>
      <c r="B2100" s="29" t="s">
        <v>2613</v>
      </c>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row>
    <row r="2101" hidden="1">
      <c r="A2101" s="27" t="s">
        <v>4343</v>
      </c>
      <c r="B2101" s="29" t="s">
        <v>2614</v>
      </c>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hidden="1">
      <c r="A2102" s="27" t="s">
        <v>4344</v>
      </c>
      <c r="B2102" s="29" t="s">
        <v>2615</v>
      </c>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hidden="1">
      <c r="A2103" s="27" t="s">
        <v>4345</v>
      </c>
      <c r="B2103" s="29" t="s">
        <v>2617</v>
      </c>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row>
    <row r="2104" hidden="1">
      <c r="A2104" s="27" t="s">
        <v>4346</v>
      </c>
      <c r="B2104" s="29" t="s">
        <v>2618</v>
      </c>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row>
    <row r="2105" hidden="1">
      <c r="A2105" s="27" t="s">
        <v>4347</v>
      </c>
      <c r="B2105" s="29" t="s">
        <v>2619</v>
      </c>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row>
    <row r="2106" hidden="1">
      <c r="A2106" s="27" t="s">
        <v>4348</v>
      </c>
      <c r="B2106" s="29" t="s">
        <v>2620</v>
      </c>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row>
    <row r="2107" hidden="1">
      <c r="A2107" s="27" t="s">
        <v>4349</v>
      </c>
      <c r="B2107" s="29" t="s">
        <v>2621</v>
      </c>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row>
    <row r="2108" hidden="1">
      <c r="A2108" s="27" t="s">
        <v>4350</v>
      </c>
      <c r="B2108" s="29" t="s">
        <v>2622</v>
      </c>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row>
    <row r="2109" hidden="1">
      <c r="A2109" s="27" t="s">
        <v>4351</v>
      </c>
      <c r="B2109" s="29" t="s">
        <v>2623</v>
      </c>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row>
    <row r="2110" hidden="1">
      <c r="A2110" s="27" t="s">
        <v>4352</v>
      </c>
      <c r="B2110" s="29" t="s">
        <v>2625</v>
      </c>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row>
    <row r="2111" hidden="1">
      <c r="A2111" s="27" t="s">
        <v>4353</v>
      </c>
      <c r="B2111" s="29" t="s">
        <v>2626</v>
      </c>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row>
    <row r="2112" hidden="1">
      <c r="A2112" s="27" t="s">
        <v>4354</v>
      </c>
      <c r="B2112" s="29" t="s">
        <v>2627</v>
      </c>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row>
    <row r="2113" hidden="1">
      <c r="A2113" s="27" t="s">
        <v>4355</v>
      </c>
      <c r="B2113" s="29" t="s">
        <v>2628</v>
      </c>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hidden="1">
      <c r="A2114" s="27" t="s">
        <v>4356</v>
      </c>
      <c r="B2114" s="29" t="s">
        <v>2629</v>
      </c>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row>
    <row r="2115" hidden="1">
      <c r="A2115" s="27" t="s">
        <v>4357</v>
      </c>
      <c r="B2115" s="29" t="s">
        <v>2630</v>
      </c>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row>
    <row r="2116" hidden="1">
      <c r="A2116" s="27" t="s">
        <v>4358</v>
      </c>
      <c r="B2116" s="29" t="s">
        <v>2631</v>
      </c>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row>
    <row r="2117" hidden="1">
      <c r="A2117" s="27" t="s">
        <v>4359</v>
      </c>
      <c r="B2117" s="29" t="s">
        <v>2633</v>
      </c>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row>
    <row r="2118" hidden="1">
      <c r="A2118" s="27" t="s">
        <v>4360</v>
      </c>
      <c r="B2118" s="29" t="s">
        <v>2634</v>
      </c>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row>
    <row r="2119" hidden="1">
      <c r="A2119" s="27" t="s">
        <v>4361</v>
      </c>
      <c r="B2119" s="29" t="s">
        <v>2635</v>
      </c>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row>
    <row r="2120" hidden="1">
      <c r="A2120" s="27" t="s">
        <v>4362</v>
      </c>
      <c r="B2120" s="29" t="s">
        <v>2636</v>
      </c>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row>
    <row r="2121" hidden="1">
      <c r="A2121" s="27" t="s">
        <v>4363</v>
      </c>
      <c r="B2121" s="29" t="s">
        <v>2637</v>
      </c>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row>
    <row r="2122" hidden="1">
      <c r="A2122" s="27" t="s">
        <v>4364</v>
      </c>
      <c r="B2122" s="29" t="s">
        <v>2638</v>
      </c>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row>
    <row r="2123" hidden="1">
      <c r="A2123" s="27" t="s">
        <v>4365</v>
      </c>
      <c r="B2123" s="29" t="s">
        <v>2640</v>
      </c>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row>
    <row r="2124" hidden="1">
      <c r="A2124" s="27" t="s">
        <v>4366</v>
      </c>
      <c r="B2124" s="29" t="s">
        <v>2641</v>
      </c>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hidden="1">
      <c r="A2125" s="27" t="s">
        <v>4367</v>
      </c>
      <c r="B2125" s="29" t="s">
        <v>2642</v>
      </c>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row>
    <row r="2126" hidden="1">
      <c r="A2126" s="27" t="s">
        <v>4368</v>
      </c>
      <c r="B2126" s="29" t="s">
        <v>2643</v>
      </c>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row>
    <row r="2127" hidden="1">
      <c r="A2127" s="27" t="s">
        <v>4369</v>
      </c>
      <c r="B2127" s="29" t="s">
        <v>2644</v>
      </c>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row>
    <row r="2128" hidden="1">
      <c r="A2128" s="27" t="s">
        <v>4370</v>
      </c>
      <c r="B2128" s="29" t="s">
        <v>2646</v>
      </c>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hidden="1">
      <c r="A2129" s="27" t="s">
        <v>4371</v>
      </c>
      <c r="B2129" s="29" t="s">
        <v>2647</v>
      </c>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row>
    <row r="2130" hidden="1">
      <c r="A2130" s="27" t="s">
        <v>4372</v>
      </c>
      <c r="B2130" s="29" t="s">
        <v>2648</v>
      </c>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hidden="1">
      <c r="A2131" s="27" t="s">
        <v>4373</v>
      </c>
      <c r="B2131" s="29" t="s">
        <v>2650</v>
      </c>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row>
    <row r="2132" hidden="1">
      <c r="A2132" s="27" t="s">
        <v>4374</v>
      </c>
      <c r="B2132" s="29" t="s">
        <v>2652</v>
      </c>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row>
    <row r="2133" hidden="1">
      <c r="A2133" s="27" t="s">
        <v>4375</v>
      </c>
      <c r="B2133" s="29" t="s">
        <v>2653</v>
      </c>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row>
    <row r="2134" hidden="1">
      <c r="A2134" s="27" t="s">
        <v>4376</v>
      </c>
      <c r="B2134" s="29" t="s">
        <v>2654</v>
      </c>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row>
    <row r="2135" hidden="1">
      <c r="A2135" s="27" t="s">
        <v>4377</v>
      </c>
      <c r="B2135" s="29" t="s">
        <v>2655</v>
      </c>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row>
    <row r="2136" hidden="1">
      <c r="A2136" s="27" t="s">
        <v>4378</v>
      </c>
      <c r="B2136" s="29" t="s">
        <v>2656</v>
      </c>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hidden="1">
      <c r="A2137" s="27" t="s">
        <v>4379</v>
      </c>
      <c r="B2137" s="29" t="s">
        <v>2658</v>
      </c>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c r="A2138" s="97"/>
      <c r="B2138" s="97"/>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row>
  </sheetData>
  <drawing r:id="rId1"/>
</worksheet>
</file>